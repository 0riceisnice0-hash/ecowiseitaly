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ea2f438cca429c" /></Relationships>
</file>

<file path=xl/workbook.xml><?xml version="1.0" encoding="utf-8"?>
<x:workbook xmlns:x="http://schemas.openxmlformats.org/spreadsheetml/2006/main">
  <x:sheets>
    <x:sheet xmlns:r="http://schemas.openxmlformats.org/officeDocument/2006/relationships" name="Launch Dashboard" sheetId="1" r:id="R526535dac1ed4306"/>
    <x:sheet xmlns:r="http://schemas.openxmlformats.org/officeDocument/2006/relationships" name="Launch Gates" sheetId="2" r:id="R9dab7eaed9ad4066"/>
    <x:sheet xmlns:r="http://schemas.openxmlformats.org/officeDocument/2006/relationships" name="Campaign Copy" sheetId="3" r:id="Re9d093f88a614357"/>
    <x:sheet xmlns:r="http://schemas.openxmlformats.org/officeDocument/2006/relationships" name="UK Schools" sheetId="4" r:id="R6c9ada3395dd4579"/>
    <x:sheet xmlns:r="http://schemas.openxmlformats.org/officeDocument/2006/relationships" name="European Schools" sheetId="5" r:id="Ra51cc97271c44816"/>
    <x:sheet xmlns:r="http://schemas.openxmlformats.org/officeDocument/2006/relationships" name="Send Log" sheetId="6" r:id="R8d6ede94b4f7415b"/>
    <x:sheet xmlns:r="http://schemas.openxmlformats.org/officeDocument/2006/relationships" name="Suppression" sheetId="7" r:id="R95349b9068cd442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yyyy-mm-dd hh:mm"/>
  </x:numFmts>
  <x:fonts count="7">
    <x:font>
      <x:sz val="11"/>
      <x:name val="Carlito"/>
    </x:font>
    <x:font>
      <x:b/>
      <x:sz val="20"/>
      <x:color rgb="FFFFFFFF"/>
      <x:name val="Carlito"/>
    </x:font>
    <x:font>
      <x:i/>
      <x:sz val="11"/>
      <x:color rgb="FF66736A"/>
      <x:name val="Carlito"/>
    </x:font>
    <x:font>
      <x:b/>
      <x:sz val="11"/>
      <x:color rgb="FFFFFFFF"/>
      <x:name val="Carlito"/>
    </x:font>
    <x:font>
      <x:b/>
      <x:sz val="11"/>
      <x:color rgb="FF243129"/>
      <x:name val="Carlito"/>
    </x:font>
    <x:font>
      <x:b/>
      <x:sz val="14"/>
      <x:color rgb="FF243129"/>
      <x:name val="Carlito"/>
    </x:font>
    <x:font>
      <x:b/>
      <x:sz val="11"/>
      <x:color rgb="FF6D2823"/>
      <x:name val="Carlito"/>
    </x:font>
  </x:fonts>
  <x:fills count="7">
    <x:fill>
      <x:patternFill patternType="none"/>
    </x:fill>
    <x:fill>
      <x:patternFill patternType="gray125"/>
    </x:fill>
    <x:fill>
      <x:patternFill patternType="solid">
        <x:fgColor rgb="FF234A35"/>
      </x:patternFill>
    </x:fill>
    <x:fill>
      <x:patternFill patternType="solid">
        <x:fgColor rgb="FFE8F1E9"/>
      </x:patternFill>
    </x:fill>
    <x:fill>
      <x:patternFill patternType="solid">
        <x:fgColor rgb="FFFFF7D3"/>
      </x:patternFill>
    </x:fill>
    <x:fill>
      <x:patternFill patternType="solid">
        <x:fgColor rgb="FFFBE8E5"/>
      </x:patternFill>
    </x:fill>
    <x:fill>
      <x:patternFill patternType="solid">
        <x:fgColor rgb="FFF4D64A"/>
      </x:patternFill>
    </x:fill>
  </x:fills>
  <x:borders count="7">
    <x:border/>
    <x:border>
      <x:right style="thin">
        <x:color rgb="FF55715F"/>
      </x:right>
    </x:border>
    <x:border>
      <x:left style="thin">
        <x:color rgb="FF55715F"/>
      </x:left>
    </x:border>
    <x:border>
      <x:left style="thin">
        <x:color rgb="FF55715F"/>
      </x:left>
      <x:right style="thin">
        <x:color rgb="FF55715F"/>
      </x:right>
    </x:border>
    <x:border>
      <x:bottom style="thin">
        <x:color rgb="FFD7DED8"/>
      </x:bottom>
    </x:border>
    <x:border>
      <x:top style="thin">
        <x:color rgb="FFD7DED8"/>
      </x:top>
      <x:bottom style="thin">
        <x:color rgb="FFD7DED8"/>
      </x:bottom>
    </x:border>
    <x:border>
      <x:top style="thin">
        <x:color rgb="FFD7DED8"/>
      </x:top>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4" fillId="0"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3" fillId="2" borderId="3" xfId="0" applyNumberFormat="1" applyFont="1" applyFill="1" applyBorder="1"/>
    <x:xf numFmtId="0" fontId="3" fillId="2" borderId="3" xfId="0" applyNumberFormat="1" applyFont="1" applyFill="1" applyBorder="1" applyAlignment="1">
      <x:alignment wrapText="1"/>
    </x:xf>
    <x:xf numFmtId="0" fontId="3"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4" fillId="4" borderId="0" xfId="0" applyNumberFormat="1" applyFont="1" applyFill="1" applyBorder="1"/>
    <x:xf numFmtId="0" fontId="4" fillId="4"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0" fillId="0" borderId="4"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vertical="center" wrapText="0"/>
    </x:xf>
    <x:xf numFmtId="0" fontId="3" fillId="2" borderId="3" xfId="0" applyNumberFormat="1" applyFont="1" applyFill="1" applyBorder="1" applyAlignment="1">
      <x:alignment vertical="center" wrapText="0"/>
    </x:xf>
    <x:xf numFmtId="0" fontId="3" fillId="2" borderId="2" xfId="0" applyNumberFormat="1" applyFont="1" applyFill="1" applyBorder="1" applyAlignment="1">
      <x:alignment vertical="center" wrapText="0"/>
    </x:xf>
    <x:xf numFmtId="0" fontId="0" fillId="0" borderId="0" xfId="0" applyNumberFormat="1" applyFont="1" applyFill="1" applyBorder="1" applyAlignment="1">
      <x:alignment wrapText="0"/>
    </x:xf>
    <x:xf numFmtId="200" fontId="0" fillId="0" borderId="0" xfId="0" applyNumberFormat="1" applyFont="1" applyFill="1" applyBorder="1" applyAlignment="1">
      <x:alignment wrapText="0"/>
    </x:xf>
    <x:xf numFmtId="201" fontId="0" fillId="0" borderId="0" xfId="0" applyNumberFormat="1" applyFont="1" applyFill="1" applyBorder="1"/>
    <x:xf numFmtId="200" fontId="0" fillId="0" borderId="0" xfId="0" applyNumberFormat="1" applyFont="1" applyFill="1" applyBorder="1"/>
  </x:cellXfs>
  <x:cellStyles count="1">
    <x:cellStyle name="Normal" xfId="0"/>
  </x:cellStyles>
  <x:dxfs count="4">
    <x:dxf>
      <x:font>
        <x:b/>
        <x:color rgb="FF234A35"/>
      </x:font>
      <x:fill>
        <x:patternFill patternType="solid">
          <x:bgColor rgb="FFE8F1E9"/>
        </x:patternFill>
      </x:fill>
    </x:dxf>
    <x:dxf>
      <x:font>
        <x:b/>
        <x:color rgb="FFB7463D"/>
      </x:font>
      <x:fill>
        <x:patternFill patternType="solid">
          <x:bgColor rgb="FFFBE8E5"/>
        </x:patternFill>
      </x:fill>
    </x:dxf>
    <x:dxf>
      <x:font>
        <x:b/>
        <x:color rgb="FF234A35"/>
      </x:font>
      <x:fill>
        <x:patternFill patternType="solid">
          <x:bgColor rgb="FFE8F1E9"/>
        </x:patternFill>
      </x:fill>
    </x:dxf>
    <x:dxf>
      <x:font>
        <x:b/>
        <x:color rgb="FFB7463D"/>
      </x:font>
      <x:fill>
        <x:patternFill patternType="solid">
          <x:bgColor rgb="FFFBE8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cc6becc0c441bf" /><Relationship Type="http://schemas.openxmlformats.org/officeDocument/2006/relationships/theme" Target="/xl/theme/theme1.xml" Id="Reaa9962ee528481e" /><Relationship Type="http://schemas.openxmlformats.org/officeDocument/2006/relationships/sharedStrings" Target="/xl/sharedStrings.xml" Id="R85c9e697a81e4bc4" /><Relationship Type="http://schemas.openxmlformats.org/officeDocument/2006/relationships/worksheet" Target="/xl/worksheets/sheet1.xml" Id="R526535dac1ed4306" /><Relationship Type="http://schemas.openxmlformats.org/officeDocument/2006/relationships/worksheet" Target="/xl/worksheets/sheet2.xml" Id="R9dab7eaed9ad4066" /><Relationship Type="http://schemas.openxmlformats.org/officeDocument/2006/relationships/worksheet" Target="/xl/worksheets/sheet3.xml" Id="Re9d093f88a614357" /><Relationship Type="http://schemas.openxmlformats.org/officeDocument/2006/relationships/worksheet" Target="/xl/worksheets/sheet4.xml" Id="R6c9ada3395dd4579" /><Relationship Type="http://schemas.openxmlformats.org/officeDocument/2006/relationships/worksheet" Target="/xl/worksheets/sheet5.xml" Id="Ra51cc97271c44816" /><Relationship Type="http://schemas.openxmlformats.org/officeDocument/2006/relationships/worksheet" Target="/xl/worksheets/sheet6.xml" Id="R8d6ede94b4f7415b" /><Relationship Type="http://schemas.openxmlformats.org/officeDocument/2006/relationships/worksheet" Target="/xl/worksheets/sheet7.xml" Id="R95349b9068cd4426" /></Relationships>
</file>

<file path=xl/tables/table1.xml><?xml version="1.0" encoding="utf-8"?>
<x:table xmlns:x="http://schemas.openxmlformats.org/spreadsheetml/2006/main" id="1" name="UKSchoolUniverse" displayName="UKSchoolUniverse" ref="A3:Z1551" headerRowCount="1" totalsRowCount="0" totalsRowShown="0">
  <x:tableColumns count="26">
    <x:tableColumn id="1" name="Market"/>
    <x:tableColumn id="2" name="URN"/>
    <x:tableColumn id="3" name="Priority score"/>
    <x:tableColumn id="4" name="Tier"/>
    <x:tableColumn id="5" name="School"/>
    <x:tableColumn id="6" name="Town"/>
    <x:tableColumn id="7" name="County"/>
    <x:tableColumn id="8" name="Postcode"/>
    <x:tableColumn id="9" name="Low age"/>
    <x:tableColumn id="10" name="High age"/>
    <x:tableColumn id="11" name="Boarding"/>
    <x:tableColumn id="12" name="Sixth form"/>
    <x:tableColumn id="13" name="Pupils"/>
    <x:tableColumn id="14" name="Website"/>
    <x:tableColumn id="15" name="Telephone"/>
    <x:tableColumn id="16" name="Public role email"/>
    <x:tableColumn id="17" name="Email source"/>
    <x:tableColumn id="18" name="Research status"/>
    <x:tableColumn id="19" name="Human review"/>
    <x:tableColumn id="20" name="Send decision"/>
    <x:tableColumn id="21" name="Suppressed"/>
    <x:tableColumn id="22" name="Sent date"/>
    <x:tableColumn id="23" name="Response"/>
    <x:tableColumn id="24" name="Next action"/>
    <x:tableColumn id="25" name="Notes"/>
    <x:tableColumn id="26" name="Source URL"/>
  </x:tableColumns>
  <x:tableStyleInfo name="TableStyleMedium4" showFirstColumn="0" showLastColumn="0" showRowStripes="1" showColumnStripes="0"/>
</x:table>
</file>

<file path=xl/tables/table2.xml><?xml version="1.0" encoding="utf-8"?>
<x:table xmlns:x="http://schemas.openxmlformats.org/spreadsheetml/2006/main" id="2" name="EuropeanSchoolResearch" displayName="EuropeanSchoolResearch" ref="A3:Q42" headerRowCount="1" totalsRowCount="0" totalsRowShown="0">
  <x:tableColumns count="17">
    <x:tableColumn id="1" name="Market"/>
    <x:tableColumn id="2" name="Country"/>
    <x:tableColumn id="3" name="City"/>
    <x:tableColumn id="4" name="School"/>
    <x:tableColumn id="5" name="Fit note"/>
    <x:tableColumn id="6" name="Website"/>
    <x:tableColumn id="7" name="Public role email"/>
    <x:tableColumn id="8" name="Contact/source URL"/>
    <x:tableColumn id="9" name="Source status"/>
    <x:tableColumn id="10" name="Research status"/>
    <x:tableColumn id="11" name="Human review"/>
    <x:tableColumn id="12" name="Suppressed"/>
    <x:tableColumn id="13" name="Copy version"/>
    <x:tableColumn id="14" name="Send decision"/>
    <x:tableColumn id="15" name="Sent date"/>
    <x:tableColumn id="16" name="Response"/>
    <x:tableColumn id="17" name="Next action"/>
  </x:tableColumns>
  <x:tableStyleInfo name="TableStyleMedium4" showFirstColumn="0" showLastColumn="0" showRowStripes="1" showColumnStripes="0"/>
</x:table>
</file>

<file path=xl/tables/table3.xml><?xml version="1.0" encoding="utf-8"?>
<x:table xmlns:x="http://schemas.openxmlformats.org/spreadsheetml/2006/main" id="3" name="OutreachSendLog" displayName="OutreachSendLog" ref="A3:N203" headerRowCount="1" totalsRowCount="0" totalsRowShown="0">
  <x:tableColumns count="14">
    <x:tableColumn id="1" name="Send ID"/>
    <x:tableColumn id="2" name="Date/time"/>
    <x:tableColumn id="3" name="Market"/>
    <x:tableColumn id="4" name="School"/>
    <x:tableColumn id="5" name="Recipient email"/>
    <x:tableColumn id="6" name="Recipient role"/>
    <x:tableColumn id="7" name="Copy version"/>
    <x:tableColumn id="8" name="Subject"/>
    <x:tableColumn id="9" name="Sender mailbox"/>
    <x:tableColumn id="10" name="Delivery"/>
    <x:tableColumn id="11" name="Reply status"/>
    <x:tableColumn id="12" name="Owner"/>
    <x:tableColumn id="13" name="Next action"/>
    <x:tableColumn id="14" name="Notes"/>
  </x:tableColumns>
  <x:tableStyleInfo name="TableStyleMedium4" showFirstColumn="0" showLastColumn="0" showRowStripes="1" showColumnStripes="0"/>
</x:table>
</file>

<file path=xl/tables/table4.xml><?xml version="1.0" encoding="utf-8"?>
<x:table xmlns:x="http://schemas.openxmlformats.org/spreadsheetml/2006/main" id="4" name="SuppressionRegister" displayName="SuppressionRegister" ref="A3:H103" headerRowCount="1" totalsRowCount="0" totalsRowShown="0">
  <x:tableColumns count="8">
    <x:tableColumn id="1" name="Email/domain"/>
    <x:tableColumn id="2" name="School/organisation"/>
    <x:tableColumn id="3" name="Reason"/>
    <x:tableColumn id="4" name="Source"/>
    <x:tableColumn id="5" name="Date added"/>
    <x:tableColumn id="6" name="Added by"/>
    <x:tableColumn id="7" name="Permanent"/>
    <x:tableColumn id="8" name="Note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677e0e936c104ddc" /></Relationships>
</file>

<file path=xl/worksheets/_rels/sheet5.xml.rels>&#65279;<?xml version="1.0" encoding="utf-8"?><Relationships xmlns="http://schemas.openxmlformats.org/package/2006/relationships"><Relationship Type="http://schemas.openxmlformats.org/officeDocument/2006/relationships/table" Target="/xl/tables/table2.xml" Id="R5295e673b5a04650" /></Relationships>
</file>

<file path=xl/worksheets/_rels/sheet6.xml.rels>&#65279;<?xml version="1.0" encoding="utf-8"?><Relationships xmlns="http://schemas.openxmlformats.org/package/2006/relationships"><Relationship Type="http://schemas.openxmlformats.org/officeDocument/2006/relationships/table" Target="/xl/tables/table3.xml" Id="R0512547942a14af5" /></Relationships>
</file>

<file path=xl/worksheets/_rels/sheet7.xml.rels>&#65279;<?xml version="1.0" encoding="utf-8"?><Relationships xmlns="http://schemas.openxmlformats.org/package/2006/relationships"><Relationship Type="http://schemas.openxmlformats.org/officeDocument/2006/relationships/table" Target="/xl/tables/table4.xml" Id="Rfbd038797ce74b9a" /></Relationships>
</file>

<file path=xl/worksheets/sheet1.xml><?xml version="1.0" encoding="utf-8"?>
<x:worksheet xmlns:x="http://schemas.openxmlformats.org/spreadsheetml/2006/main">
  <x:sheetViews>
    <x:sheetView showGridLines="0" workbookViewId="0"/>
  </x:sheetViews>
  <x:sheetFormatPr defaultRowHeight="15"/>
  <x:cols>
    <x:col min="1" max="1" width="35" hidden="0" customWidth="1"/>
    <x:col min="2" max="2" width="18" hidden="0" customWidth="1"/>
    <x:col min="3" max="3" width="4" hidden="0" customWidth="1"/>
    <x:col min="4" max="4" width="29" hidden="0" customWidth="1"/>
    <x:col min="5" max="5" width="20" hidden="0" customWidth="1"/>
    <x:col min="6" max="6" width="43" hidden="0" customWidth="1"/>
  </x:cols>
  <x:sheetData>
    <x:row r="1" ht="36" customHeight="1">
      <x:c r="A1" s="3" t="str">
        <x:v>EcoWise Italy school outreach launch</x:v>
      </x:c>
      <x:c r="B1" s="3"/>
      <x:c r="C1" s="3"/>
      <x:c r="D1" s="3"/>
      <x:c r="E1" s="3"/>
      <x:c r="F1" s="3"/>
    </x:row>
    <x:row r="2" ht="32" customHeight="1">
      <x:c r="A2" s="6" t="str">
        <x:v>Prepared 3 September 2026 • transparent market universe, approval gates and send audit</x:v>
      </x:c>
      <x:c r="B2" s="6"/>
      <x:c r="C2" s="6"/>
      <x:c r="D2" s="6"/>
      <x:c r="E2" s="6"/>
      <x:c r="F2" s="6"/>
    </x:row>
    <x:row r="4" ht="34" customHeight="1">
      <x:c r="A4" s="12" t="str">
        <x:v>Measure</x:v>
      </x:c>
      <x:c r="B4" s="13" t="str">
        <x:v>Current</x:v>
      </x:c>
      <x:c r="D4" s="12" t="str">
        <x:v>Launch step</x:v>
      </x:c>
      <x:c r="E4" s="20" t="str">
        <x:v>Timing</x:v>
      </x:c>
      <x:c r="F4" s="13" t="str">
        <x:v>Rule</x:v>
      </x:c>
    </x:row>
    <x:row r="5">
      <x:c r="A5" s="14" t="str">
        <x:v>UK independent schools in universe</x:v>
      </x:c>
      <x:c r="B5" s="17" t="n">
        <x:f>ROWS('UK Schools'!$E$4:$E$1551)</x:f>
        <x:v>1548</x:v>
      </x:c>
      <x:c r="D5" s="24" t="str">
        <x:v>Confirm mailbox and inbox placement</x:v>
      </x:c>
      <x:c r="E5" s="24" t="str">
        <x:v>3–7 Sep</x:v>
      </x:c>
      <x:c r="F5" s="24" t="str">
        <x:v>DNS authentication is verified; test the chosen sender</x:v>
      </x:c>
    </x:row>
    <x:row r="6">
      <x:c r="A6" s="14" t="str">
        <x:v>UK records with public role inbox</x:v>
      </x:c>
      <x:c r="B6" s="17" t="n">
        <x:f>COUNTIF('UK Schools'!$R$4:$R$1551,"Generic public inbox found")</x:f>
        <x:v>40</x:v>
      </x:c>
      <x:c r="D6" s="25" t="str">
        <x:v>Approve first recipient pilot</x:v>
      </x:c>
      <x:c r="E6" s="25" t="str">
        <x:v>By 7 Sep</x:v>
      </x:c>
      <x:c r="F6" s="25" t="str">
        <x:v>15–20 UK + up to 5 European role inboxes</x:v>
      </x:c>
    </x:row>
    <x:row r="7">
      <x:c r="A7" s="14" t="str">
        <x:v>UK records awaiting human verification</x:v>
      </x:c>
      <x:c r="B7" s="17" t="n">
        <x:f>COUNTIF('UK Schools'!$S$4:$S$1551,"Needs human verification")</x:f>
        <x:v>40</x:v>
      </x:c>
      <x:c r="D7" s="25" t="str">
        <x:v>Pilot send</x:v>
      </x:c>
      <x:c r="E7" s="25" t="str">
        <x:v>8 Sep, 09:30 UK</x:v>
      </x:c>
      <x:c r="F7" s="25" t="str">
        <x:v>One-to-one style; no tracking pixel</x:v>
      </x:c>
    </x:row>
    <x:row r="8">
      <x:c r="A8" s="14" t="str">
        <x:v>European schools in research register</x:v>
      </x:c>
      <x:c r="B8" s="17" t="n">
        <x:f>ROWS('European Schools'!$D$4:$D$42)</x:f>
        <x:v>39</x:v>
      </x:c>
      <x:c r="D8" s="25" t="str">
        <x:v>48-hour review</x:v>
      </x:c>
      <x:c r="E8" s="25" t="str">
        <x:v>10 Sep</x:v>
      </x:c>
      <x:c r="F8" s="25" t="str">
        <x:v>Stop on poor targeting, bounces or complaints</x:v>
      </x:c>
    </x:row>
    <x:row r="9">
      <x:c r="A9" s="14" t="str">
        <x:v>Recipients approved to send</x:v>
      </x:c>
      <x:c r="B9" s="17" t="n">
        <x:f>COUNTIF('UK Schools'!$T$4:$T$1551,"Send")+COUNTIF('European Schools'!$N$4:$N$42,"Send")</x:f>
        <x:v>0</x:v>
      </x:c>
      <x:c r="D9" s="26" t="str">
        <x:v>Second reviewed wave</x:v>
      </x:c>
      <x:c r="E9" s="26" t="str">
        <x:v>After review</x:v>
      </x:c>
      <x:c r="F9" s="26" t="str">
        <x:v>Only verified role/general inboxes</x:v>
      </x:c>
    </x:row>
    <x:row r="10">
      <x:c r="A10" s="14" t="str">
        <x:v>Launch gates complete</x:v>
      </x:c>
      <x:c r="B10" s="17" t="str">
        <x:f>COUNTIF('Launch Gates'!$C$4:$C$11,"Complete")&amp;" / "&amp;COUNTA('Launch Gates'!$A$4:$A$11)</x:f>
        <x:v>3 / 8</x:v>
      </x:c>
    </x:row>
    <x:row r="12">
      <x:c r="A12" s="30" t="str">
        <x:v>Important: this workbook is a research and approval register, not permission to blast every address. “Send” must be chosen by a human after checking the school, inbox, suppression status and launch gates. Every actual message must be copied into Send Log.</x:v>
      </x:c>
      <x:c r="B12" s="30"/>
      <x:c r="C12" s="30"/>
      <x:c r="D12" s="30"/>
      <x:c r="E12" s="30"/>
      <x:c r="F12" s="30"/>
    </x:row>
    <x:row r="13">
      <x:c r="A13" s="30"/>
      <x:c r="B13" s="30"/>
      <x:c r="C13" s="30"/>
      <x:c r="D13" s="30"/>
      <x:c r="E13" s="30"/>
      <x:c r="F13" s="30"/>
    </x:row>
    <x:row r="14">
      <x:c r="A14" s="30"/>
      <x:c r="B14" s="30"/>
      <x:c r="C14" s="30"/>
      <x:c r="D14" s="30"/>
      <x:c r="E14" s="30"/>
      <x:c r="F14" s="30"/>
    </x:row>
    <x:row r="15">
      <x:c r="A15" s="30"/>
      <x:c r="B15" s="30"/>
      <x:c r="C15" s="30"/>
      <x:c r="D15" s="30"/>
      <x:c r="E15" s="30"/>
      <x:c r="F15" s="30"/>
    </x:row>
    <x:row r="16">
      <x:c r="A16" s="30"/>
      <x:c r="B16" s="30"/>
      <x:c r="C16" s="30"/>
      <x:c r="D16" s="30"/>
      <x:c r="E16" s="30"/>
      <x:c r="F16" s="30"/>
    </x:row>
  </x:sheetData>
  <x:mergeCells>
    <x:mergeCell ref="A1:F1"/>
    <x:mergeCell ref="A2:F2"/>
    <x:mergeCell ref="A12:F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15" hidden="0" customWidth="1"/>
    <x:col min="4" max="4" width="16" hidden="0" customWidth="1"/>
    <x:col min="5" max="5" width="55" hidden="0" customWidth="1"/>
  </x:cols>
  <x:sheetData>
    <x:row r="1" ht="36" customHeight="1">
      <x:c r="A1" s="3" t="str">
        <x:v>Launch gates</x:v>
      </x:c>
      <x:c r="B1" s="3"/>
      <x:c r="C1" s="3"/>
      <x:c r="D1" s="3"/>
      <x:c r="E1" s="3"/>
    </x:row>
    <x:row r="2" ht="32" customHeight="1">
      <x:c r="A2" s="6" t="str">
        <x:v>Yellow cells are owner inputs; no external message should leave until every required gate is complete.</x:v>
      </x:c>
      <x:c r="B2" s="6"/>
      <x:c r="C2" s="6"/>
      <x:c r="D2" s="6"/>
      <x:c r="E2" s="6"/>
    </x:row>
    <x:row r="3" ht="34" customHeight="1">
      <x:c r="A3" s="12" t="str">
        <x:v>Gate</x:v>
      </x:c>
      <x:c r="B3" s="20" t="str">
        <x:v>Owner</x:v>
      </x:c>
      <x:c r="C3" s="20" t="str">
        <x:v>Status</x:v>
      </x:c>
      <x:c r="D3" s="20" t="str">
        <x:v>Completed</x:v>
      </x:c>
      <x:c r="E3" s="13" t="str">
        <x:v>Evidence / next action</x:v>
      </x:c>
    </x:row>
    <x:row r="4">
      <x:c r="A4" s="31" t="str">
        <x:v>Final copy approved by Adam</x:v>
      </x:c>
      <x:c r="B4" s="31" t="str">
        <x:v>Adam</x:v>
      </x:c>
      <x:c r="C4" s="31" t="str">
        <x:v>Complete</x:v>
      </x:c>
      <x:c r="D4" s="31" t="str">
        <x:v>2026-09-03</x:v>
      </x:c>
      <x:c r="E4" s="31" t="str">
        <x:v>Voice-note corrections incorporated</x:v>
      </x:c>
    </x:row>
    <x:row r="5">
      <x:c r="A5" s="31" t="str">
        <x:v>Year-round delivery wording approved</x:v>
      </x:c>
      <x:c r="B5" s="31" t="str">
        <x:v>Adam</x:v>
      </x:c>
      <x:c r="C5" s="31" t="str">
        <x:v>Complete</x:v>
      </x:c>
      <x:c r="D5" s="31" t="str">
        <x:v>2026-09-03</x:v>
      </x:c>
      <x:c r="E5" s="31" t="str">
        <x:v>Includes spring/summer and multi-week programmes</x:v>
      </x:c>
    </x:row>
    <x:row r="6">
      <x:c r="A6" s="31" t="str">
        <x:v>Sending mailbox confirmed</x:v>
      </x:c>
      <x:c r="B6" s="31" t="str">
        <x:v>Zac / Adam</x:v>
      </x:c>
      <x:c r="C6" s="31" t="str">
        <x:v>Blocked</x:v>
      </x:c>
      <x:c r="D6" s="31" t="str"/>
      <x:c r="E6" s="31" t="str">
        <x:v>Prefer authenticated @ecowiseitaly.com mailbox; then test Gmail and Microsoft 365 delivery</x:v>
      </x:c>
    </x:row>
    <x:row r="7">
      <x:c r="A7" s="31" t="str">
        <x:v>SPF, DKIM and DMARC verified</x:v>
      </x:c>
      <x:c r="B7" s="31" t="str">
        <x:v>Zac</x:v>
      </x:c>
      <x:c r="C7" s="31" t="str">
        <x:v>Complete</x:v>
      </x:c>
      <x:c r="D7" s="31" t="str">
        <x:v>2026-09-03</x:v>
      </x:c>
      <x:c r="E7" s="31" t="str">
        <x:v>Live DNS: SiteGround SPF present; default DKIM resolves; DMARC present at p=none</x:v>
      </x:c>
    </x:row>
    <x:row r="8">
      <x:c r="A8" s="31" t="str">
        <x:v>Privacy notice and LIA approved</x:v>
      </x:c>
      <x:c r="B8" s="31" t="str">
        <x:v>Zac / Adam</x:v>
      </x:c>
      <x:c r="C8" s="31" t="str">
        <x:v>Blocked</x:v>
      </x:c>
      <x:c r="D8" s="31" t="str"/>
      <x:c r="E8" s="31" t="str">
        <x:v>Drafts prepared; confirm controller/providers/retention, sign the LIA and publish the notice</x:v>
      </x:c>
    </x:row>
    <x:row r="9">
      <x:c r="A9" s="31" t="str">
        <x:v>Suppression register reviewed</x:v>
      </x:c>
      <x:c r="B9" s="31" t="str">
        <x:v>Zac / Adam</x:v>
      </x:c>
      <x:c r="C9" s="31" t="str">
        <x:v>Ready</x:v>
      </x:c>
      <x:c r="D9" s="31" t="str"/>
      <x:c r="E9" s="31" t="str">
        <x:v>Empty initial register; add every objection immediately</x:v>
      </x:c>
    </x:row>
    <x:row r="10">
      <x:c r="A10" s="31" t="str">
        <x:v>First pilot recipient rows approved</x:v>
      </x:c>
      <x:c r="B10" s="31" t="str">
        <x:v>Adam</x:v>
      </x:c>
      <x:c r="C10" s="31" t="str">
        <x:v>Blocked</x:v>
      </x:c>
      <x:c r="D10" s="31" t="str"/>
      <x:c r="E10" s="31" t="str">
        <x:v>Set Send Decision to Send only after inbox verification</x:v>
      </x:c>
    </x:row>
    <x:row r="11">
      <x:c r="A11" s="31" t="str">
        <x:v>Explicit send authorisation recorded</x:v>
      </x:c>
      <x:c r="B11" s="31" t="str">
        <x:v>Adam / Yenka</x:v>
      </x:c>
      <x:c r="C11" s="31" t="str">
        <x:v>Blocked</x:v>
      </x:c>
      <x:c r="D11" s="31" t="str"/>
      <x:c r="E11" s="31" t="str">
        <x:v>Approval must name batch and copy version</x:v>
      </x:c>
    </x:row>
  </x:sheetData>
  <x:mergeCells>
    <x:mergeCell ref="A1:E1"/>
    <x:mergeCell ref="A2:E2"/>
  </x:mergeCells>
  <x:conditionalFormatting sqref="C4:C11">
    <x:cfRule type="containsText" dxfId="0" priority="1" operator="containsText" text="Complete"/>
    <x:cfRule type="containsText" dxfId="1" priority="2" operator="containsText" text="Blocked"/>
  </x:conditionalFormatting>
  <x:dataValidations count="1">
    <x:dataValidation type="list" sqref="C4:C11">
      <x:formula1>"Blocked,Ready,Complete"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6" customHeight="1">
      <x:c r="A1" s="3" t="str">
        <x:v>Campaign copy — Adam-approved revision</x:v>
      </x:c>
      <x:c r="B1" s="3"/>
      <x:c r="C1" s="3"/>
      <x:c r="D1" s="3"/>
      <x:c r="E1" s="3"/>
      <x:c r="F1" s="3"/>
      <x:c r="G1" s="3"/>
      <x:c r="H1" s="3"/>
    </x:row>
    <x:row r="2" ht="32" customHeight="1">
      <x:c r="A2" s="6" t="str">
        <x:v>Copy version: EWI-SCHOOLS-2026-09-03-A • actual sends must be recorded in Send Log</x:v>
      </x:c>
      <x:c r="B2" s="6"/>
      <x:c r="C2" s="6"/>
      <x:c r="D2" s="6"/>
      <x:c r="E2" s="6"/>
      <x:c r="F2" s="6"/>
      <x:c r="G2" s="6"/>
      <x:c r="H2" s="6"/>
    </x:row>
    <x:row r="4" ht="28" customHeight="1">
      <x:c r="A4" s="33" t="str">
        <x:v>Subject options</x:v>
      </x:c>
      <x:c r="B4" s="34" t="str">
        <x:v>A five-day outdoor learning journey in Piemonte</x:v>
      </x:c>
      <x:c r="C4" s="34"/>
      <x:c r="D4" s="34"/>
      <x:c r="E4" s="34"/>
      <x:c r="F4" s="34"/>
      <x:c r="G4" s="34"/>
      <x:c r="H4" s="34"/>
    </x:row>
    <x:row r="5" ht="28" customHeight="1">
      <x:c r="A5" s="33"/>
      <x:c r="B5" s="34" t="str">
        <x:v>School ecology, storytelling and adventure in Italy</x:v>
      </x:c>
      <x:c r="C5" s="34"/>
      <x:c r="D5" s="34"/>
      <x:c r="E5" s="34"/>
      <x:c r="F5" s="34"/>
      <x:c r="G5" s="34"/>
      <x:c r="H5" s="34"/>
    </x:row>
    <x:row r="6" ht="28" customHeight="1">
      <x:c r="A6" s="33"/>
      <x:c r="B6" s="34" t="str">
        <x:v>A tailored Italy residential for your pupils</x:v>
      </x:c>
      <x:c r="C6" s="34"/>
      <x:c r="D6" s="34"/>
      <x:c r="E6" s="34"/>
      <x:c r="F6" s="34"/>
      <x:c r="G6" s="34"/>
      <x:c r="H6" s="34"/>
    </x:row>
    <x:row r="7" ht="28" customHeight="1">
      <x:c r="A7" s="33"/>
      <x:c r="B7" s="34" t="str">
        <x:v>Nature awareness and forest schooling in Piemonte</x:v>
      </x:c>
      <x:c r="C7" s="34"/>
      <x:c r="D7" s="34"/>
      <x:c r="E7" s="34"/>
      <x:c r="F7" s="34"/>
      <x:c r="G7" s="34"/>
      <x:c r="H7" s="34"/>
    </x:row>
    <x:row r="9">
      <x:c r="A9" s="36" t="str">
        <x:v>INITIAL EMAIL</x:v>
      </x:c>
      <x:c r="B9" s="36"/>
      <x:c r="C9" s="36"/>
      <x:c r="D9" s="36"/>
      <x:c r="E9" s="36"/>
      <x:c r="F9" s="36"/>
      <x:c r="G9" s="36"/>
      <x:c r="H9" s="36"/>
    </x:row>
    <x:row r="10" ht="24" customHeight="1">
      <x:c r="A10" s="37" t="str">
        <x:v>Hello,</x:v>
      </x:c>
      <x:c r="B10" s="37"/>
      <x:c r="C10" s="37"/>
      <x:c r="D10" s="37"/>
      <x:c r="E10" s="37"/>
      <x:c r="F10" s="37"/>
      <x:c r="G10" s="37"/>
      <x:c r="H10" s="37"/>
    </x:row>
    <x:row r="11" ht="31" customHeight="1">
      <x:c r="A11" s="34" t="str">
        <x:v>I’m Adam Rose from EcoWise Italy. For more than 20 years we have designed and tailored outdoor education in Piemonte, combining environmental science and ecology with storytelling, environmental art, teamwork, nature awareness and forest schooling away from screens.</x:v>
      </x:c>
      <x:c r="B11" s="34"/>
      <x:c r="C11" s="34"/>
      <x:c r="D11" s="34"/>
      <x:c r="E11" s="34"/>
      <x:c r="F11" s="34"/>
      <x:c r="G11" s="34"/>
      <x:c r="H11" s="34"/>
    </x:row>
    <x:row r="12" ht="31" customHeight="1">
      <x:c r="A12" s="37"/>
      <x:c r="B12" s="37"/>
      <x:c r="C12" s="37"/>
      <x:c r="D12" s="37"/>
      <x:c r="E12" s="37"/>
      <x:c r="F12" s="37"/>
      <x:c r="G12" s="37"/>
      <x:c r="H12" s="37"/>
    </x:row>
    <x:row r="13" ht="31" customHeight="1">
      <x:c r="A13" s="34" t="str">
        <x:v>For schools travelling internationally, we recommend five days and four nights: enough time for pupils to settle into the landscape, investigate habitats, solve practical challenges, create stories and develop as a group. Programmes can also be shorter or extend to a multi-week immersion.</x:v>
      </x:c>
      <x:c r="B13" s="34"/>
      <x:c r="C13" s="34"/>
      <x:c r="D13" s="34"/>
      <x:c r="E13" s="34"/>
      <x:c r="F13" s="34"/>
      <x:c r="G13" s="34"/>
      <x:c r="H13" s="34"/>
    </x:row>
    <x:row r="14" ht="31" customHeight="1">
      <x:c r="A14" s="37"/>
      <x:c r="B14" s="37"/>
      <x:c r="C14" s="37"/>
      <x:c r="D14" s="37"/>
      <x:c r="E14" s="37"/>
      <x:c r="F14" s="37"/>
      <x:c r="G14" s="37"/>
      <x:c r="H14" s="37"/>
    </x:row>
    <x:row r="15" ht="24" customHeight="1">
      <x:c r="A15" s="34" t="str">
        <x:v>We work throughout the year, including spring and summer. November to March often offers greater flexibility, subject to me confirming the live calendar.</x:v>
      </x:c>
      <x:c r="B15" s="34"/>
      <x:c r="C15" s="34"/>
      <x:c r="D15" s="34"/>
      <x:c r="E15" s="34"/>
      <x:c r="F15" s="34"/>
      <x:c r="G15" s="34"/>
      <x:c r="H15" s="34"/>
    </x:row>
    <x:row r="16" ht="24" customHeight="1">
      <x:c r="A16" s="37"/>
      <x:c r="B16" s="37"/>
      <x:c r="C16" s="37"/>
      <x:c r="D16" s="37"/>
      <x:c r="E16" s="37"/>
      <x:c r="F16" s="37"/>
      <x:c r="G16" s="37"/>
      <x:c r="H16" s="37"/>
    </x:row>
    <x:row r="17" ht="24" customHeight="1">
      <x:c r="A17" s="34" t="str">
        <x:v>EcoWise Italy designs and delivers the programme, selects the location, and books suitable accommodation and food on the school’s behalf. Your school arranges its main travel and pays the programme, accommodation/food and travel providers separately. We hold public liability insurance and can provide evidence privately during planning.</x:v>
      </x:c>
      <x:c r="B17" s="34"/>
      <x:c r="C17" s="34"/>
      <x:c r="D17" s="34"/>
      <x:c r="E17" s="34"/>
      <x:c r="F17" s="34"/>
      <x:c r="G17" s="34"/>
      <x:c r="H17" s="34"/>
    </x:row>
    <x:row r="18" ht="24" customHeight="1">
      <x:c r="A18" s="34"/>
      <x:c r="B18" s="34"/>
      <x:c r="C18" s="34"/>
      <x:c r="D18" s="34"/>
      <x:c r="E18" s="34"/>
      <x:c r="F18" s="34"/>
      <x:c r="G18" s="34"/>
      <x:c r="H18" s="34"/>
    </x:row>
    <x:row r="19" ht="24" customHeight="1">
      <x:c r="A19" s="37"/>
      <x:c r="B19" s="37"/>
      <x:c r="C19" s="37"/>
      <x:c r="D19" s="37"/>
      <x:c r="E19" s="37"/>
      <x:c r="F19" s="37"/>
      <x:c r="G19" s="37"/>
      <x:c r="H19" s="37"/>
    </x:row>
    <x:row r="20" ht="24" customHeight="1">
      <x:c r="A20" s="34" t="str">
        <x:v>Could you point me to the person responsible for overseas residentials, outdoor education or co-curricular trips? The planning page is here:</x:v>
      </x:c>
      <x:c r="B20" s="34"/>
      <x:c r="C20" s="34"/>
      <x:c r="D20" s="34"/>
      <x:c r="E20" s="34"/>
      <x:c r="F20" s="34"/>
      <x:c r="G20" s="34"/>
      <x:c r="H20" s="34"/>
    </x:row>
    <x:row r="21" ht="24" customHeight="1">
      <x:c r="A21" s="37"/>
      <x:c r="B21" s="37"/>
      <x:c r="C21" s="37"/>
      <x:c r="D21" s="37"/>
      <x:c r="E21" s="37"/>
      <x:c r="F21" s="37"/>
      <x:c r="G21" s="37"/>
      <x:c r="H21" s="37"/>
    </x:row>
    <x:row r="22" ht="24" customHeight="1">
      <x:c r="A22" s="37" t="str">
        <x:v>https://ecowiseitaly.com/school-trips-italy/</x:v>
      </x:c>
      <x:c r="B22" s="37"/>
      <x:c r="C22" s="37"/>
      <x:c r="D22" s="37"/>
      <x:c r="E22" s="37"/>
      <x:c r="F22" s="37"/>
      <x:c r="G22" s="37"/>
      <x:c r="H22" s="37"/>
    </x:row>
    <x:row r="23" ht="24" customHeight="1">
      <x:c r="A23" s="34" t="str">
        <x:v>I reply personally within 24 hours and would be happy to explore whether the programme fits your pupils, dates and aims.</x:v>
      </x:c>
      <x:c r="B23" s="34"/>
      <x:c r="C23" s="34"/>
      <x:c r="D23" s="34"/>
      <x:c r="E23" s="34"/>
      <x:c r="F23" s="34"/>
      <x:c r="G23" s="34"/>
      <x:c r="H23" s="34"/>
    </x:row>
    <x:row r="24" ht="24" customHeight="1">
      <x:c r="A24" s="37"/>
      <x:c r="B24" s="37"/>
      <x:c r="C24" s="37"/>
      <x:c r="D24" s="37"/>
      <x:c r="E24" s="37"/>
      <x:c r="F24" s="37"/>
      <x:c r="G24" s="37"/>
      <x:c r="H24" s="37"/>
    </x:row>
    <x:row r="25" ht="30" customHeight="1">
      <x:c r="A25" s="34" t="str">
        <x:v>Best wishes,
Adam Rose
EcoWise Italy
adamecorose@gmail.com
+39 342 136 3274</x:v>
      </x:c>
      <x:c r="B25" s="34"/>
      <x:c r="C25" s="34"/>
      <x:c r="D25" s="34"/>
      <x:c r="E25" s="34"/>
      <x:c r="F25" s="34"/>
      <x:c r="G25" s="34"/>
      <x:c r="H25" s="34"/>
    </x:row>
    <x:row r="26" ht="30" customHeight="1">
      <x:c r="A26" s="34"/>
      <x:c r="B26" s="34"/>
      <x:c r="C26" s="34"/>
      <x:c r="D26" s="34"/>
      <x:c r="E26" s="34"/>
      <x:c r="F26" s="34"/>
      <x:c r="G26" s="34"/>
      <x:c r="H26" s="34"/>
    </x:row>
    <x:row r="27" ht="30" customHeight="1">
      <x:c r="A27" s="37"/>
      <x:c r="B27" s="37"/>
      <x:c r="C27" s="37"/>
      <x:c r="D27" s="37"/>
      <x:c r="E27" s="37"/>
      <x:c r="F27" s="37"/>
      <x:c r="G27" s="37"/>
      <x:c r="H27" s="37"/>
    </x:row>
    <x:row r="28" ht="21" customHeight="1">
      <x:c r="A28" s="34" t="str">
        <x:v>If school-trip information is not relevant, reply “no thanks” and we will not contact this address again.</x:v>
      </x:c>
      <x:c r="B28" s="34"/>
      <x:c r="C28" s="34"/>
      <x:c r="D28" s="34"/>
      <x:c r="E28" s="34"/>
      <x:c r="F28" s="34"/>
      <x:c r="G28" s="34"/>
      <x:c r="H28" s="34"/>
    </x:row>
    <x:row r="29" ht="21" customHeight="1">
      <x:c r="A29" s="37"/>
      <x:c r="B29" s="37"/>
      <x:c r="C29" s="37"/>
      <x:c r="D29" s="37"/>
      <x:c r="E29" s="37"/>
      <x:c r="F29" s="37"/>
      <x:c r="G29" s="37"/>
      <x:c r="H29" s="37"/>
    </x:row>
    <x:row r="31">
      <x:c r="A31" s="36" t="str">
        <x:v>FIRST FOLLOW-UP — send once after seven working days only</x:v>
      </x:c>
      <x:c r="B31" s="36"/>
      <x:c r="C31" s="36"/>
      <x:c r="D31" s="36"/>
      <x:c r="E31" s="36"/>
      <x:c r="F31" s="36"/>
      <x:c r="G31" s="36"/>
      <x:c r="H31" s="36"/>
    </x:row>
    <x:row r="32" ht="34" customHeight="1">
      <x:c r="A32" s="39" t="str">
        <x:v>Hello,
I’m following up in case EcoWise Italy’s tailored residential learning in Piemonte could fit a future overseas trip. A typical class is 20–30 pupils, programmes are quoted per person, and five days/four nights is our recommended international format. We work year-round, with historically quieter capacity from November to March, subject to me checking the calendar.
Is there a colleague who leads educational visits, outdoor learning or co-curricular programmes?
Planning overview: https://ecowiseitaly.com/school-trips-italy/
Best wishes,
Adam</x:v>
      </x:c>
      <x:c r="B32" s="39"/>
      <x:c r="C32" s="39"/>
      <x:c r="D32" s="39"/>
      <x:c r="E32" s="39"/>
      <x:c r="F32" s="39"/>
      <x:c r="G32" s="39"/>
      <x:c r="H32" s="39"/>
    </x:row>
    <x:row r="33" ht="34" customHeight="1">
      <x:c r="A33" s="39"/>
      <x:c r="B33" s="39"/>
      <x:c r="C33" s="39"/>
      <x:c r="D33" s="39"/>
      <x:c r="E33" s="39"/>
      <x:c r="F33" s="39"/>
      <x:c r="G33" s="39"/>
      <x:c r="H33" s="39"/>
    </x:row>
    <x:row r="34" ht="34" customHeight="1">
      <x:c r="A34" s="39"/>
      <x:c r="B34" s="39"/>
      <x:c r="C34" s="39"/>
      <x:c r="D34" s="39"/>
      <x:c r="E34" s="39"/>
      <x:c r="F34" s="39"/>
      <x:c r="G34" s="39"/>
      <x:c r="H34" s="39"/>
    </x:row>
    <x:row r="35" ht="34" customHeight="1">
      <x:c r="A35" s="39"/>
      <x:c r="B35" s="39"/>
      <x:c r="C35" s="39"/>
      <x:c r="D35" s="39"/>
      <x:c r="E35" s="39"/>
      <x:c r="F35" s="39"/>
      <x:c r="G35" s="39"/>
      <x:c r="H35" s="39"/>
    </x:row>
    <x:row r="36" ht="34" customHeight="1">
      <x:c r="A36" s="39"/>
      <x:c r="B36" s="39"/>
      <x:c r="C36" s="39"/>
      <x:c r="D36" s="39"/>
      <x:c r="E36" s="39"/>
      <x:c r="F36" s="39"/>
      <x:c r="G36" s="39"/>
      <x:c r="H36" s="39"/>
    </x:row>
    <x:row r="37" ht="34" customHeight="1">
      <x:c r="A37" s="39"/>
      <x:c r="B37" s="39"/>
      <x:c r="C37" s="39"/>
      <x:c r="D37" s="39"/>
      <x:c r="E37" s="39"/>
      <x:c r="F37" s="39"/>
      <x:c r="G37" s="39"/>
      <x:c r="H37" s="39"/>
    </x:row>
    <x:row r="38" ht="34" customHeight="1">
      <x:c r="A38" s="39"/>
      <x:c r="B38" s="39"/>
      <x:c r="C38" s="39"/>
      <x:c r="D38" s="39"/>
      <x:c r="E38" s="39"/>
      <x:c r="F38" s="39"/>
      <x:c r="G38" s="39"/>
      <x:c r="H38" s="39"/>
    </x:row>
  </x:sheetData>
  <x:mergeCells>
    <x:mergeCell ref="A1:H1"/>
    <x:mergeCell ref="A2:H2"/>
    <x:mergeCell ref="A4:A7"/>
    <x:mergeCell ref="B4:H4"/>
    <x:mergeCell ref="B5:H5"/>
    <x:mergeCell ref="B6:H6"/>
    <x:mergeCell ref="B7:H7"/>
    <x:mergeCell ref="A9:H9"/>
    <x:mergeCell ref="A10:H10"/>
    <x:mergeCell ref="A11:H12"/>
    <x:mergeCell ref="A13:H14"/>
    <x:mergeCell ref="A15:H16"/>
    <x:mergeCell ref="A17:H19"/>
    <x:mergeCell ref="A20:H21"/>
    <x:mergeCell ref="A22:H22"/>
    <x:mergeCell ref="A23:H24"/>
    <x:mergeCell ref="A25:H27"/>
    <x:mergeCell ref="A28:H29"/>
    <x:mergeCell ref="A31:H31"/>
    <x:mergeCell ref="A32:H3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11" hidden="0" customWidth="1"/>
    <x:col min="3" max="3" width="13" hidden="0" customWidth="1"/>
    <x:col min="4" max="4" width="8" hidden="0" customWidth="1"/>
    <x:col min="5" max="5" width="34" hidden="0" customWidth="1"/>
    <x:col min="6" max="6" width="18" hidden="0" customWidth="1"/>
    <x:col min="7" max="7" width="18" hidden="0" customWidth="1"/>
    <x:col min="8" max="8" width="12" hidden="0" customWidth="1"/>
    <x:col min="9" max="9" width="9" hidden="0" customWidth="1"/>
    <x:col min="10" max="10" width="9" hidden="0" customWidth="1"/>
    <x:col min="11" max="11" width="16" hidden="0" customWidth="1"/>
    <x:col min="12" max="12" width="18" hidden="0" customWidth="1"/>
    <x:col min="13" max="13" width="10" hidden="0" customWidth="1"/>
    <x:col min="14" max="14" width="34" hidden="0" customWidth="1"/>
    <x:col min="15" max="15" width="17" hidden="0" customWidth="1"/>
    <x:col min="16" max="16" width="35" hidden="0" customWidth="1"/>
    <x:col min="17" max="17" width="42" hidden="0" customWidth="1"/>
    <x:col min="18" max="18" width="30" hidden="0" customWidth="1"/>
    <x:col min="19" max="19" width="24" hidden="0" customWidth="1"/>
    <x:col min="20" max="20" width="15" hidden="0" customWidth="1"/>
    <x:col min="21" max="21" width="12" hidden="0" customWidth="1"/>
    <x:col min="22" max="22" width="14" hidden="0" customWidth="1"/>
    <x:col min="23" max="23" width="18" hidden="0" customWidth="1"/>
    <x:col min="24" max="24" width="24" hidden="0" customWidth="1"/>
    <x:col min="25" max="25" width="28" hidden="0" customWidth="1"/>
    <x:col min="26" max="26" width="43" hidden="0" customWidth="1"/>
  </x:cols>
  <x:sheetData>
    <x:row r="1" ht="36" customHeight="1">
      <x:c r="A1" s="3" t="str">
        <x:v>UK independent-school market universe</x:v>
      </x:c>
      <x:c r="B1" s="3"/>
      <x:c r="C1" s="3"/>
      <x:c r="D1" s="3"/>
      <x:c r="E1" s="3"/>
      <x:c r="F1" s="3"/>
      <x:c r="G1" s="3"/>
      <x:c r="H1" s="3"/>
      <x:c r="I1" s="3"/>
      <x:c r="J1" s="3"/>
      <x:c r="K1" s="3"/>
      <x:c r="L1" s="3"/>
      <x:c r="M1" s="3"/>
      <x:c r="N1" s="3"/>
      <x:c r="O1" s="3"/>
      <x:c r="P1" s="3"/>
      <x:c r="Q1" s="3"/>
      <x:c r="R1" s="3"/>
      <x:c r="S1" s="3"/>
      <x:c r="T1" s="3"/>
      <x:c r="U1" s="3"/>
      <x:c r="V1" s="3"/>
      <x:c r="W1" s="3"/>
      <x:c r="X1" s="3"/>
      <x:c r="Y1" s="3"/>
      <x:c r="Z1" s="3"/>
    </x:row>
    <x:row r="2" ht="32" customHeight="1">
      <x:c r="A2" s="6" t="str">
        <x:v>1,548 open England independent schools serving pupils aged 11+ • GIAS public download 2026-09-03</x:v>
      </x:c>
      <x:c r="B2" s="6"/>
      <x:c r="C2" s="6"/>
      <x:c r="D2" s="6"/>
      <x:c r="E2" s="6"/>
      <x:c r="F2" s="6"/>
      <x:c r="G2" s="6"/>
      <x:c r="H2" s="6"/>
      <x:c r="I2" s="6"/>
      <x:c r="J2" s="6"/>
      <x:c r="K2" s="6"/>
      <x:c r="L2" s="6"/>
      <x:c r="M2" s="6"/>
      <x:c r="N2" s="6"/>
      <x:c r="O2" s="6"/>
      <x:c r="P2" s="6"/>
      <x:c r="Q2" s="6"/>
      <x:c r="R2" s="6"/>
      <x:c r="S2" s="6"/>
      <x:c r="T2" s="6"/>
      <x:c r="U2" s="6"/>
      <x:c r="V2" s="6"/>
      <x:c r="W2" s="6"/>
      <x:c r="X2" s="6"/>
      <x:c r="Y2" s="6"/>
      <x:c r="Z2" s="6"/>
    </x:row>
    <x:row r="3" ht="34" customHeight="1">
      <x:c r="A3" s="40" t="str">
        <x:v>Market</x:v>
      </x:c>
      <x:c r="B3" s="41" t="str">
        <x:v>URN</x:v>
      </x:c>
      <x:c r="C3" s="41" t="str">
        <x:v>Priority score</x:v>
      </x:c>
      <x:c r="D3" s="41" t="str">
        <x:v>Tier</x:v>
      </x:c>
      <x:c r="E3" s="41" t="str">
        <x:v>School</x:v>
      </x:c>
      <x:c r="F3" s="41" t="str">
        <x:v>Town</x:v>
      </x:c>
      <x:c r="G3" s="41" t="str">
        <x:v>County</x:v>
      </x:c>
      <x:c r="H3" s="41" t="str">
        <x:v>Postcode</x:v>
      </x:c>
      <x:c r="I3" s="41" t="str">
        <x:v>Low age</x:v>
      </x:c>
      <x:c r="J3" s="41" t="str">
        <x:v>High age</x:v>
      </x:c>
      <x:c r="K3" s="41" t="str">
        <x:v>Boarding</x:v>
      </x:c>
      <x:c r="L3" s="41" t="str">
        <x:v>Sixth form</x:v>
      </x:c>
      <x:c r="M3" s="41" t="str">
        <x:v>Pupils</x:v>
      </x:c>
      <x:c r="N3" s="41" t="str">
        <x:v>Website</x:v>
      </x:c>
      <x:c r="O3" s="41" t="str">
        <x:v>Telephone</x:v>
      </x:c>
      <x:c r="P3" s="41" t="str">
        <x:v>Public role email</x:v>
      </x:c>
      <x:c r="Q3" s="41" t="str">
        <x:v>Email source</x:v>
      </x:c>
      <x:c r="R3" s="41" t="str">
        <x:v>Research status</x:v>
      </x:c>
      <x:c r="S3" s="41" t="str">
        <x:v>Human review</x:v>
      </x:c>
      <x:c r="T3" s="41" t="str">
        <x:v>Send decision</x:v>
      </x:c>
      <x:c r="U3" s="41" t="str">
        <x:v>Suppressed</x:v>
      </x:c>
      <x:c r="V3" s="41" t="str">
        <x:v>Sent date</x:v>
      </x:c>
      <x:c r="W3" s="41" t="str">
        <x:v>Response</x:v>
      </x:c>
      <x:c r="X3" s="41" t="str">
        <x:v>Next action</x:v>
      </x:c>
      <x:c r="Y3" s="41" t="str">
        <x:v>Notes</x:v>
      </x:c>
      <x:c r="Z3" s="42" t="str">
        <x:v>Source URL</x:v>
      </x:c>
    </x:row>
    <x:row r="4">
      <x:c r="A4" s="43" t="str">
        <x:v>UK independent</x:v>
      </x:c>
      <x:c r="B4" s="43" t="str">
        <x:v>117012</x:v>
      </x:c>
      <x:c r="C4" s="43" t="n">
        <x:f>IF(K4="Boarding school",30,0)+IF(J4&gt;=18,20,0)+IF(I4&lt;=11,10,0)+IF(L4="Has a sixth form",15,0)+IF(M4&gt;=200,10,0)+IF(N4&lt;&gt;"",10,0)</x:f>
        <x:v>95</x:v>
      </x:c>
      <x:c r="D4" s="43" t="str">
        <x:f>IF(C4&gt;=85,"A",IF(C4&gt;=65,"B","C"))</x:f>
        <x:v>A</x:v>
      </x:c>
      <x:c r="E4" s="43" t="str">
        <x:v>Bromsgrove School</x:v>
      </x:c>
      <x:c r="F4" s="43" t="str">
        <x:v>Bromsgrove</x:v>
      </x:c>
      <x:c r="G4" s="43" t="str">
        <x:v>Worcestershire</x:v>
      </x:c>
      <x:c r="H4" s="43" t="str">
        <x:v>B61 7DU</x:v>
      </x:c>
      <x:c r="I4" s="43" t="n">
        <x:v>2</x:v>
      </x:c>
      <x:c r="J4" s="43" t="n">
        <x:v>18</x:v>
      </x:c>
      <x:c r="K4" s="43" t="str">
        <x:v>Boarding school</x:v>
      </x:c>
      <x:c r="L4" s="43" t="str">
        <x:v>Has a sixth form</x:v>
      </x:c>
      <x:c r="M4" s="43" t="n">
        <x:v>2023</x:v>
      </x:c>
      <x:c r="N4" s="43" t="str">
        <x:v>http://www.bromsgrove-school.co.uk/</x:v>
      </x:c>
      <x:c r="O4" s="43" t="str">
        <x:v>01527579679</x:v>
      </x:c>
      <x:c r="P4" s="43" t="str">
        <x:v>enquiries@bromsgrove-school.co.uk</x:v>
      </x:c>
      <x:c r="Q4" s="43" t="str">
        <x:v>http://www.bromsgrove-school.co.uk/</x:v>
      </x:c>
      <x:c r="R4" s="43" t="str">
        <x:v>Generic public inbox found</x:v>
      </x:c>
      <x:c r="S4" s="43" t="str">
        <x:v>Needs human verification</x:v>
      </x:c>
      <x:c r="T4" s="43" t="str">
        <x:v>Hold</x:v>
      </x:c>
      <x:c r="U4" s="43" t="str">
        <x:v>No</x:v>
      </x:c>
      <x:c r="V4" s="44"/>
      <x:c r="W4" s="43" t="str"/>
      <x:c r="X4" s="43" t="str"/>
      <x:c r="Y4" s="43" t="str"/>
      <x:c r="Z4" s="43" t="str">
        <x:v>https://www.get-information-schools.service.gov.uk/Downloads</x:v>
      </x:c>
    </x:row>
    <x:row r="5">
      <x:c r="A5" s="43" t="str">
        <x:v>UK independent</x:v>
      </x:c>
      <x:c r="B5" s="43" t="str">
        <x:v>100861</x:v>
      </x:c>
      <x:c r="C5" s="43" t="n">
        <x:f>IF(K5="Boarding school",30,0)+IF(J5&gt;=18,20,0)+IF(I5&lt;=11,10,0)+IF(L5="Has a sixth form",15,0)+IF(M5&gt;=200,10,0)+IF(N5&lt;&gt;"",10,0)</x:f>
        <x:v>95</x:v>
      </x:c>
      <x:c r="D5" s="43" t="str">
        <x:f>IF(C5&gt;=85,"A",IF(C5&gt;=65,"B","C"))</x:f>
        <x:v>A</x:v>
      </x:c>
      <x:c r="E5" s="43" t="str">
        <x:v>Dulwich College</x:v>
      </x:c>
      <x:c r="F5" s="43" t="str">
        <x:v>London</x:v>
      </x:c>
      <x:c r="G5" s="43" t="str"/>
      <x:c r="H5" s="43" t="str">
        <x:v>SE21 7LD</x:v>
      </x:c>
      <x:c r="I5" s="43" t="n">
        <x:v>0</x:v>
      </x:c>
      <x:c r="J5" s="43" t="n">
        <x:v>19</x:v>
      </x:c>
      <x:c r="K5" s="43" t="str">
        <x:v>Boarding school</x:v>
      </x:c>
      <x:c r="L5" s="43" t="str">
        <x:v>Has a sixth form</x:v>
      </x:c>
      <x:c r="M5" s="43" t="n">
        <x:v>1923</x:v>
      </x:c>
      <x:c r="N5" s="43" t="str">
        <x:v>https://www.dulwich.org.uk</x:v>
      </x:c>
      <x:c r="O5" s="43" t="str">
        <x:v>02086933601</x:v>
      </x:c>
      <x:c r="P5" s="43" t="str">
        <x:v>enquiries@dulwich.org.uk</x:v>
      </x:c>
      <x:c r="Q5" s="43" t="str">
        <x:v>https://www.dulwich.org.uk</x:v>
      </x:c>
      <x:c r="R5" s="43" t="str">
        <x:v>Generic public inbox found</x:v>
      </x:c>
      <x:c r="S5" s="43" t="str">
        <x:v>Needs human verification</x:v>
      </x:c>
      <x:c r="T5" s="43" t="str">
        <x:v>Hold</x:v>
      </x:c>
      <x:c r="U5" s="43" t="str">
        <x:v>No</x:v>
      </x:c>
      <x:c r="V5" s="44"/>
      <x:c r="W5" s="43" t="str"/>
      <x:c r="X5" s="43" t="str"/>
      <x:c r="Y5" s="43" t="str"/>
      <x:c r="Z5" s="43" t="str">
        <x:v>https://www.get-information-schools.service.gov.uk/Downloads</x:v>
      </x:c>
    </x:row>
    <x:row r="6">
      <x:c r="A6" s="43" t="str">
        <x:v>UK independent</x:v>
      </x:c>
      <x:c r="B6" s="43" t="str">
        <x:v>115429</x:v>
      </x:c>
      <x:c r="C6" s="43" t="n">
        <x:f>IF(K6="Boarding school",30,0)+IF(J6&gt;=18,20,0)+IF(I6&lt;=11,10,0)+IF(L6="Has a sixth form",15,0)+IF(M6&gt;=200,10,0)+IF(N6&lt;&gt;"",10,0)</x:f>
        <x:v>95</x:v>
      </x:c>
      <x:c r="D6" s="43" t="str">
        <x:f>IF(C6&gt;=85,"A",IF(C6&gt;=65,"B","C"))</x:f>
        <x:v>A</x:v>
      </x:c>
      <x:c r="E6" s="43" t="str">
        <x:v>Brentwood School</x:v>
      </x:c>
      <x:c r="F6" s="43" t="str">
        <x:v>Brentwood</x:v>
      </x:c>
      <x:c r="G6" s="43" t="str">
        <x:v>Essex</x:v>
      </x:c>
      <x:c r="H6" s="43" t="str">
        <x:v>CM15 8EE</x:v>
      </x:c>
      <x:c r="I6" s="43" t="n">
        <x:v>3</x:v>
      </x:c>
      <x:c r="J6" s="43" t="n">
        <x:v>19</x:v>
      </x:c>
      <x:c r="K6" s="43" t="str">
        <x:v>Boarding school</x:v>
      </x:c>
      <x:c r="L6" s="43" t="str">
        <x:v>Has a sixth form</x:v>
      </x:c>
      <x:c r="M6" s="43" t="n">
        <x:v>1853</x:v>
      </x:c>
      <x:c r="N6" s="43" t="str">
        <x:v>https://www.brentwoodschool.co.uk</x:v>
      </x:c>
      <x:c r="O6" s="43" t="str">
        <x:v>01277243243</x:v>
      </x:c>
      <x:c r="P6" s="43" t="str"/>
      <x:c r="Q6" s="43" t="str">
        <x:v>https://www.brentwoodschool.co.uk</x:v>
      </x:c>
      <x:c r="R6" s="43" t="str">
        <x:v>Manual contact review needed</x:v>
      </x:c>
      <x:c r="S6" s="43" t="str">
        <x:v>Not reviewed</x:v>
      </x:c>
      <x:c r="T6" s="43" t="str">
        <x:v>Hold</x:v>
      </x:c>
      <x:c r="U6" s="43" t="str">
        <x:v>No</x:v>
      </x:c>
      <x:c r="V6" s="44"/>
      <x:c r="W6" s="43" t="str"/>
      <x:c r="X6" s="43" t="str"/>
      <x:c r="Y6" s="43" t="str"/>
      <x:c r="Z6" s="43" t="str">
        <x:v>https://www.get-information-schools.service.gov.uk/Downloads</x:v>
      </x:c>
    </x:row>
    <x:row r="7">
      <x:c r="A7" s="43" t="str">
        <x:v>UK independent</x:v>
      </x:c>
      <x:c r="B7" s="43" t="str">
        <x:v>101837</x:v>
      </x:c>
      <x:c r="C7" s="43" t="n">
        <x:f>IF(K7="Boarding school",30,0)+IF(J7&gt;=18,20,0)+IF(I7&lt;=11,10,0)+IF(L7="Has a sixth form",15,0)+IF(M7&gt;=200,10,0)+IF(N7&lt;&gt;"",10,0)</x:f>
        <x:v>95</x:v>
      </x:c>
      <x:c r="D7" s="43" t="str">
        <x:f>IF(C7&gt;=85,"A",IF(C7&gt;=65,"B","C"))</x:f>
        <x:v>A</x:v>
      </x:c>
      <x:c r="E7" s="43" t="str">
        <x:v>Whitgift School</x:v>
      </x:c>
      <x:c r="F7" s="43" t="str"/>
      <x:c r="G7" s="43" t="str"/>
      <x:c r="H7" s="43" t="str">
        <x:v>CR2 6YT</x:v>
      </x:c>
      <x:c r="I7" s="43" t="n">
        <x:v>10</x:v>
      </x:c>
      <x:c r="J7" s="43" t="n">
        <x:v>18</x:v>
      </x:c>
      <x:c r="K7" s="43" t="str">
        <x:v>Boarding school</x:v>
      </x:c>
      <x:c r="L7" s="43" t="str">
        <x:v>Has a sixth form</x:v>
      </x:c>
      <x:c r="M7" s="43" t="n">
        <x:v>1515</x:v>
      </x:c>
      <x:c r="N7" s="43" t="str">
        <x:v>http://www.whitgift.co.uk/</x:v>
      </x:c>
      <x:c r="O7" s="43" t="str">
        <x:v>02086889222</x:v>
      </x:c>
      <x:c r="P7" s="43" t="str">
        <x:v>office@whitgift.co.uk</x:v>
      </x:c>
      <x:c r="Q7" s="43" t="str">
        <x:v>http://www.whitgift.co.uk/</x:v>
      </x:c>
      <x:c r="R7" s="43" t="str">
        <x:v>Generic public inbox found</x:v>
      </x:c>
      <x:c r="S7" s="43" t="str">
        <x:v>Needs human verification</x:v>
      </x:c>
      <x:c r="T7" s="43" t="str">
        <x:v>Hold</x:v>
      </x:c>
      <x:c r="U7" s="43" t="str">
        <x:v>No</x:v>
      </x:c>
      <x:c r="V7" s="44"/>
      <x:c r="W7" s="43" t="str"/>
      <x:c r="X7" s="43" t="str"/>
      <x:c r="Y7" s="43" t="str"/>
      <x:c r="Z7" s="43" t="str">
        <x:v>https://www.get-information-schools.service.gov.uk/Downloads</x:v>
      </x:c>
    </x:row>
    <x:row r="8">
      <x:c r="A8" s="43" t="str">
        <x:v>UK independent</x:v>
      </x:c>
      <x:c r="B8" s="43" t="str">
        <x:v>110924</x:v>
      </x:c>
      <x:c r="C8" s="43" t="n">
        <x:f>IF(K8="Boarding school",30,0)+IF(J8&gt;=18,20,0)+IF(I8&lt;=11,10,0)+IF(L8="Has a sixth form",15,0)+IF(M8&gt;=200,10,0)+IF(N8&lt;&gt;"",10,0)</x:f>
        <x:v>95</x:v>
      </x:c>
      <x:c r="D8" s="43" t="str">
        <x:f>IF(C8&gt;=85,"A",IF(C8&gt;=65,"B","C"))</x:f>
        <x:v>A</x:v>
      </x:c>
      <x:c r="E8" s="43" t="str">
        <x:v>The Stephen Perse Foundation</x:v>
      </x:c>
      <x:c r="F8" s="43" t="str"/>
      <x:c r="G8" s="43" t="str"/>
      <x:c r="H8" s="43" t="str">
        <x:v>CB2 1HF</x:v>
      </x:c>
      <x:c r="I8" s="43" t="n">
        <x:v>2</x:v>
      </x:c>
      <x:c r="J8" s="43" t="n">
        <x:v>21</x:v>
      </x:c>
      <x:c r="K8" s="43" t="str">
        <x:v>Boarding school</x:v>
      </x:c>
      <x:c r="L8" s="43" t="str">
        <x:v>Has a sixth form</x:v>
      </x:c>
      <x:c r="M8" s="43" t="n">
        <x:v>1482</x:v>
      </x:c>
      <x:c r="N8" s="43" t="str">
        <x:v>https://www.stephenperse.com</x:v>
      </x:c>
      <x:c r="O8" s="43" t="str">
        <x:v>01223454700</x:v>
      </x:c>
      <x:c r="P8" s="43" t="str"/>
      <x:c r="Q8" s="43" t="str">
        <x:v>https://www.stephenperse.com/admissions/contact-admissions</x:v>
      </x:c>
      <x:c r="R8" s="43" t="str">
        <x:v>Manual contact review needed</x:v>
      </x:c>
      <x:c r="S8" s="43" t="str">
        <x:v>Not reviewed</x:v>
      </x:c>
      <x:c r="T8" s="43" t="str">
        <x:v>Hold</x:v>
      </x:c>
      <x:c r="U8" s="43" t="str">
        <x:v>No</x:v>
      </x:c>
      <x:c r="V8" s="44"/>
      <x:c r="W8" s="43" t="str"/>
      <x:c r="X8" s="43" t="str"/>
      <x:c r="Y8" s="43" t="str"/>
      <x:c r="Z8" s="43" t="str">
        <x:v>https://www.get-information-schools.service.gov.uk/Downloads</x:v>
      </x:c>
    </x:row>
    <x:row r="9">
      <x:c r="A9" s="43" t="str">
        <x:v>UK independent</x:v>
      </x:c>
      <x:c r="B9" s="43" t="str">
        <x:v>114614</x:v>
      </x:c>
      <x:c r="C9" s="43" t="n">
        <x:f>IF(K9="Boarding school",30,0)+IF(J9&gt;=18,20,0)+IF(I9&lt;=11,10,0)+IF(L9="Has a sixth form",15,0)+IF(M9&gt;=200,10,0)+IF(N9&lt;&gt;"",10,0)</x:f>
        <x:v>95</x:v>
      </x:c>
      <x:c r="D9" s="43" t="str">
        <x:f>IF(C9&gt;=85,"A",IF(C9&gt;=65,"B","C"))</x:f>
        <x:v>A</x:v>
      </x:c>
      <x:c r="E9" s="43" t="str">
        <x:v>Brighton College</x:v>
      </x:c>
      <x:c r="F9" s="43" t="str">
        <x:v>Brighton</x:v>
      </x:c>
      <x:c r="G9" s="43" t="str">
        <x:v>East Sussex</x:v>
      </x:c>
      <x:c r="H9" s="43" t="str">
        <x:v>BN2 0AL</x:v>
      </x:c>
      <x:c r="I9" s="43" t="n">
        <x:v>11</x:v>
      </x:c>
      <x:c r="J9" s="43" t="n">
        <x:v>19</x:v>
      </x:c>
      <x:c r="K9" s="43" t="str">
        <x:v>Boarding school</x:v>
      </x:c>
      <x:c r="L9" s="43" t="str">
        <x:v>Has a sixth form</x:v>
      </x:c>
      <x:c r="M9" s="43" t="n">
        <x:v>1450</x:v>
      </x:c>
      <x:c r="N9" s="43" t="str">
        <x:v>https://www.brightoncollege.org.uk/</x:v>
      </x:c>
      <x:c r="O9" s="43" t="str">
        <x:v>01273704200</x:v>
      </x:c>
      <x:c r="P9" s="43" t="str"/>
      <x:c r="Q9" s="43" t="str">
        <x:v>https://www.brightoncollege.org.uk/contact</x:v>
      </x:c>
      <x:c r="R9" s="43" t="str">
        <x:v>Manual contact review needed</x:v>
      </x:c>
      <x:c r="S9" s="43" t="str">
        <x:v>Not reviewed</x:v>
      </x:c>
      <x:c r="T9" s="43" t="str">
        <x:v>Hold</x:v>
      </x:c>
      <x:c r="U9" s="43" t="str">
        <x:v>No</x:v>
      </x:c>
      <x:c r="V9" s="44"/>
      <x:c r="W9" s="43" t="str"/>
      <x:c r="X9" s="43" t="str"/>
      <x:c r="Y9" s="43" t="str"/>
      <x:c r="Z9" s="43" t="str">
        <x:v>https://www.get-information-schools.service.gov.uk/Downloads</x:v>
      </x:c>
    </x:row>
    <x:row r="10">
      <x:c r="A10" s="43" t="str">
        <x:v>UK independent</x:v>
      </x:c>
      <x:c r="B10" s="43" t="str">
        <x:v>117604</x:v>
      </x:c>
      <x:c r="C10" s="43" t="n">
        <x:f>IF(K10="Boarding school",30,0)+IF(J10&gt;=18,20,0)+IF(I10&lt;=11,10,0)+IF(L10="Has a sixth form",15,0)+IF(M10&gt;=200,10,0)+IF(N10&lt;&gt;"",10,0)</x:f>
        <x:v>95</x:v>
      </x:c>
      <x:c r="D10" s="43" t="str">
        <x:f>IF(C10&gt;=85,"A",IF(C10&gt;=65,"B","C"))</x:f>
        <x:v>A</x:v>
      </x:c>
      <x:c r="E10" s="43" t="str">
        <x:v>Berkhamsted School</x:v>
      </x:c>
      <x:c r="F10" s="43" t="str">
        <x:v>Berkhamsted</x:v>
      </x:c>
      <x:c r="G10" s="43" t="str">
        <x:v>Hertfordshire</x:v>
      </x:c>
      <x:c r="H10" s="43" t="str">
        <x:v>HP4 2DJ</x:v>
      </x:c>
      <x:c r="I10" s="43" t="n">
        <x:v>11</x:v>
      </x:c>
      <x:c r="J10" s="43" t="n">
        <x:v>19</x:v>
      </x:c>
      <x:c r="K10" s="43" t="str">
        <x:v>Boarding school</x:v>
      </x:c>
      <x:c r="L10" s="43" t="str">
        <x:v>Has a sixth form</x:v>
      </x:c>
      <x:c r="M10" s="43" t="n">
        <x:v>1439</x:v>
      </x:c>
      <x:c r="N10" s="43" t="str">
        <x:v>https://www.berkhamsted.com</x:v>
      </x:c>
      <x:c r="O10" s="43" t="str">
        <x:v>01442358000</x:v>
      </x:c>
      <x:c r="P10" s="43" t="str">
        <x:v>enquiries@berkhamsted.com</x:v>
      </x:c>
      <x:c r="Q10" s="43" t="str">
        <x:v>https://www.berkhamsted.com/contact</x:v>
      </x:c>
      <x:c r="R10" s="43" t="str">
        <x:v>Generic public inbox found</x:v>
      </x:c>
      <x:c r="S10" s="43" t="str">
        <x:v>Needs human verification</x:v>
      </x:c>
      <x:c r="T10" s="43" t="str">
        <x:v>Hold</x:v>
      </x:c>
      <x:c r="U10" s="43" t="str">
        <x:v>No</x:v>
      </x:c>
      <x:c r="V10" s="44"/>
      <x:c r="W10" s="43" t="str"/>
      <x:c r="X10" s="43" t="str"/>
      <x:c r="Y10" s="43" t="str"/>
      <x:c r="Z10" s="43" t="str">
        <x:v>https://www.get-information-schools.service.gov.uk/Downloads</x:v>
      </x:c>
    </x:row>
    <x:row r="11">
      <x:c r="A11" s="43" t="str">
        <x:v>UK independent</x:v>
      </x:c>
      <x:c r="B11" s="43" t="str">
        <x:v>126136</x:v>
      </x:c>
      <x:c r="C11" s="43" t="n">
        <x:f>IF(K11="Boarding school",30,0)+IF(J11&gt;=18,20,0)+IF(I11&lt;=11,10,0)+IF(L11="Has a sixth form",15,0)+IF(M11&gt;=200,10,0)+IF(N11&lt;&gt;"",10,0)</x:f>
        <x:v>95</x:v>
      </x:c>
      <x:c r="D11" s="43" t="str">
        <x:f>IF(C11&gt;=85,"A",IF(C11&gt;=65,"B","C"))</x:f>
        <x:v>A</x:v>
      </x:c>
      <x:c r="E11" s="43" t="str">
        <x:v>Hurstpierpoint College</x:v>
      </x:c>
      <x:c r="F11" s="43" t="str">
        <x:v>Hassocks</x:v>
      </x:c>
      <x:c r="G11" s="43" t="str">
        <x:v>West Sussex</x:v>
      </x:c>
      <x:c r="H11" s="43" t="str">
        <x:v>BN6 9JS</x:v>
      </x:c>
      <x:c r="I11" s="43" t="n">
        <x:v>4</x:v>
      </x:c>
      <x:c r="J11" s="43" t="n">
        <x:v>19</x:v>
      </x:c>
      <x:c r="K11" s="43" t="str">
        <x:v>Boarding school</x:v>
      </x:c>
      <x:c r="L11" s="43" t="str">
        <x:v>Has a sixth form</x:v>
      </x:c>
      <x:c r="M11" s="43" t="n">
        <x:v>1311</x:v>
      </x:c>
      <x:c r="N11" s="43" t="str">
        <x:v>https://www.hppc.co.uk</x:v>
      </x:c>
      <x:c r="O11" s="43" t="str">
        <x:v>01273833636</x:v>
      </x:c>
      <x:c r="P11" s="43" t="str">
        <x:v>info@hppc.co.uk</x:v>
      </x:c>
      <x:c r="Q11" s="43" t="str">
        <x:v>https://www.hppc.co.uk</x:v>
      </x:c>
      <x:c r="R11" s="43" t="str">
        <x:v>Generic public inbox found</x:v>
      </x:c>
      <x:c r="S11" s="43" t="str">
        <x:v>Needs human verification</x:v>
      </x:c>
      <x:c r="T11" s="43" t="str">
        <x:v>Hold</x:v>
      </x:c>
      <x:c r="U11" s="43" t="str">
        <x:v>No</x:v>
      </x:c>
      <x:c r="V11" s="44"/>
      <x:c r="W11" s="43" t="str"/>
      <x:c r="X11" s="43" t="str"/>
      <x:c r="Y11" s="43" t="str"/>
      <x:c r="Z11" s="43" t="str">
        <x:v>https://www.get-information-schools.service.gov.uk/Downloads</x:v>
      </x:c>
    </x:row>
    <x:row r="12">
      <x:c r="A12" s="43" t="str">
        <x:v>UK independent</x:v>
      </x:c>
      <x:c r="B12" s="43" t="str">
        <x:v>101835</x:v>
      </x:c>
      <x:c r="C12" s="43" t="n">
        <x:f>IF(K12="Boarding school",30,0)+IF(J12&gt;=18,20,0)+IF(I12&lt;=11,10,0)+IF(L12="Has a sixth form",15,0)+IF(M12&gt;=200,10,0)+IF(N12&lt;&gt;"",10,0)</x:f>
        <x:v>95</x:v>
      </x:c>
      <x:c r="D12" s="43" t="str">
        <x:f>IF(C12&gt;=85,"A",IF(C12&gt;=65,"B","C"))</x:f>
        <x:v>A</x:v>
      </x:c>
      <x:c r="E12" s="43" t="str">
        <x:v>Royal Russell School</x:v>
      </x:c>
      <x:c r="F12" s="43" t="str">
        <x:v>Croydon</x:v>
      </x:c>
      <x:c r="G12" s="43" t="str">
        <x:v>Surrey</x:v>
      </x:c>
      <x:c r="H12" s="43" t="str">
        <x:v>CR9 5BX</x:v>
      </x:c>
      <x:c r="I12" s="43" t="n">
        <x:v>3</x:v>
      </x:c>
      <x:c r="J12" s="43" t="n">
        <x:v>19</x:v>
      </x:c>
      <x:c r="K12" s="43" t="str">
        <x:v>Boarding school</x:v>
      </x:c>
      <x:c r="L12" s="43" t="str">
        <x:v>Has a sixth form</x:v>
      </x:c>
      <x:c r="M12" s="43" t="n">
        <x:v>1296</x:v>
      </x:c>
      <x:c r="N12" s="43" t="str">
        <x:v>http://www.royalrussell.co.uk/</x:v>
      </x:c>
      <x:c r="O12" s="43" t="str">
        <x:v>02086574433</x:v>
      </x:c>
      <x:c r="P12" s="43" t="str">
        <x:v>reception@royalrussell.co.uk</x:v>
      </x:c>
      <x:c r="Q12" s="43" t="str">
        <x:v>http://www.royalrussell.co.uk/</x:v>
      </x:c>
      <x:c r="R12" s="43" t="str">
        <x:v>Generic public inbox found</x:v>
      </x:c>
      <x:c r="S12" s="43" t="str">
        <x:v>Needs human verification</x:v>
      </x:c>
      <x:c r="T12" s="43" t="str">
        <x:v>Hold</x:v>
      </x:c>
      <x:c r="U12" s="43" t="str">
        <x:v>No</x:v>
      </x:c>
      <x:c r="V12" s="44"/>
      <x:c r="W12" s="43" t="str"/>
      <x:c r="X12" s="43" t="str"/>
      <x:c r="Y12" s="43" t="str"/>
      <x:c r="Z12" s="43" t="str">
        <x:v>https://www.get-information-schools.service.gov.uk/Downloads</x:v>
      </x:c>
    </x:row>
    <x:row r="13">
      <x:c r="A13" s="43" t="str">
        <x:v>UK independent</x:v>
      </x:c>
      <x:c r="B13" s="43" t="str">
        <x:v>123312</x:v>
      </x:c>
      <x:c r="C13" s="43" t="n">
        <x:f>IF(K13="Boarding school",30,0)+IF(J13&gt;=18,20,0)+IF(I13&lt;=11,10,0)+IF(L13="Has a sixth form",15,0)+IF(M13&gt;=200,10,0)+IF(N13&lt;&gt;"",10,0)</x:f>
        <x:v>95</x:v>
      </x:c>
      <x:c r="D13" s="43" t="str">
        <x:f>IF(C13&gt;=85,"A",IF(C13&gt;=65,"B","C"))</x:f>
        <x:v>A</x:v>
      </x:c>
      <x:c r="E13" s="43" t="str">
        <x:v>Abingdon School</x:v>
      </x:c>
      <x:c r="F13" s="43" t="str">
        <x:v>Abingdon</x:v>
      </x:c>
      <x:c r="G13" s="43" t="str">
        <x:v>Oxfordshire</x:v>
      </x:c>
      <x:c r="H13" s="43" t="str">
        <x:v>OX14 1DE</x:v>
      </x:c>
      <x:c r="I13" s="43" t="n">
        <x:v>4</x:v>
      </x:c>
      <x:c r="J13" s="43" t="n">
        <x:v>19</x:v>
      </x:c>
      <x:c r="K13" s="43" t="str">
        <x:v>Boarding school</x:v>
      </x:c>
      <x:c r="L13" s="43" t="str">
        <x:v>Has a sixth form</x:v>
      </x:c>
      <x:c r="M13" s="43" t="n">
        <x:v>1270</x:v>
      </x:c>
      <x:c r="N13" s="43" t="str">
        <x:v>http://www.abingdon.org.uk</x:v>
      </x:c>
      <x:c r="O13" s="43" t="str">
        <x:v>01235521563</x:v>
      </x:c>
      <x:c r="P13" s="43" t="str"/>
      <x:c r="Q13" s="43" t="str">
        <x:v>https://www.abingdon.org.uk/contact/contact-details/</x:v>
      </x:c>
      <x:c r="R13" s="43" t="str">
        <x:v>Manual contact review needed</x:v>
      </x:c>
      <x:c r="S13" s="43" t="str">
        <x:v>Not reviewed</x:v>
      </x:c>
      <x:c r="T13" s="43" t="str">
        <x:v>Hold</x:v>
      </x:c>
      <x:c r="U13" s="43" t="str">
        <x:v>No</x:v>
      </x:c>
      <x:c r="V13" s="44"/>
      <x:c r="W13" s="43" t="str"/>
      <x:c r="X13" s="43" t="str"/>
      <x:c r="Y13" s="43" t="str"/>
      <x:c r="Z13" s="43" t="str">
        <x:v>https://www.get-information-schools.service.gov.uk/Downloads</x:v>
      </x:c>
    </x:row>
    <x:row r="14">
      <x:c r="A14" s="43" t="str">
        <x:v>UK independent</x:v>
      </x:c>
      <x:c r="B14" s="43" t="str">
        <x:v>117605</x:v>
      </x:c>
      <x:c r="C14" s="43" t="n">
        <x:f>IF(K14="Boarding school",30,0)+IF(J14&gt;=18,20,0)+IF(I14&lt;=11,10,0)+IF(L14="Has a sixth form",15,0)+IF(M14&gt;=200,10,0)+IF(N14&lt;&gt;"",10,0)</x:f>
        <x:v>95</x:v>
      </x:c>
      <x:c r="D14" s="43" t="str">
        <x:f>IF(C14&gt;=85,"A",IF(C14&gt;=65,"B","C"))</x:f>
        <x:v>A</x:v>
      </x:c>
      <x:c r="E14" s="43" t="str">
        <x:v>Bishop's Stortford College</x:v>
      </x:c>
      <x:c r="F14" s="43" t="str">
        <x:v>Bishop's Stortford</x:v>
      </x:c>
      <x:c r="G14" s="43" t="str">
        <x:v>Hertfordshire</x:v>
      </x:c>
      <x:c r="H14" s="43" t="str">
        <x:v>CM23 2PQ</x:v>
      </x:c>
      <x:c r="I14" s="43" t="n">
        <x:v>3</x:v>
      </x:c>
      <x:c r="J14" s="43" t="n">
        <x:v>18</x:v>
      </x:c>
      <x:c r="K14" s="43" t="str">
        <x:v>Boarding school</x:v>
      </x:c>
      <x:c r="L14" s="43" t="str">
        <x:v>Has a sixth form</x:v>
      </x:c>
      <x:c r="M14" s="43" t="n">
        <x:v>1241</x:v>
      </x:c>
      <x:c r="N14" s="43" t="str">
        <x:v>https://www.bishopsstortfordcollege.org</x:v>
      </x:c>
      <x:c r="O14" s="43" t="str">
        <x:v>01279838575</x:v>
      </x:c>
      <x:c r="P14" s="43" t="str">
        <x:v>reception@bishopsstortfordcollege.org</x:v>
      </x:c>
      <x:c r="Q14" s="43" t="str">
        <x:v>https://www.bishopsstortfordcollege.org/contact/</x:v>
      </x:c>
      <x:c r="R14" s="43" t="str">
        <x:v>Generic public inbox found</x:v>
      </x:c>
      <x:c r="S14" s="43" t="str">
        <x:v>Needs human verification</x:v>
      </x:c>
      <x:c r="T14" s="43" t="str">
        <x:v>Hold</x:v>
      </x:c>
      <x:c r="U14" s="43" t="str">
        <x:v>No</x:v>
      </x:c>
      <x:c r="V14" s="44"/>
      <x:c r="W14" s="43" t="str"/>
      <x:c r="X14" s="43" t="str"/>
      <x:c r="Y14" s="43" t="str"/>
      <x:c r="Z14" s="43" t="str">
        <x:v>https://www.get-information-schools.service.gov.uk/Downloads</x:v>
      </x:c>
    </x:row>
    <x:row r="15">
      <x:c r="A15" s="43" t="str">
        <x:v>UK independent</x:v>
      </x:c>
      <x:c r="B15" s="43" t="str">
        <x:v>118952</x:v>
      </x:c>
      <x:c r="C15" s="43" t="n">
        <x:f>IF(K15="Boarding school",30,0)+IF(J15&gt;=18,20,0)+IF(I15&lt;=11,10,0)+IF(L15="Has a sixth form",15,0)+IF(M15&gt;=200,10,0)+IF(N15&lt;&gt;"",10,0)</x:f>
        <x:v>95</x:v>
      </x:c>
      <x:c r="D15" s="43" t="str">
        <x:f>IF(C15&gt;=85,"A",IF(C15&gt;=65,"B","C"))</x:f>
        <x:v>A</x:v>
      </x:c>
      <x:c r="E15" s="43" t="str">
        <x:v>Sevenoaks School</x:v>
      </x:c>
      <x:c r="F15" s="43" t="str">
        <x:v>Sevenoaks</x:v>
      </x:c>
      <x:c r="G15" s="43" t="str">
        <x:v>Kent</x:v>
      </x:c>
      <x:c r="H15" s="43" t="str">
        <x:v>TN13 1HU</x:v>
      </x:c>
      <x:c r="I15" s="43" t="n">
        <x:v>11</x:v>
      </x:c>
      <x:c r="J15" s="43" t="n">
        <x:v>18</x:v>
      </x:c>
      <x:c r="K15" s="43" t="str">
        <x:v>Boarding school</x:v>
      </x:c>
      <x:c r="L15" s="43" t="str">
        <x:v>Has a sixth form</x:v>
      </x:c>
      <x:c r="M15" s="43" t="n">
        <x:v>1240</x:v>
      </x:c>
      <x:c r="N15" s="43" t="str">
        <x:v>https://www.sevenoaksschool.org</x:v>
      </x:c>
      <x:c r="O15" s="43" t="str">
        <x:v>01732455133</x:v>
      </x:c>
      <x:c r="P15" s="43" t="str">
        <x:v>admin@sevenoaksschool.org</x:v>
      </x:c>
      <x:c r="Q15" s="43" t="str">
        <x:v>https://www.sevenoaksschool.org/contact/</x:v>
      </x:c>
      <x:c r="R15" s="43" t="str">
        <x:v>Generic public inbox found</x:v>
      </x:c>
      <x:c r="S15" s="43" t="str">
        <x:v>Needs human verification</x:v>
      </x:c>
      <x:c r="T15" s="43" t="str">
        <x:v>Hold</x:v>
      </x:c>
      <x:c r="U15" s="43" t="str">
        <x:v>No</x:v>
      </x:c>
      <x:c r="V15" s="44"/>
      <x:c r="W15" s="43" t="str"/>
      <x:c r="X15" s="43" t="str"/>
      <x:c r="Y15" s="43" t="str"/>
      <x:c r="Z15" s="43" t="str">
        <x:v>https://www.get-information-schools.service.gov.uk/Downloads</x:v>
      </x:c>
    </x:row>
    <x:row r="16">
      <x:c r="A16" s="43" t="str">
        <x:v>UK independent</x:v>
      </x:c>
      <x:c r="B16" s="43" t="str">
        <x:v>125781</x:v>
      </x:c>
      <x:c r="C16" s="43" t="n">
        <x:f>IF(K16="Boarding school",30,0)+IF(J16&gt;=18,20,0)+IF(I16&lt;=11,10,0)+IF(L16="Has a sixth form",15,0)+IF(M16&gt;=200,10,0)+IF(N16&lt;&gt;"",10,0)</x:f>
        <x:v>95</x:v>
      </x:c>
      <x:c r="D16" s="43" t="str">
        <x:f>IF(C16&gt;=85,"A",IF(C16&gt;=65,"B","C"))</x:f>
        <x:v>A</x:v>
      </x:c>
      <x:c r="E16" s="43" t="str">
        <x:v>Warwick School</x:v>
      </x:c>
      <x:c r="F16" s="43" t="str">
        <x:v>Warwick</x:v>
      </x:c>
      <x:c r="G16" s="43" t="str">
        <x:v>Warwickshire</x:v>
      </x:c>
      <x:c r="H16" s="43" t="str">
        <x:v>CV34 6PP</x:v>
      </x:c>
      <x:c r="I16" s="43" t="n">
        <x:v>7</x:v>
      </x:c>
      <x:c r="J16" s="43" t="n">
        <x:v>19</x:v>
      </x:c>
      <x:c r="K16" s="43" t="str">
        <x:v>Boarding school</x:v>
      </x:c>
      <x:c r="L16" s="43" t="str">
        <x:v>Has a sixth form</x:v>
      </x:c>
      <x:c r="M16" s="43" t="n">
        <x:v>1227</x:v>
      </x:c>
      <x:c r="N16" s="43" t="str">
        <x:v>http://www.warwickschool.org</x:v>
      </x:c>
      <x:c r="O16" s="43" t="str">
        <x:v>01926776400</x:v>
      </x:c>
      <x:c r="P16" s="43" t="str"/>
      <x:c r="Q16" s="43" t="str">
        <x:v>http://www.warwickschool.org</x:v>
      </x:c>
      <x:c r="R16" s="43" t="str">
        <x:v>Manual contact review needed</x:v>
      </x:c>
      <x:c r="S16" s="43" t="str">
        <x:v>Not reviewed</x:v>
      </x:c>
      <x:c r="T16" s="43" t="str">
        <x:v>Hold</x:v>
      </x:c>
      <x:c r="U16" s="43" t="str">
        <x:v>No</x:v>
      </x:c>
      <x:c r="V16" s="44"/>
      <x:c r="W16" s="43" t="str"/>
      <x:c r="X16" s="43" t="str"/>
      <x:c r="Y16" s="43" t="str"/>
      <x:c r="Z16" s="43" t="str">
        <x:v>https://www.get-information-schools.service.gov.uk/Downloads</x:v>
      </x:c>
    </x:row>
    <x:row r="17">
      <x:c r="A17" s="43" t="str">
        <x:v>UK independent</x:v>
      </x:c>
      <x:c r="B17" s="43" t="str">
        <x:v>109334</x:v>
      </x:c>
      <x:c r="C17" s="43" t="n">
        <x:f>IF(K17="Boarding school",30,0)+IF(J17&gt;=18,20,0)+IF(I17&lt;=11,10,0)+IF(L17="Has a sixth form",15,0)+IF(M17&gt;=200,10,0)+IF(N17&lt;&gt;"",10,0)</x:f>
        <x:v>95</x:v>
      </x:c>
      <x:c r="D17" s="43" t="str">
        <x:f>IF(C17&gt;=85,"A",IF(C17&gt;=65,"B","C"))</x:f>
        <x:v>A</x:v>
      </x:c>
      <x:c r="E17" s="43" t="str">
        <x:v>Clifton College</x:v>
      </x:c>
      <x:c r="F17" s="43" t="str">
        <x:v>Bristol</x:v>
      </x:c>
      <x:c r="G17" s="43" t="str"/>
      <x:c r="H17" s="43" t="str">
        <x:v>BS8 3EZ</x:v>
      </x:c>
      <x:c r="I17" s="43" t="n">
        <x:v>3</x:v>
      </x:c>
      <x:c r="J17" s="43" t="n">
        <x:v>19</x:v>
      </x:c>
      <x:c r="K17" s="43" t="str">
        <x:v>Boarding school</x:v>
      </x:c>
      <x:c r="L17" s="43" t="str">
        <x:v>Has a sixth form</x:v>
      </x:c>
      <x:c r="M17" s="43" t="n">
        <x:v>1204</x:v>
      </x:c>
      <x:c r="N17" s="43" t="str">
        <x:v>https://www.cliftoncollege.com</x:v>
      </x:c>
      <x:c r="O17" s="43" t="str">
        <x:v>01173157000</x:v>
      </x:c>
      <x:c r="P17" s="43" t="str">
        <x:v>info@cliftoncollege.com</x:v>
      </x:c>
      <x:c r="Q17" s="43" t="str">
        <x:v>https://www.cliftoncollege.com</x:v>
      </x:c>
      <x:c r="R17" s="43" t="str">
        <x:v>Generic public inbox found</x:v>
      </x:c>
      <x:c r="S17" s="43" t="str">
        <x:v>Needs human verification</x:v>
      </x:c>
      <x:c r="T17" s="43" t="str">
        <x:v>Hold</x:v>
      </x:c>
      <x:c r="U17" s="43" t="str">
        <x:v>No</x:v>
      </x:c>
      <x:c r="V17" s="44"/>
      <x:c r="W17" s="43" t="str"/>
      <x:c r="X17" s="43" t="str"/>
      <x:c r="Y17" s="43" t="str"/>
      <x:c r="Z17" s="43" t="str">
        <x:v>https://www.get-information-schools.service.gov.uk/Downloads</x:v>
      </x:c>
    </x:row>
    <x:row r="18">
      <x:c r="A18" s="43" t="str">
        <x:v>UK independent</x:v>
      </x:c>
      <x:c r="B18" s="43" t="str">
        <x:v>122129</x:v>
      </x:c>
      <x:c r="C18" s="43" t="n">
        <x:f>IF(K18="Boarding school",30,0)+IF(J18&gt;=18,20,0)+IF(I18&lt;=11,10,0)+IF(L18="Has a sixth form",15,0)+IF(M18&gt;=200,10,0)+IF(N18&lt;&gt;"",10,0)</x:f>
        <x:v>95</x:v>
      </x:c>
      <x:c r="D18" s="43" t="str">
        <x:f>IF(C18&gt;=85,"A",IF(C18&gt;=65,"B","C"))</x:f>
        <x:v>A</x:v>
      </x:c>
      <x:c r="E18" s="43" t="str">
        <x:v>Oundle School</x:v>
      </x:c>
      <x:c r="F18" s="43" t="str">
        <x:v>Northamptonshire</x:v>
      </x:c>
      <x:c r="G18" s="43" t="str"/>
      <x:c r="H18" s="43" t="str">
        <x:v>PE8 4GH</x:v>
      </x:c>
      <x:c r="I18" s="43" t="n">
        <x:v>10</x:v>
      </x:c>
      <x:c r="J18" s="43" t="n">
        <x:v>19</x:v>
      </x:c>
      <x:c r="K18" s="43" t="str">
        <x:v>Boarding school</x:v>
      </x:c>
      <x:c r="L18" s="43" t="str">
        <x:v>Has a sixth form</x:v>
      </x:c>
      <x:c r="M18" s="43" t="n">
        <x:v>1163</x:v>
      </x:c>
      <x:c r="N18" s="43" t="str">
        <x:v>https://www.oundleschool.org.uk</x:v>
      </x:c>
      <x:c r="O18" s="43" t="str">
        <x:v>01832277122</x:v>
      </x:c>
      <x:c r="P18" s="43" t="str">
        <x:v>info@oundleschool.org.uk</x:v>
      </x:c>
      <x:c r="Q18" s="43" t="str">
        <x:v>https://www.oundleschool.org.uk</x:v>
      </x:c>
      <x:c r="R18" s="43" t="str">
        <x:v>Generic public inbox found</x:v>
      </x:c>
      <x:c r="S18" s="43" t="str">
        <x:v>Needs human verification</x:v>
      </x:c>
      <x:c r="T18" s="43" t="str">
        <x:v>Hold</x:v>
      </x:c>
      <x:c r="U18" s="43" t="str">
        <x:v>No</x:v>
      </x:c>
      <x:c r="V18" s="44"/>
      <x:c r="W18" s="43" t="str"/>
      <x:c r="X18" s="43" t="str"/>
      <x:c r="Y18" s="43" t="str"/>
      <x:c r="Z18" s="43" t="str">
        <x:v>https://www.get-information-schools.service.gov.uk/Downloads</x:v>
      </x:c>
    </x:row>
    <x:row r="19">
      <x:c r="A19" s="43" t="str">
        <x:v>UK independent</x:v>
      </x:c>
      <x:c r="B19" s="43" t="str">
        <x:v>125332</x:v>
      </x:c>
      <x:c r="C19" s="43" t="n">
        <x:f>IF(K19="Boarding school",30,0)+IF(J19&gt;=18,20,0)+IF(I19&lt;=11,10,0)+IF(L19="Has a sixth form",15,0)+IF(M19&gt;=200,10,0)+IF(N19&lt;&gt;"",10,0)</x:f>
        <x:v>95</x:v>
      </x:c>
      <x:c r="D19" s="43" t="str">
        <x:f>IF(C19&gt;=85,"A",IF(C19&gt;=65,"B","C"))</x:f>
        <x:v>A</x:v>
      </x:c>
      <x:c r="E19" s="43" t="str">
        <x:v>Epsom College</x:v>
      </x:c>
      <x:c r="F19" s="43" t="str">
        <x:v>Epsom</x:v>
      </x:c>
      <x:c r="G19" s="43" t="str">
        <x:v>Surrey</x:v>
      </x:c>
      <x:c r="H19" s="43" t="str">
        <x:v>KT17 4JQ</x:v>
      </x:c>
      <x:c r="I19" s="43" t="n">
        <x:v>11</x:v>
      </x:c>
      <x:c r="J19" s="43" t="n">
        <x:v>19</x:v>
      </x:c>
      <x:c r="K19" s="43" t="str">
        <x:v>Boarding school</x:v>
      </x:c>
      <x:c r="L19" s="43" t="str">
        <x:v>Has a sixth form</x:v>
      </x:c>
      <x:c r="M19" s="43" t="n">
        <x:v>1152</x:v>
      </x:c>
      <x:c r="N19" s="43" t="str">
        <x:v>https://www.epsomcollege.org.uk</x:v>
      </x:c>
      <x:c r="O19" s="43" t="str">
        <x:v>01372821000</x:v>
      </x:c>
      <x:c r="P19" s="43" t="str">
        <x:v>info@epsomcollege.org.uk</x:v>
      </x:c>
      <x:c r="Q19" s="43" t="str">
        <x:v>https://www.epsomcollege.org.uk</x:v>
      </x:c>
      <x:c r="R19" s="43" t="str">
        <x:v>Generic public inbox found</x:v>
      </x:c>
      <x:c r="S19" s="43" t="str">
        <x:v>Needs human verification</x:v>
      </x:c>
      <x:c r="T19" s="43" t="str">
        <x:v>Hold</x:v>
      </x:c>
      <x:c r="U19" s="43" t="str">
        <x:v>No</x:v>
      </x:c>
      <x:c r="V19" s="44"/>
      <x:c r="W19" s="43" t="str"/>
      <x:c r="X19" s="43" t="str"/>
      <x:c r="Y19" s="43" t="str"/>
      <x:c r="Z19" s="43" t="str">
        <x:v>https://www.get-information-schools.service.gov.uk/Downloads</x:v>
      </x:c>
    </x:row>
    <x:row r="20">
      <x:c r="A20" s="43" t="str">
        <x:v>UK independent</x:v>
      </x:c>
      <x:c r="B20" s="43" t="str">
        <x:v>115392</x:v>
      </x:c>
      <x:c r="C20" s="43" t="n">
        <x:f>IF(K20="Boarding school",30,0)+IF(J20&gt;=18,20,0)+IF(I20&lt;=11,10,0)+IF(L20="Has a sixth form",15,0)+IF(M20&gt;=200,10,0)+IF(N20&lt;&gt;"",10,0)</x:f>
        <x:v>95</x:v>
      </x:c>
      <x:c r="D20" s="43" t="str">
        <x:f>IF(C20&gt;=85,"A",IF(C20&gt;=65,"B","C"))</x:f>
        <x:v>A</x:v>
      </x:c>
      <x:c r="E20" s="43" t="str">
        <x:v>Chigwell School</x:v>
      </x:c>
      <x:c r="F20" s="43" t="str">
        <x:v>Chigwell</x:v>
      </x:c>
      <x:c r="G20" s="43" t="str">
        <x:v>Essex</x:v>
      </x:c>
      <x:c r="H20" s="43" t="str">
        <x:v>IG7 6QF</x:v>
      </x:c>
      <x:c r="I20" s="43" t="n">
        <x:v>4</x:v>
      </x:c>
      <x:c r="J20" s="43" t="n">
        <x:v>18</x:v>
      </x:c>
      <x:c r="K20" s="43" t="str">
        <x:v>Boarding school</x:v>
      </x:c>
      <x:c r="L20" s="43" t="str">
        <x:v>Has a sixth form</x:v>
      </x:c>
      <x:c r="M20" s="43" t="n">
        <x:v>1135</x:v>
      </x:c>
      <x:c r="N20" s="43" t="str">
        <x:v>https://www.chigwell-school.org/</x:v>
      </x:c>
      <x:c r="O20" s="43" t="str">
        <x:v>02085015700</x:v>
      </x:c>
      <x:c r="P20" s="43" t="str">
        <x:v>reception@chigwell-school.org</x:v>
      </x:c>
      <x:c r="Q20" s="43" t="str">
        <x:v>https://www.chigwell-school.org/</x:v>
      </x:c>
      <x:c r="R20" s="43" t="str">
        <x:v>Generic public inbox found</x:v>
      </x:c>
      <x:c r="S20" s="43" t="str">
        <x:v>Needs human verification</x:v>
      </x:c>
      <x:c r="T20" s="43" t="str">
        <x:v>Hold</x:v>
      </x:c>
      <x:c r="U20" s="43" t="str">
        <x:v>No</x:v>
      </x:c>
      <x:c r="V20" s="44"/>
      <x:c r="W20" s="43" t="str"/>
      <x:c r="X20" s="43" t="str"/>
      <x:c r="Y20" s="43" t="str"/>
      <x:c r="Z20" s="43" t="str">
        <x:v>https://www.get-information-schools.service.gov.uk/Downloads</x:v>
      </x:c>
    </x:row>
    <x:row r="21">
      <x:c r="A21" s="43" t="str">
        <x:v>UK independent</x:v>
      </x:c>
      <x:c r="B21" s="43" t="str">
        <x:v>115795</x:v>
      </x:c>
      <x:c r="C21" s="43" t="n">
        <x:f>IF(K21="Boarding school",30,0)+IF(J21&gt;=18,20,0)+IF(I21&lt;=11,10,0)+IF(L21="Has a sixth form",15,0)+IF(M21&gt;=200,10,0)+IF(N21&lt;&gt;"",10,0)</x:f>
        <x:v>95</x:v>
      </x:c>
      <x:c r="D21" s="43" t="str">
        <x:f>IF(C21&gt;=85,"A",IF(C21&gt;=65,"B","C"))</x:f>
        <x:v>A</x:v>
      </x:c>
      <x:c r="E21" s="43" t="str">
        <x:v>Cheltenham College</x:v>
      </x:c>
      <x:c r="F21" s="43" t="str">
        <x:v>Cheltenham</x:v>
      </x:c>
      <x:c r="G21" s="43" t="str">
        <x:v>Gloucestershire</x:v>
      </x:c>
      <x:c r="H21" s="43" t="str">
        <x:v>GL53 7LD</x:v>
      </x:c>
      <x:c r="I21" s="43" t="n">
        <x:v>2</x:v>
      </x:c>
      <x:c r="J21" s="43" t="n">
        <x:v>19</x:v>
      </x:c>
      <x:c r="K21" s="43" t="str">
        <x:v>Boarding school</x:v>
      </x:c>
      <x:c r="L21" s="43" t="str">
        <x:v>Has a sixth form</x:v>
      </x:c>
      <x:c r="M21" s="43" t="n">
        <x:v>1134</x:v>
      </x:c>
      <x:c r="N21" s="43" t="str">
        <x:v>https://www.cheltenhamcollege.org</x:v>
      </x:c>
      <x:c r="O21" s="43" t="str">
        <x:v>01242265600</x:v>
      </x:c>
      <x:c r="P21" s="43" t="str">
        <x:v>info@cheltenhamcollege.org</x:v>
      </x:c>
      <x:c r="Q21" s="43" t="str">
        <x:v>https://www.cheltenhamcollege.org/contact-us/</x:v>
      </x:c>
      <x:c r="R21" s="43" t="str">
        <x:v>Generic public inbox found</x:v>
      </x:c>
      <x:c r="S21" s="43" t="str">
        <x:v>Needs human verification</x:v>
      </x:c>
      <x:c r="T21" s="43" t="str">
        <x:v>Hold</x:v>
      </x:c>
      <x:c r="U21" s="43" t="str">
        <x:v>No</x:v>
      </x:c>
      <x:c r="V21" s="44"/>
      <x:c r="W21" s="43" t="str"/>
      <x:c r="X21" s="43" t="str"/>
      <x:c r="Y21" s="43" t="str"/>
      <x:c r="Z21" s="43" t="str">
        <x:v>https://www.get-information-schools.service.gov.uk/Downloads</x:v>
      </x:c>
    </x:row>
    <x:row r="22">
      <x:c r="A22" s="43" t="str">
        <x:v>UK independent</x:v>
      </x:c>
      <x:c r="B22" s="43" t="str">
        <x:v>110916</x:v>
      </x:c>
      <x:c r="C22" s="43" t="n">
        <x:f>IF(K22="Boarding school",30,0)+IF(J22&gt;=18,20,0)+IF(I22&lt;=11,10,0)+IF(L22="Has a sixth form",15,0)+IF(M22&gt;=200,10,0)+IF(N22&lt;&gt;"",10,0)</x:f>
        <x:v>95</x:v>
      </x:c>
      <x:c r="D22" s="43" t="str">
        <x:f>IF(C22&gt;=85,"A",IF(C22&gt;=65,"B","C"))</x:f>
        <x:v>A</x:v>
      </x:c>
      <x:c r="E22" s="43" t="str">
        <x:v>King's Ely</x:v>
      </x:c>
      <x:c r="F22" s="43" t="str">
        <x:v>Ely</x:v>
      </x:c>
      <x:c r="G22" s="43" t="str">
        <x:v>Cambridgeshire</x:v>
      </x:c>
      <x:c r="H22" s="43" t="str">
        <x:v>CB7 4DB</x:v>
      </x:c>
      <x:c r="I22" s="43" t="n">
        <x:v>2</x:v>
      </x:c>
      <x:c r="J22" s="43" t="n">
        <x:v>19</x:v>
      </x:c>
      <x:c r="K22" s="43" t="str">
        <x:v>Boarding school</x:v>
      </x:c>
      <x:c r="L22" s="43" t="str">
        <x:v>Has a sixth form</x:v>
      </x:c>
      <x:c r="M22" s="43" t="n">
        <x:v>1126</x:v>
      </x:c>
      <x:c r="N22" s="43" t="str">
        <x:v>https://www.kingsely.org</x:v>
      </x:c>
      <x:c r="O22" s="43" t="str">
        <x:v>01353660700</x:v>
      </x:c>
      <x:c r="P22" s="43" t="str">
        <x:v>reception@kingsely.org</x:v>
      </x:c>
      <x:c r="Q22" s="43" t="str">
        <x:v>https://www.kingsely.org/contact-us</x:v>
      </x:c>
      <x:c r="R22" s="43" t="str">
        <x:v>Generic public inbox found</x:v>
      </x:c>
      <x:c r="S22" s="43" t="str">
        <x:v>Needs human verification</x:v>
      </x:c>
      <x:c r="T22" s="43" t="str">
        <x:v>Hold</x:v>
      </x:c>
      <x:c r="U22" s="43" t="str">
        <x:v>No</x:v>
      </x:c>
      <x:c r="V22" s="44"/>
      <x:c r="W22" s="43" t="str"/>
      <x:c r="X22" s="43" t="str"/>
      <x:c r="Y22" s="43" t="str"/>
      <x:c r="Z22" s="43" t="str">
        <x:v>https://www.get-information-schools.service.gov.uk/Downloads</x:v>
      </x:c>
    </x:row>
    <x:row r="23">
      <x:c r="A23" s="43" t="str">
        <x:v>UK independent</x:v>
      </x:c>
      <x:c r="B23" s="43" t="str">
        <x:v>125421</x:v>
      </x:c>
      <x:c r="C23" s="43" t="n">
        <x:f>IF(K23="Boarding school",30,0)+IF(J23&gt;=18,20,0)+IF(I23&lt;=11,10,0)+IF(L23="Has a sixth form",15,0)+IF(M23&gt;=200,10,0)+IF(N23&lt;&gt;"",10,0)</x:f>
        <x:v>95</x:v>
      </x:c>
      <x:c r="D23" s="43" t="str">
        <x:f>IF(C23&gt;=85,"A",IF(C23&gt;=65,"B","C"))</x:f>
        <x:v>A</x:v>
      </x:c>
      <x:c r="E23" s="43" t="str">
        <x:v>ACS Cobham International School</x:v>
      </x:c>
      <x:c r="F23" s="43" t="str">
        <x:v>Cobham</x:v>
      </x:c>
      <x:c r="G23" s="43" t="str">
        <x:v>Surrey</x:v>
      </x:c>
      <x:c r="H23" s="43" t="str">
        <x:v>KT11 1BL</x:v>
      </x:c>
      <x:c r="I23" s="43" t="n">
        <x:v>2</x:v>
      </x:c>
      <x:c r="J23" s="43" t="n">
        <x:v>18</x:v>
      </x:c>
      <x:c r="K23" s="43" t="str">
        <x:v>Boarding school</x:v>
      </x:c>
      <x:c r="L23" s="43" t="str">
        <x:v>Has a sixth form</x:v>
      </x:c>
      <x:c r="M23" s="43" t="n">
        <x:v>1104</x:v>
      </x:c>
      <x:c r="N23" s="43" t="str">
        <x:v>https://www.acs-schools.com</x:v>
      </x:c>
      <x:c r="O23" s="43" t="str">
        <x:v>01932869744</x:v>
      </x:c>
      <x:c r="P23" s="43" t="str"/>
      <x:c r="Q23" s="43" t="str">
        <x:v>https://www.acs-schools.com/contact/</x:v>
      </x:c>
      <x:c r="R23" s="43" t="str">
        <x:v>Manual contact review needed</x:v>
      </x:c>
      <x:c r="S23" s="43" t="str">
        <x:v>Not reviewed</x:v>
      </x:c>
      <x:c r="T23" s="43" t="str">
        <x:v>Hold</x:v>
      </x:c>
      <x:c r="U23" s="43" t="str">
        <x:v>No</x:v>
      </x:c>
      <x:c r="V23" s="44"/>
      <x:c r="W23" s="43" t="str"/>
      <x:c r="X23" s="43" t="str"/>
      <x:c r="Y23" s="43" t="str"/>
      <x:c r="Z23" s="43" t="str">
        <x:v>https://www.get-information-schools.service.gov.uk/Downloads</x:v>
      </x:c>
    </x:row>
    <x:row r="24">
      <x:c r="A24" s="43" t="str">
        <x:v>UK independent</x:v>
      </x:c>
      <x:c r="B24" s="43" t="str">
        <x:v>123290</x:v>
      </x:c>
      <x:c r="C24" s="43" t="n">
        <x:f>IF(K24="Boarding school",30,0)+IF(J24&gt;=18,20,0)+IF(I24&lt;=11,10,0)+IF(L24="Has a sixth form",15,0)+IF(M24&gt;=200,10,0)+IF(N24&lt;&gt;"",10,0)</x:f>
        <x:v>95</x:v>
      </x:c>
      <x:c r="D24" s="43" t="str">
        <x:f>IF(C24&gt;=85,"A",IF(C24&gt;=65,"B","C"))</x:f>
        <x:v>A</x:v>
      </x:c>
      <x:c r="E24" s="43" t="str">
        <x:v>Headington School Oxford</x:v>
      </x:c>
      <x:c r="F24" s="43" t="str">
        <x:v>Oxford</x:v>
      </x:c>
      <x:c r="G24" s="43" t="str">
        <x:v>Oxfordshire</x:v>
      </x:c>
      <x:c r="H24" s="43" t="str">
        <x:v>OX3 7TD</x:v>
      </x:c>
      <x:c r="I24" s="43" t="n">
        <x:v>3</x:v>
      </x:c>
      <x:c r="J24" s="43" t="n">
        <x:v>19</x:v>
      </x:c>
      <x:c r="K24" s="43" t="str">
        <x:v>Boarding school</x:v>
      </x:c>
      <x:c r="L24" s="43" t="str">
        <x:v>Has a sixth form</x:v>
      </x:c>
      <x:c r="M24" s="43" t="n">
        <x:v>1082</x:v>
      </x:c>
      <x:c r="N24" s="43" t="str">
        <x:v>https://www.headington.org</x:v>
      </x:c>
      <x:c r="O24" s="43" t="str">
        <x:v>01865759100</x:v>
      </x:c>
      <x:c r="P24" s="43" t="str"/>
      <x:c r="Q24" s="43" t="str"/>
      <x:c r="R24" s="43" t="str">
        <x:v>Manual contact review needed (URLError)</x:v>
      </x:c>
      <x:c r="S24" s="43" t="str">
        <x:v>Not reviewed</x:v>
      </x:c>
      <x:c r="T24" s="43" t="str">
        <x:v>Hold</x:v>
      </x:c>
      <x:c r="U24" s="43" t="str">
        <x:v>No</x:v>
      </x:c>
      <x:c r="V24" s="44"/>
      <x:c r="W24" s="43" t="str"/>
      <x:c r="X24" s="43" t="str"/>
      <x:c r="Y24" s="43" t="str"/>
      <x:c r="Z24" s="43" t="str">
        <x:v>https://www.get-information-schools.service.gov.uk/Downloads</x:v>
      </x:c>
    </x:row>
    <x:row r="25">
      <x:c r="A25" s="43" t="str">
        <x:v>UK independent</x:v>
      </x:c>
      <x:c r="B25" s="43" t="str">
        <x:v>126133</x:v>
      </x:c>
      <x:c r="C25" s="43" t="n">
        <x:f>IF(K25="Boarding school",30,0)+IF(J25&gt;=18,20,0)+IF(I25&lt;=11,10,0)+IF(L25="Has a sixth form",15,0)+IF(M25&gt;=200,10,0)+IF(N25&lt;&gt;"",10,0)</x:f>
        <x:v>95</x:v>
      </x:c>
      <x:c r="D25" s="43" t="str">
        <x:f>IF(C25&gt;=85,"A",IF(C25&gt;=65,"B","C"))</x:f>
        <x:v>A</x:v>
      </x:c>
      <x:c r="E25" s="43" t="str">
        <x:v>Ardingly College</x:v>
      </x:c>
      <x:c r="F25" s="43" t="str">
        <x:v>Haywards Heath</x:v>
      </x:c>
      <x:c r="G25" s="43" t="str">
        <x:v>West Sussex</x:v>
      </x:c>
      <x:c r="H25" s="43" t="str">
        <x:v>RH17 6SQ</x:v>
      </x:c>
      <x:c r="I25" s="43" t="n">
        <x:v>2</x:v>
      </x:c>
      <x:c r="J25" s="43" t="n">
        <x:v>20</x:v>
      </x:c>
      <x:c r="K25" s="43" t="str">
        <x:v>Boarding school</x:v>
      </x:c>
      <x:c r="L25" s="43" t="str">
        <x:v>Has a sixth form</x:v>
      </x:c>
      <x:c r="M25" s="43" t="n">
        <x:v>1056</x:v>
      </x:c>
      <x:c r="N25" s="43" t="str">
        <x:v>https://www.ardingly.com</x:v>
      </x:c>
      <x:c r="O25" s="43" t="str">
        <x:v>01444893000</x:v>
      </x:c>
      <x:c r="P25" s="43" t="str">
        <x:v>office@ardingly.com</x:v>
      </x:c>
      <x:c r="Q25" s="43" t="str">
        <x:v>https://www.ardingly.com</x:v>
      </x:c>
      <x:c r="R25" s="43" t="str">
        <x:v>Generic public inbox found</x:v>
      </x:c>
      <x:c r="S25" s="43" t="str">
        <x:v>Needs human verification</x:v>
      </x:c>
      <x:c r="T25" s="43" t="str">
        <x:v>Hold</x:v>
      </x:c>
      <x:c r="U25" s="43" t="str">
        <x:v>No</x:v>
      </x:c>
      <x:c r="V25" s="44"/>
      <x:c r="W25" s="43" t="str"/>
      <x:c r="X25" s="43" t="str"/>
      <x:c r="Y25" s="43" t="str"/>
      <x:c r="Z25" s="43" t="str">
        <x:v>https://www.get-information-schools.service.gov.uk/Downloads</x:v>
      </x:c>
    </x:row>
    <x:row r="26">
      <x:c r="A26" s="43" t="str">
        <x:v>UK independent</x:v>
      </x:c>
      <x:c r="B26" s="43" t="str">
        <x:v>108114</x:v>
      </x:c>
      <x:c r="C26" s="43" t="n">
        <x:f>IF(K26="Boarding school",30,0)+IF(J26&gt;=18,20,0)+IF(I26&lt;=11,10,0)+IF(L26="Has a sixth form",15,0)+IF(M26&gt;=200,10,0)+IF(N26&lt;&gt;"",10,0)</x:f>
        <x:v>95</x:v>
      </x:c>
      <x:c r="D26" s="43" t="str">
        <x:f>IF(C26&gt;=85,"A",IF(C26&gt;=65,"B","C"))</x:f>
        <x:v>A</x:v>
      </x:c>
      <x:c r="E26" s="43" t="str">
        <x:v>Woodhouse Grove School</x:v>
      </x:c>
      <x:c r="F26" s="43" t="str">
        <x:v>Bradford</x:v>
      </x:c>
      <x:c r="G26" s="43" t="str">
        <x:v>West Yorkshire</x:v>
      </x:c>
      <x:c r="H26" s="43" t="str">
        <x:v>BD10 0NR</x:v>
      </x:c>
      <x:c r="I26" s="43" t="n">
        <x:v>2</x:v>
      </x:c>
      <x:c r="J26" s="43" t="n">
        <x:v>19</x:v>
      </x:c>
      <x:c r="K26" s="43" t="str">
        <x:v>Boarding school</x:v>
      </x:c>
      <x:c r="L26" s="43" t="str">
        <x:v>Has a sixth form</x:v>
      </x:c>
      <x:c r="M26" s="43" t="n">
        <x:v>1049</x:v>
      </x:c>
      <x:c r="N26" s="43" t="str">
        <x:v>https://www.woodhousegrove.co.uk</x:v>
      </x:c>
      <x:c r="O26" s="43" t="str">
        <x:v>01132502477</x:v>
      </x:c>
      <x:c r="P26" s="43" t="str">
        <x:v>enquiries@woodhousegrove.co.uk</x:v>
      </x:c>
      <x:c r="Q26" s="43" t="str">
        <x:v>https://www.woodhousegrove.co.uk</x:v>
      </x:c>
      <x:c r="R26" s="43" t="str">
        <x:v>Generic public inbox found</x:v>
      </x:c>
      <x:c r="S26" s="43" t="str">
        <x:v>Needs human verification</x:v>
      </x:c>
      <x:c r="T26" s="43" t="str">
        <x:v>Hold</x:v>
      </x:c>
      <x:c r="U26" s="43" t="str">
        <x:v>No</x:v>
      </x:c>
      <x:c r="V26" s="44"/>
      <x:c r="W26" s="43" t="str"/>
      <x:c r="X26" s="43" t="str"/>
      <x:c r="Y26" s="43" t="str"/>
      <x:c r="Z26" s="43" t="str">
        <x:v>https://www.get-information-schools.service.gov.uk/Downloads</x:v>
      </x:c>
    </x:row>
    <x:row r="27">
      <x:c r="A27" s="43" t="str">
        <x:v>UK independent</x:v>
      </x:c>
      <x:c r="B27" s="43" t="str">
        <x:v>125427</x:v>
      </x:c>
      <x:c r="C27" s="43" t="n">
        <x:f>IF(K27="Boarding school",30,0)+IF(J27&gt;=18,20,0)+IF(I27&lt;=11,10,0)+IF(L27="Has a sixth form",15,0)+IF(M27&gt;=200,10,0)+IF(N27&lt;&gt;"",10,0)</x:f>
        <x:v>95</x:v>
      </x:c>
      <x:c r="D27" s="43" t="str">
        <x:f>IF(C27&gt;=85,"A",IF(C27&gt;=65,"B","C"))</x:f>
        <x:v>A</x:v>
      </x:c>
      <x:c r="E27" s="43" t="str">
        <x:v>Caterham School</x:v>
      </x:c>
      <x:c r="F27" s="43" t="str">
        <x:v>Caterham</x:v>
      </x:c>
      <x:c r="G27" s="43" t="str">
        <x:v>Surrey</x:v>
      </x:c>
      <x:c r="H27" s="43" t="str">
        <x:v>CR3 6YA</x:v>
      </x:c>
      <x:c r="I27" s="43" t="n">
        <x:v>10</x:v>
      </x:c>
      <x:c r="J27" s="43" t="n">
        <x:v>19</x:v>
      </x:c>
      <x:c r="K27" s="43" t="str">
        <x:v>Boarding school</x:v>
      </x:c>
      <x:c r="L27" s="43" t="str">
        <x:v>Has a sixth form</x:v>
      </x:c>
      <x:c r="M27" s="43" t="n">
        <x:v>1029</x:v>
      </x:c>
      <x:c r="N27" s="43" t="str">
        <x:v>https://www.caterhamschool.co.uk</x:v>
      </x:c>
      <x:c r="O27" s="43" t="str">
        <x:v>01883343028</x:v>
      </x:c>
      <x:c r="P27" s="43" t="str"/>
      <x:c r="Q27" s="43" t="str">
        <x:v>https://www.caterhamschool.co.uk/contact/</x:v>
      </x:c>
      <x:c r="R27" s="43" t="str">
        <x:v>Manual contact review needed</x:v>
      </x:c>
      <x:c r="S27" s="43" t="str">
        <x:v>Not reviewed</x:v>
      </x:c>
      <x:c r="T27" s="43" t="str">
        <x:v>Hold</x:v>
      </x:c>
      <x:c r="U27" s="43" t="str">
        <x:v>No</x:v>
      </x:c>
      <x:c r="V27" s="44"/>
      <x:c r="W27" s="43" t="str"/>
      <x:c r="X27" s="43" t="str"/>
      <x:c r="Y27" s="43" t="str"/>
      <x:c r="Z27" s="43" t="str">
        <x:v>https://www.get-information-schools.service.gov.uk/Downloads</x:v>
      </x:c>
    </x:row>
    <x:row r="28">
      <x:c r="A28" s="43" t="str">
        <x:v>UK independent</x:v>
      </x:c>
      <x:c r="B28" s="43" t="str">
        <x:v>120735</x:v>
      </x:c>
      <x:c r="C28" s="43" t="n">
        <x:f>IF(K28="Boarding school",30,0)+IF(J28&gt;=18,20,0)+IF(I28&lt;=11,10,0)+IF(L28="Has a sixth form",15,0)+IF(M28&gt;=200,10,0)+IF(N28&lt;&gt;"",10,0)</x:f>
        <x:v>95</x:v>
      </x:c>
      <x:c r="D28" s="43" t="str">
        <x:f>IF(C28&gt;=85,"A",IF(C28&gt;=65,"B","C"))</x:f>
        <x:v>A</x:v>
      </x:c>
      <x:c r="E28" s="43" t="str">
        <x:v>Stamford Endowed Schools</x:v>
      </x:c>
      <x:c r="F28" s="43" t="str">
        <x:v>Lincolnshire</x:v>
      </x:c>
      <x:c r="G28" s="43" t="str"/>
      <x:c r="H28" s="43" t="str">
        <x:v>PE9 2BE</x:v>
      </x:c>
      <x:c r="I28" s="43" t="n">
        <x:v>11</x:v>
      </x:c>
      <x:c r="J28" s="43" t="n">
        <x:v>19</x:v>
      </x:c>
      <x:c r="K28" s="43" t="str">
        <x:v>Boarding school</x:v>
      </x:c>
      <x:c r="L28" s="43" t="str">
        <x:v>Has a sixth form</x:v>
      </x:c>
      <x:c r="M28" s="43" t="n">
        <x:v>1029</x:v>
      </x:c>
      <x:c r="N28" s="43" t="str">
        <x:v>https://stamfordschools.org.uk/</x:v>
      </x:c>
      <x:c r="O28" s="43" t="str">
        <x:v>01780668000</x:v>
      </x:c>
      <x:c r="P28" s="43" t="str"/>
      <x:c r="Q28" s="43" t="str">
        <x:v>https://stamfordschools.org.uk/contact-us</x:v>
      </x:c>
      <x:c r="R28" s="43" t="str">
        <x:v>Manual contact review needed</x:v>
      </x:c>
      <x:c r="S28" s="43" t="str">
        <x:v>Not reviewed</x:v>
      </x:c>
      <x:c r="T28" s="43" t="str">
        <x:v>Hold</x:v>
      </x:c>
      <x:c r="U28" s="43" t="str">
        <x:v>No</x:v>
      </x:c>
      <x:c r="V28" s="44"/>
      <x:c r="W28" s="43" t="str"/>
      <x:c r="X28" s="43" t="str"/>
      <x:c r="Y28" s="43" t="str"/>
      <x:c r="Z28" s="43" t="str">
        <x:v>https://www.get-information-schools.service.gov.uk/Downloads</x:v>
      </x:c>
    </x:row>
    <x:row r="29">
      <x:c r="A29" s="43" t="str">
        <x:v>UK independent</x:v>
      </x:c>
      <x:c r="B29" s="43" t="str">
        <x:v>109718</x:v>
      </x:c>
      <x:c r="C29" s="43" t="n">
        <x:f>IF(K29="Boarding school",30,0)+IF(J29&gt;=18,20,0)+IF(I29&lt;=11,10,0)+IF(L29="Has a sixth form",15,0)+IF(M29&gt;=200,10,0)+IF(N29&lt;&gt;"",10,0)</x:f>
        <x:v>95</x:v>
      </x:c>
      <x:c r="D29" s="43" t="str">
        <x:f>IF(C29&gt;=85,"A",IF(C29&gt;=65,"B","C"))</x:f>
        <x:v>A</x:v>
      </x:c>
      <x:c r="E29" s="43" t="str">
        <x:v>Bedford School</x:v>
      </x:c>
      <x:c r="F29" s="43" t="str">
        <x:v>Bedford</x:v>
      </x:c>
      <x:c r="G29" s="43" t="str">
        <x:v>Bedfordshire</x:v>
      </x:c>
      <x:c r="H29" s="43" t="str">
        <x:v>MK40 2TU</x:v>
      </x:c>
      <x:c r="I29" s="43" t="n">
        <x:v>7</x:v>
      </x:c>
      <x:c r="J29" s="43" t="n">
        <x:v>19</x:v>
      </x:c>
      <x:c r="K29" s="43" t="str">
        <x:v>Boarding school</x:v>
      </x:c>
      <x:c r="L29" s="43" t="str">
        <x:v>Has a sixth form</x:v>
      </x:c>
      <x:c r="M29" s="43" t="n">
        <x:v>994</x:v>
      </x:c>
      <x:c r="N29" s="43" t="str">
        <x:v>https://www.bedfordschool.org.uk</x:v>
      </x:c>
      <x:c r="O29" s="43" t="str">
        <x:v>01234362200</x:v>
      </x:c>
      <x:c r="P29" s="43" t="str">
        <x:v>info@bedfordschool.org.uk</x:v>
      </x:c>
      <x:c r="Q29" s="43" t="str">
        <x:v>https://www.bedfordschool.org.uk/community/ob-club/dvp-contacts-uk-and-abroad/</x:v>
      </x:c>
      <x:c r="R29" s="43" t="str">
        <x:v>Generic public inbox found</x:v>
      </x:c>
      <x:c r="S29" s="43" t="str">
        <x:v>Needs human verification</x:v>
      </x:c>
      <x:c r="T29" s="43" t="str">
        <x:v>Hold</x:v>
      </x:c>
      <x:c r="U29" s="43" t="str">
        <x:v>No</x:v>
      </x:c>
      <x:c r="V29" s="44"/>
      <x:c r="W29" s="43" t="str"/>
      <x:c r="X29" s="43" t="str"/>
      <x:c r="Y29" s="43" t="str"/>
      <x:c r="Z29" s="43" t="str">
        <x:v>https://www.get-information-schools.service.gov.uk/Downloads</x:v>
      </x:c>
    </x:row>
    <x:row r="30">
      <x:c r="A30" s="43" t="str">
        <x:v>UK independent</x:v>
      </x:c>
      <x:c r="B30" s="43" t="str">
        <x:v>113004</x:v>
      </x:c>
      <x:c r="C30" s="43" t="n">
        <x:f>IF(K30="Boarding school",30,0)+IF(J30&gt;=18,20,0)+IF(I30&lt;=11,10,0)+IF(L30="Has a sixth form",15,0)+IF(M30&gt;=200,10,0)+IF(N30&lt;&gt;"",10,0)</x:f>
        <x:v>95</x:v>
      </x:c>
      <x:c r="D30" s="43" t="str">
        <x:f>IF(C30&gt;=85,"A",IF(C30&gt;=65,"B","C"))</x:f>
        <x:v>A</x:v>
      </x:c>
      <x:c r="E30" s="43" t="str">
        <x:v>Trent College</x:v>
      </x:c>
      <x:c r="F30" s="43" t="str">
        <x:v>Nottingham</x:v>
      </x:c>
      <x:c r="G30" s="43" t="str">
        <x:v>Nottinghamshire</x:v>
      </x:c>
      <x:c r="H30" s="43" t="str">
        <x:v>NG10 4AD</x:v>
      </x:c>
      <x:c r="I30" s="43" t="n">
        <x:v>3</x:v>
      </x:c>
      <x:c r="J30" s="43" t="n">
        <x:v>19</x:v>
      </x:c>
      <x:c r="K30" s="43" t="str">
        <x:v>Boarding school</x:v>
      </x:c>
      <x:c r="L30" s="43" t="str">
        <x:v>Has a sixth form</x:v>
      </x:c>
      <x:c r="M30" s="43" t="n">
        <x:v>990</x:v>
      </x:c>
      <x:c r="N30" s="43" t="str">
        <x:v>https://www.trentschools.net/</x:v>
      </x:c>
      <x:c r="O30" s="43" t="str">
        <x:v>01158494949</x:v>
      </x:c>
      <x:c r="P30" s="43" t="str"/>
      <x:c r="Q30" s="43" t="str">
        <x:v>https://www.trentschools.net/contact-us</x:v>
      </x:c>
      <x:c r="R30" s="43" t="str">
        <x:v>Manual contact review needed</x:v>
      </x:c>
      <x:c r="S30" s="43" t="str">
        <x:v>Not reviewed</x:v>
      </x:c>
      <x:c r="T30" s="43" t="str">
        <x:v>Hold</x:v>
      </x:c>
      <x:c r="U30" s="43" t="str">
        <x:v>No</x:v>
      </x:c>
      <x:c r="V30" s="44"/>
      <x:c r="W30" s="43" t="str"/>
      <x:c r="X30" s="43" t="str"/>
      <x:c r="Y30" s="43" t="str"/>
      <x:c r="Z30" s="43" t="str">
        <x:v>https://www.get-information-schools.service.gov.uk/Downloads</x:v>
      </x:c>
    </x:row>
    <x:row r="31">
      <x:c r="A31" s="43" t="str">
        <x:v>UK independent</x:v>
      </x:c>
      <x:c r="B31" s="43" t="str">
        <x:v>125349</x:v>
      </x:c>
      <x:c r="C31" s="43" t="n">
        <x:f>IF(K31="Boarding school",30,0)+IF(J31&gt;=18,20,0)+IF(I31&lt;=11,10,0)+IF(L31="Has a sixth form",15,0)+IF(M31&gt;=200,10,0)+IF(N31&lt;&gt;"",10,0)</x:f>
        <x:v>95</x:v>
      </x:c>
      <x:c r="D31" s="43" t="str">
        <x:f>IF(C31&gt;=85,"A",IF(C31&gt;=65,"B","C"))</x:f>
        <x:v>A</x:v>
      </x:c>
      <x:c r="E31" s="43" t="str">
        <x:v>City of London Freemen's School</x:v>
      </x:c>
      <x:c r="F31" s="43" t="str">
        <x:v>Surrey</x:v>
      </x:c>
      <x:c r="G31" s="43" t="str"/>
      <x:c r="H31" s="43" t="str">
        <x:v>KT21 1ET</x:v>
      </x:c>
      <x:c r="I31" s="43" t="n">
        <x:v>7</x:v>
      </x:c>
      <x:c r="J31" s="43" t="n">
        <x:v>18</x:v>
      </x:c>
      <x:c r="K31" s="43" t="str">
        <x:v>Boarding school</x:v>
      </x:c>
      <x:c r="L31" s="43" t="str">
        <x:v>Has a sixth form</x:v>
      </x:c>
      <x:c r="M31" s="43" t="n">
        <x:v>971</x:v>
      </x:c>
      <x:c r="N31" s="43" t="str">
        <x:v>https://www.freemens.org</x:v>
      </x:c>
      <x:c r="O31" s="43" t="str">
        <x:v>01372822400</x:v>
      </x:c>
      <x:c r="P31" s="43" t="str"/>
      <x:c r="Q31" s="43" t="str">
        <x:v>https://www.freemens.org/contact</x:v>
      </x:c>
      <x:c r="R31" s="43" t="str">
        <x:v>Manual contact review needed</x:v>
      </x:c>
      <x:c r="S31" s="43" t="str">
        <x:v>Not reviewed</x:v>
      </x:c>
      <x:c r="T31" s="43" t="str">
        <x:v>Hold</x:v>
      </x:c>
      <x:c r="U31" s="43" t="str">
        <x:v>No</x:v>
      </x:c>
      <x:c r="V31" s="44"/>
      <x:c r="W31" s="43" t="str"/>
      <x:c r="X31" s="43" t="str"/>
      <x:c r="Y31" s="43" t="str"/>
      <x:c r="Z31" s="43" t="str">
        <x:v>https://www.get-information-schools.service.gov.uk/Downloads</x:v>
      </x:c>
    </x:row>
    <x:row r="32">
      <x:c r="A32" s="43" t="str">
        <x:v>UK independent</x:v>
      </x:c>
      <x:c r="B32" s="43" t="str">
        <x:v>126110</x:v>
      </x:c>
      <x:c r="C32" s="43" t="n">
        <x:f>IF(K32="Boarding school",30,0)+IF(J32&gt;=18,20,0)+IF(I32&lt;=11,10,0)+IF(L32="Has a sixth form",15,0)+IF(M32&gt;=200,10,0)+IF(N32&lt;&gt;"",10,0)</x:f>
        <x:v>95</x:v>
      </x:c>
      <x:c r="D32" s="43" t="str">
        <x:f>IF(C32&gt;=85,"A",IF(C32&gt;=65,"B","C"))</x:f>
        <x:v>A</x:v>
      </x:c>
      <x:c r="E32" s="43" t="str">
        <x:v>Seaford College</x:v>
      </x:c>
      <x:c r="F32" s="43" t="str"/>
      <x:c r="G32" s="43" t="str">
        <x:v>West Sussex</x:v>
      </x:c>
      <x:c r="H32" s="43" t="str">
        <x:v>GU28 0NB</x:v>
      </x:c>
      <x:c r="I32" s="43" t="n">
        <x:v>4</x:v>
      </x:c>
      <x:c r="J32" s="43" t="n">
        <x:v>18</x:v>
      </x:c>
      <x:c r="K32" s="43" t="str">
        <x:v>Boarding school</x:v>
      </x:c>
      <x:c r="L32" s="43" t="str">
        <x:v>Has a sixth form</x:v>
      </x:c>
      <x:c r="M32" s="43" t="n">
        <x:v>970</x:v>
      </x:c>
      <x:c r="N32" s="43" t="str">
        <x:v>https://www.seaford.org</x:v>
      </x:c>
      <x:c r="O32" s="43" t="str">
        <x:v>01798867392</x:v>
      </x:c>
      <x:c r="P32" s="43" t="str"/>
      <x:c r="Q32" s="43" t="str"/>
      <x:c r="R32" s="43" t="str">
        <x:v>Manual contact review needed (HTTPError)</x:v>
      </x:c>
      <x:c r="S32" s="43" t="str">
        <x:v>Not reviewed</x:v>
      </x:c>
      <x:c r="T32" s="43" t="str">
        <x:v>Hold</x:v>
      </x:c>
      <x:c r="U32" s="43" t="str">
        <x:v>No</x:v>
      </x:c>
      <x:c r="V32" s="44"/>
      <x:c r="W32" s="43" t="str"/>
      <x:c r="X32" s="43" t="str"/>
      <x:c r="Y32" s="43" t="str"/>
      <x:c r="Z32" s="43" t="str">
        <x:v>https://www.get-information-schools.service.gov.uk/Downloads</x:v>
      </x:c>
    </x:row>
    <x:row r="33">
      <x:c r="A33" s="43" t="str">
        <x:v>UK independent</x:v>
      </x:c>
      <x:c r="B33" s="43" t="str">
        <x:v>124881</x:v>
      </x:c>
      <x:c r="C33" s="43" t="n">
        <x:f>IF(K33="Boarding school",30,0)+IF(J33&gt;=18,20,0)+IF(I33&lt;=11,10,0)+IF(L33="Has a sixth form",15,0)+IF(M33&gt;=200,10,0)+IF(N33&lt;&gt;"",10,0)</x:f>
        <x:v>95</x:v>
      </x:c>
      <x:c r="D33" s="43" t="str">
        <x:f>IF(C33&gt;=85,"A",IF(C33&gt;=65,"B","C"))</x:f>
        <x:v>A</x:v>
      </x:c>
      <x:c r="E33" s="43" t="str">
        <x:v>Ipswich School</x:v>
      </x:c>
      <x:c r="F33" s="43" t="str">
        <x:v>Ipswich</x:v>
      </x:c>
      <x:c r="G33" s="43" t="str">
        <x:v>Suffolk</x:v>
      </x:c>
      <x:c r="H33" s="43" t="str">
        <x:v>IP1 3SG</x:v>
      </x:c>
      <x:c r="I33" s="43" t="n">
        <x:v>0</x:v>
      </x:c>
      <x:c r="J33" s="43" t="n">
        <x:v>18</x:v>
      </x:c>
      <x:c r="K33" s="43" t="str">
        <x:v>Boarding school</x:v>
      </x:c>
      <x:c r="L33" s="43" t="str">
        <x:v>Has a sixth form</x:v>
      </x:c>
      <x:c r="M33" s="43" t="n">
        <x:v>966</x:v>
      </x:c>
      <x:c r="N33" s="43" t="str">
        <x:v>https://www.ipswich.school</x:v>
      </x:c>
      <x:c r="O33" s="43" t="str">
        <x:v>01473408300</x:v>
      </x:c>
      <x:c r="P33" s="43" t="str"/>
      <x:c r="Q33" s="43" t="str"/>
      <x:c r="R33" s="43" t="str">
        <x:v>Manual contact review needed (HTTPError)</x:v>
      </x:c>
      <x:c r="S33" s="43" t="str">
        <x:v>Not reviewed</x:v>
      </x:c>
      <x:c r="T33" s="43" t="str">
        <x:v>Hold</x:v>
      </x:c>
      <x:c r="U33" s="43" t="str">
        <x:v>No</x:v>
      </x:c>
      <x:c r="V33" s="44"/>
      <x:c r="W33" s="43" t="str"/>
      <x:c r="X33" s="43" t="str"/>
      <x:c r="Y33" s="43" t="str"/>
      <x:c r="Z33" s="43" t="str">
        <x:v>https://www.get-information-schools.service.gov.uk/Downloads</x:v>
      </x:c>
    </x:row>
    <x:row r="34">
      <x:c r="A34" s="43" t="str">
        <x:v>UK independent</x:v>
      </x:c>
      <x:c r="B34" s="43" t="str">
        <x:v>118937</x:v>
      </x:c>
      <x:c r="C34" s="43" t="n">
        <x:f>IF(K34="Boarding school",30,0)+IF(J34&gt;=18,20,0)+IF(I34&lt;=11,10,0)+IF(L34="Has a sixth form",15,0)+IF(M34&gt;=200,10,0)+IF(N34&lt;&gt;"",10,0)</x:f>
        <x:v>95</x:v>
      </x:c>
      <x:c r="D34" s="43" t="str">
        <x:f>IF(C34&gt;=85,"A",IF(C34&gt;=65,"B","C"))</x:f>
        <x:v>A</x:v>
      </x:c>
      <x:c r="E34" s="43" t="str">
        <x:v>Ashford School</x:v>
      </x:c>
      <x:c r="F34" s="43" t="str">
        <x:v>Ashford</x:v>
      </x:c>
      <x:c r="G34" s="43" t="str">
        <x:v>Kent</x:v>
      </x:c>
      <x:c r="H34" s="43" t="str">
        <x:v>TN24 8PB</x:v>
      </x:c>
      <x:c r="I34" s="43" t="n">
        <x:v>0</x:v>
      </x:c>
      <x:c r="J34" s="43" t="n">
        <x:v>20</x:v>
      </x:c>
      <x:c r="K34" s="43" t="str">
        <x:v>Boarding school</x:v>
      </x:c>
      <x:c r="L34" s="43" t="str">
        <x:v>Has a sixth form</x:v>
      </x:c>
      <x:c r="M34" s="43" t="n">
        <x:v>936</x:v>
      </x:c>
      <x:c r="N34" s="43" t="str">
        <x:v>https://www.ashfordschool.co.uk</x:v>
      </x:c>
      <x:c r="O34" s="43" t="str">
        <x:v>01233625171</x:v>
      </x:c>
      <x:c r="P34" s="43" t="str"/>
      <x:c r="Q34" s="43" t="str">
        <x:v>https://www.ashfordschool.co.uk/contact</x:v>
      </x:c>
      <x:c r="R34" s="43" t="str">
        <x:v>Manual contact review needed</x:v>
      </x:c>
      <x:c r="S34" s="43" t="str">
        <x:v>Not reviewed</x:v>
      </x:c>
      <x:c r="T34" s="43" t="str">
        <x:v>Hold</x:v>
      </x:c>
      <x:c r="U34" s="43" t="str">
        <x:v>No</x:v>
      </x:c>
      <x:c r="V34" s="44"/>
      <x:c r="W34" s="43" t="str"/>
      <x:c r="X34" s="43" t="str"/>
      <x:c r="Y34" s="43" t="str"/>
      <x:c r="Z34" s="43" t="str">
        <x:v>https://www.get-information-schools.service.gov.uk/Downloads</x:v>
      </x:c>
    </x:row>
    <x:row r="35">
      <x:c r="A35" s="43" t="str">
        <x:v>UK independent</x:v>
      </x:c>
      <x:c r="B35" s="43" t="str">
        <x:v>115395</x:v>
      </x:c>
      <x:c r="C35" s="43" t="n">
        <x:f>IF(K35="Boarding school",30,0)+IF(J35&gt;=18,20,0)+IF(I35&lt;=11,10,0)+IF(L35="Has a sixth form",15,0)+IF(M35&gt;=200,10,0)+IF(N35&lt;&gt;"",10,0)</x:f>
        <x:v>95</x:v>
      </x:c>
      <x:c r="D35" s="43" t="str">
        <x:f>IF(C35&gt;=85,"A",IF(C35&gt;=65,"B","C"))</x:f>
        <x:v>A</x:v>
      </x:c>
      <x:c r="E35" s="43" t="str">
        <x:v>Felsted School</x:v>
      </x:c>
      <x:c r="F35" s="43" t="str">
        <x:v>Felsted</x:v>
      </x:c>
      <x:c r="G35" s="43" t="str">
        <x:v>Essex</x:v>
      </x:c>
      <x:c r="H35" s="43" t="str">
        <x:v>CM6 3LL</x:v>
      </x:c>
      <x:c r="I35" s="43" t="n">
        <x:v>3</x:v>
      </x:c>
      <x:c r="J35" s="43" t="n">
        <x:v>19</x:v>
      </x:c>
      <x:c r="K35" s="43" t="str">
        <x:v>Boarding school</x:v>
      </x:c>
      <x:c r="L35" s="43" t="str">
        <x:v>Has a sixth form</x:v>
      </x:c>
      <x:c r="M35" s="43" t="n">
        <x:v>932</x:v>
      </x:c>
      <x:c r="N35" s="43" t="str">
        <x:v>http://www.felsted.org/</x:v>
      </x:c>
      <x:c r="O35" s="43" t="str">
        <x:v>01371822600</x:v>
      </x:c>
      <x:c r="P35" s="43" t="str">
        <x:v>info@felsted.org</x:v>
      </x:c>
      <x:c r="Q35" s="43" t="str">
        <x:v>http://www.felsted.org/contact-us/contact-information</x:v>
      </x:c>
      <x:c r="R35" s="43" t="str">
        <x:v>Generic public inbox found</x:v>
      </x:c>
      <x:c r="S35" s="43" t="str">
        <x:v>Needs human verification</x:v>
      </x:c>
      <x:c r="T35" s="43" t="str">
        <x:v>Hold</x:v>
      </x:c>
      <x:c r="U35" s="43" t="str">
        <x:v>No</x:v>
      </x:c>
      <x:c r="V35" s="44"/>
      <x:c r="W35" s="43" t="str"/>
      <x:c r="X35" s="43" t="str"/>
      <x:c r="Y35" s="43" t="str"/>
      <x:c r="Z35" s="43" t="str">
        <x:v>https://www.get-information-schools.service.gov.uk/Downloads</x:v>
      </x:c>
    </x:row>
    <x:row r="36">
      <x:c r="A36" s="43" t="str">
        <x:v>UK independent</x:v>
      </x:c>
      <x:c r="B36" s="43" t="str">
        <x:v>117607</x:v>
      </x:c>
      <x:c r="C36" s="43" t="n">
        <x:f>IF(K36="Boarding school",30,0)+IF(J36&gt;=18,20,0)+IF(I36&lt;=11,10,0)+IF(L36="Has a sixth form",15,0)+IF(M36&gt;=200,10,0)+IF(N36&lt;&gt;"",10,0)</x:f>
        <x:v>95</x:v>
      </x:c>
      <x:c r="D36" s="43" t="str">
        <x:f>IF(C36&gt;=85,"A",IF(C36&gt;=65,"B","C"))</x:f>
        <x:v>A</x:v>
      </x:c>
      <x:c r="E36" s="43" t="str">
        <x:v>Haileybury College</x:v>
      </x:c>
      <x:c r="F36" s="43" t="str">
        <x:v>Hertford</x:v>
      </x:c>
      <x:c r="G36" s="43" t="str">
        <x:v>Hertfordshire</x:v>
      </x:c>
      <x:c r="H36" s="43" t="str">
        <x:v>SG13 7NU</x:v>
      </x:c>
      <x:c r="I36" s="43" t="n">
        <x:v>11</x:v>
      </x:c>
      <x:c r="J36" s="43" t="n">
        <x:v>18</x:v>
      </x:c>
      <x:c r="K36" s="43" t="str">
        <x:v>Boarding school</x:v>
      </x:c>
      <x:c r="L36" s="43" t="str">
        <x:v>Has a sixth form</x:v>
      </x:c>
      <x:c r="M36" s="43" t="n">
        <x:v>924</x:v>
      </x:c>
      <x:c r="N36" s="43" t="str">
        <x:v>https://www.haileybury.com</x:v>
      </x:c>
      <x:c r="O36" s="43" t="str">
        <x:v>01992706200</x:v>
      </x:c>
      <x:c r="P36" s="43" t="str"/>
      <x:c r="Q36" s="43" t="str">
        <x:v>https://www.haileybury.com/admissions/contact-admissions/</x:v>
      </x:c>
      <x:c r="R36" s="43" t="str">
        <x:v>Manual contact review needed</x:v>
      </x:c>
      <x:c r="S36" s="43" t="str">
        <x:v>Not reviewed</x:v>
      </x:c>
      <x:c r="T36" s="43" t="str">
        <x:v>Hold</x:v>
      </x:c>
      <x:c r="U36" s="43" t="str">
        <x:v>No</x:v>
      </x:c>
      <x:c r="V36" s="44"/>
      <x:c r="W36" s="43" t="str"/>
      <x:c r="X36" s="43" t="str"/>
      <x:c r="Y36" s="43" t="str"/>
      <x:c r="Z36" s="43" t="str">
        <x:v>https://www.get-information-schools.service.gov.uk/Downloads</x:v>
      </x:c>
    </x:row>
    <x:row r="37">
      <x:c r="A37" s="43" t="str">
        <x:v>UK independent</x:v>
      </x:c>
      <x:c r="B37" s="43" t="str">
        <x:v>120316</x:v>
      </x:c>
      <x:c r="C37" s="43" t="n">
        <x:f>IF(K37="Boarding school",30,0)+IF(J37&gt;=18,20,0)+IF(I37&lt;=11,10,0)+IF(L37="Has a sixth form",15,0)+IF(M37&gt;=200,10,0)+IF(N37&lt;&gt;"",10,0)</x:f>
        <x:v>95</x:v>
      </x:c>
      <x:c r="D37" s="43" t="str">
        <x:f>IF(C37&gt;=85,"A",IF(C37&gt;=65,"B","C"))</x:f>
        <x:v>A</x:v>
      </x:c>
      <x:c r="E37" s="43" t="str">
        <x:v>Ratcliffe College</x:v>
      </x:c>
      <x:c r="F37" s="43" t="str"/>
      <x:c r="G37" s="43" t="str">
        <x:v>Leicestershire</x:v>
      </x:c>
      <x:c r="H37" s="43" t="str">
        <x:v>LE7 4SG</x:v>
      </x:c>
      <x:c r="I37" s="43" t="n">
        <x:v>3</x:v>
      </x:c>
      <x:c r="J37" s="43" t="n">
        <x:v>18</x:v>
      </x:c>
      <x:c r="K37" s="43" t="str">
        <x:v>Boarding school</x:v>
      </x:c>
      <x:c r="L37" s="43" t="str">
        <x:v>Has a sixth form</x:v>
      </x:c>
      <x:c r="M37" s="43" t="n">
        <x:v>923</x:v>
      </x:c>
      <x:c r="N37" s="43" t="str">
        <x:v>https://www.ratcliffecollege.com</x:v>
      </x:c>
      <x:c r="O37" s="43" t="str">
        <x:v>01509817000</x:v>
      </x:c>
      <x:c r="P37" s="43" t="str">
        <x:v>enquiries@ratcliffecollege.com</x:v>
      </x:c>
      <x:c r="Q37" s="43" t="str">
        <x:v>https://www.ratcliffecollege.com</x:v>
      </x:c>
      <x:c r="R37" s="43" t="str">
        <x:v>Generic public inbox found</x:v>
      </x:c>
      <x:c r="S37" s="43" t="str">
        <x:v>Needs human verification</x:v>
      </x:c>
      <x:c r="T37" s="43" t="str">
        <x:v>Hold</x:v>
      </x:c>
      <x:c r="U37" s="43" t="str">
        <x:v>No</x:v>
      </x:c>
      <x:c r="V37" s="44"/>
      <x:c r="W37" s="43" t="str"/>
      <x:c r="X37" s="43" t="str"/>
      <x:c r="Y37" s="43" t="str"/>
      <x:c r="Z37" s="43" t="str">
        <x:v>https://www.get-information-schools.service.gov.uk/Downloads</x:v>
      </x:c>
    </x:row>
    <x:row r="38">
      <x:c r="A38" s="43" t="str">
        <x:v>UK independent</x:v>
      </x:c>
      <x:c r="B38" s="43" t="str">
        <x:v>125353</x:v>
      </x:c>
      <x:c r="C38" s="43" t="n">
        <x:f>IF(K38="Boarding school",30,0)+IF(J38&gt;=18,20,0)+IF(I38&lt;=11,10,0)+IF(L38="Has a sixth form",15,0)+IF(M38&gt;=200,10,0)+IF(N38&lt;&gt;"",10,0)</x:f>
        <x:v>95</x:v>
      </x:c>
      <x:c r="D38" s="43" t="str">
        <x:f>IF(C38&gt;=85,"A",IF(C38&gt;=65,"B","C"))</x:f>
        <x:v>A</x:v>
      </x:c>
      <x:c r="E38" s="43" t="str">
        <x:v>St John's School</x:v>
      </x:c>
      <x:c r="F38" s="43" t="str">
        <x:v>Leatherhead</x:v>
      </x:c>
      <x:c r="G38" s="43" t="str">
        <x:v>Surrey</x:v>
      </x:c>
      <x:c r="H38" s="43" t="str">
        <x:v>KT22 8SP</x:v>
      </x:c>
      <x:c r="I38" s="43" t="n">
        <x:v>11</x:v>
      </x:c>
      <x:c r="J38" s="43" t="n">
        <x:v>18</x:v>
      </x:c>
      <x:c r="K38" s="43" t="str">
        <x:v>Boarding school</x:v>
      </x:c>
      <x:c r="L38" s="43" t="str">
        <x:v>Has a sixth form</x:v>
      </x:c>
      <x:c r="M38" s="43" t="n">
        <x:v>892</x:v>
      </x:c>
      <x:c r="N38" s="43" t="str">
        <x:v>http://www.stjohnsleatherhead.co.uk/</x:v>
      </x:c>
      <x:c r="O38" s="43" t="str">
        <x:v>01372373000</x:v>
      </x:c>
      <x:c r="P38" s="43" t="str"/>
      <x:c r="Q38" s="43" t="str">
        <x:v>http://www.stjohnsleatherhead.co.uk/</x:v>
      </x:c>
      <x:c r="R38" s="43" t="str">
        <x:v>Manual contact review needed</x:v>
      </x:c>
      <x:c r="S38" s="43" t="str">
        <x:v>Not reviewed</x:v>
      </x:c>
      <x:c r="T38" s="43" t="str">
        <x:v>Hold</x:v>
      </x:c>
      <x:c r="U38" s="43" t="str">
        <x:v>No</x:v>
      </x:c>
      <x:c r="V38" s="44"/>
      <x:c r="W38" s="43" t="str"/>
      <x:c r="X38" s="43" t="str"/>
      <x:c r="Y38" s="43" t="str"/>
      <x:c r="Z38" s="43" t="str">
        <x:v>https://www.get-information-schools.service.gov.uk/Downloads</x:v>
      </x:c>
    </x:row>
    <x:row r="39">
      <x:c r="A39" s="43" t="str">
        <x:v>UK independent</x:v>
      </x:c>
      <x:c r="B39" s="43" t="str">
        <x:v>109346</x:v>
      </x:c>
      <x:c r="C39" s="43" t="n">
        <x:f>IF(K39="Boarding school",30,0)+IF(J39&gt;=18,20,0)+IF(I39&lt;=11,10,0)+IF(L39="Has a sixth form",15,0)+IF(M39&gt;=200,10,0)+IF(N39&lt;&gt;"",10,0)</x:f>
        <x:v>95</x:v>
      </x:c>
      <x:c r="D39" s="43" t="str">
        <x:f>IF(C39&gt;=85,"A",IF(C39&gt;=65,"B","C"))</x:f>
        <x:v>A</x:v>
      </x:c>
      <x:c r="E39" s="43" t="str">
        <x:v>Kingswood School</x:v>
      </x:c>
      <x:c r="F39" s="43" t="str">
        <x:v>Bath</x:v>
      </x:c>
      <x:c r="G39" s="43" t="str"/>
      <x:c r="H39" s="43" t="str">
        <x:v>BA1 5RG</x:v>
      </x:c>
      <x:c r="I39" s="43" t="n">
        <x:v>11</x:v>
      </x:c>
      <x:c r="J39" s="43" t="n">
        <x:v>19</x:v>
      </x:c>
      <x:c r="K39" s="43" t="str">
        <x:v>Boarding school</x:v>
      </x:c>
      <x:c r="L39" s="43" t="str">
        <x:v>Has a sixth form</x:v>
      </x:c>
      <x:c r="M39" s="43" t="n">
        <x:v>886</x:v>
      </x:c>
      <x:c r="N39" s="43" t="str">
        <x:v>https://www.kingswood.bath.sch.uk</x:v>
      </x:c>
      <x:c r="O39" s="43" t="str">
        <x:v>01225734200</x:v>
      </x:c>
      <x:c r="P39" s="43" t="str">
        <x:v>reception@kingswood.bath.sch.uk</x:v>
      </x:c>
      <x:c r="Q39" s="43" t="str">
        <x:v>https://www.kingswood.bath.sch.uk/contact-us/</x:v>
      </x:c>
      <x:c r="R39" s="43" t="str">
        <x:v>Generic public inbox found</x:v>
      </x:c>
      <x:c r="S39" s="43" t="str">
        <x:v>Needs human verification</x:v>
      </x:c>
      <x:c r="T39" s="43" t="str">
        <x:v>Hold</x:v>
      </x:c>
      <x:c r="U39" s="43" t="str">
        <x:v>No</x:v>
      </x:c>
      <x:c r="V39" s="44"/>
      <x:c r="W39" s="43" t="str"/>
      <x:c r="X39" s="43" t="str"/>
      <x:c r="Y39" s="43" t="str"/>
      <x:c r="Z39" s="43" t="str">
        <x:v>https://www.get-information-schools.service.gov.uk/Downloads</x:v>
      </x:c>
    </x:row>
    <x:row r="40">
      <x:c r="A40" s="43" t="str">
        <x:v>UK independent</x:v>
      </x:c>
      <x:c r="B40" s="43" t="str">
        <x:v>117641</x:v>
      </x:c>
      <x:c r="C40" s="43" t="n">
        <x:f>IF(K40="Boarding school",30,0)+IF(J40&gt;=18,20,0)+IF(I40&lt;=11,10,0)+IF(L40="Has a sixth form",15,0)+IF(M40&gt;=200,10,0)+IF(N40&lt;&gt;"",10,0)</x:f>
        <x:v>95</x:v>
      </x:c>
      <x:c r="D40" s="43" t="str">
        <x:f>IF(C40&gt;=85,"A",IF(C40&gt;=65,"B","C"))</x:f>
        <x:v>A</x:v>
      </x:c>
      <x:c r="E40" s="43" t="str">
        <x:v>Royal Masonic School for Girls</x:v>
      </x:c>
      <x:c r="F40" s="43" t="str">
        <x:v>Rickmansworth</x:v>
      </x:c>
      <x:c r="G40" s="43" t="str">
        <x:v>Hertfordshire</x:v>
      </x:c>
      <x:c r="H40" s="43" t="str">
        <x:v>WD3 4HF</x:v>
      </x:c>
      <x:c r="I40" s="43" t="n">
        <x:v>2</x:v>
      </x:c>
      <x:c r="J40" s="43" t="n">
        <x:v>19</x:v>
      </x:c>
      <x:c r="K40" s="43" t="str">
        <x:v>Boarding school</x:v>
      </x:c>
      <x:c r="L40" s="43" t="str">
        <x:v>Has a sixth form</x:v>
      </x:c>
      <x:c r="M40" s="43" t="n">
        <x:v>880</x:v>
      </x:c>
      <x:c r="N40" s="43" t="str">
        <x:v>https://www.rmsforgirls.com</x:v>
      </x:c>
      <x:c r="O40" s="43" t="str">
        <x:v>01923773168</x:v>
      </x:c>
      <x:c r="P40" s="43" t="str">
        <x:v>enquiries@rmsforgirls.com</x:v>
      </x:c>
      <x:c r="Q40" s="43" t="str">
        <x:v>https://www.rmsforgirls.com</x:v>
      </x:c>
      <x:c r="R40" s="43" t="str">
        <x:v>Generic public inbox found</x:v>
      </x:c>
      <x:c r="S40" s="43" t="str">
        <x:v>Needs human verification</x:v>
      </x:c>
      <x:c r="T40" s="43" t="str">
        <x:v>Hold</x:v>
      </x:c>
      <x:c r="U40" s="43" t="str">
        <x:v>No</x:v>
      </x:c>
      <x:c r="V40" s="44"/>
      <x:c r="W40" s="43" t="str"/>
      <x:c r="X40" s="43" t="str"/>
      <x:c r="Y40" s="43" t="str"/>
      <x:c r="Z40" s="43" t="str">
        <x:v>https://www.get-information-schools.service.gov.uk/Downloads</x:v>
      </x:c>
    </x:row>
    <x:row r="41">
      <x:c r="A41" s="43" t="str">
        <x:v>UK independent</x:v>
      </x:c>
      <x:c r="B41" s="43" t="str">
        <x:v>121222</x:v>
      </x:c>
      <x:c r="C41" s="43" t="n">
        <x:f>IF(K41="Boarding school",30,0)+IF(J41&gt;=18,20,0)+IF(I41&lt;=11,10,0)+IF(L41="Has a sixth form",15,0)+IF(M41&gt;=200,10,0)+IF(N41&lt;&gt;"",10,0)</x:f>
        <x:v>95</x:v>
      </x:c>
      <x:c r="D41" s="43" t="str">
        <x:f>IF(C41&gt;=85,"A",IF(C41&gt;=65,"B","C"))</x:f>
        <x:v>A</x:v>
      </x:c>
      <x:c r="E41" s="43" t="str">
        <x:v>Gresham's School</x:v>
      </x:c>
      <x:c r="F41" s="43" t="str"/>
      <x:c r="G41" s="43" t="str"/>
      <x:c r="H41" s="43" t="str">
        <x:v>NR25 6EA</x:v>
      </x:c>
      <x:c r="I41" s="43" t="n">
        <x:v>2</x:v>
      </x:c>
      <x:c r="J41" s="43" t="n">
        <x:v>18</x:v>
      </x:c>
      <x:c r="K41" s="43" t="str">
        <x:v>Boarding school</x:v>
      </x:c>
      <x:c r="L41" s="43" t="str">
        <x:v>Has a sixth form</x:v>
      </x:c>
      <x:c r="M41" s="43" t="n">
        <x:v>876</x:v>
      </x:c>
      <x:c r="N41" s="43" t="str">
        <x:v>http://www.greshams.com/</x:v>
      </x:c>
      <x:c r="O41" s="43" t="str">
        <x:v>01263714500</x:v>
      </x:c>
      <x:c r="P41" s="43" t="str"/>
      <x:c r="Q41" s="43" t="str">
        <x:v>http://www.greshams.com/support-us/contact-us-development/</x:v>
      </x:c>
      <x:c r="R41" s="43" t="str">
        <x:v>Manual contact review needed</x:v>
      </x:c>
      <x:c r="S41" s="43" t="str">
        <x:v>Not reviewed</x:v>
      </x:c>
      <x:c r="T41" s="43" t="str">
        <x:v>Hold</x:v>
      </x:c>
      <x:c r="U41" s="43" t="str">
        <x:v>No</x:v>
      </x:c>
      <x:c r="V41" s="44"/>
      <x:c r="W41" s="43" t="str"/>
      <x:c r="X41" s="43" t="str"/>
      <x:c r="Y41" s="43" t="str"/>
      <x:c r="Z41" s="43" t="str">
        <x:v>https://www.get-information-schools.service.gov.uk/Downloads</x:v>
      </x:c>
    </x:row>
    <x:row r="42">
      <x:c r="A42" s="43" t="str">
        <x:v>UK independent</x:v>
      </x:c>
      <x:c r="B42" s="43" t="str">
        <x:v>124886</x:v>
      </x:c>
      <x:c r="C42" s="43" t="n">
        <x:f>IF(K42="Boarding school",30,0)+IF(J42&gt;=18,20,0)+IF(I42&lt;=11,10,0)+IF(L42="Has a sixth form",15,0)+IF(M42&gt;=200,10,0)+IF(N42&lt;&gt;"",10,0)</x:f>
        <x:v>95</x:v>
      </x:c>
      <x:c r="D42" s="43" t="str">
        <x:f>IF(C42&gt;=85,"A",IF(C42&gt;=65,"B","C"))</x:f>
        <x:v>A</x:v>
      </x:c>
      <x:c r="E42" s="43" t="str">
        <x:v>Culford School</x:v>
      </x:c>
      <x:c r="F42" s="43" t="str">
        <x:v>Bury St. Edmunds</x:v>
      </x:c>
      <x:c r="G42" s="43" t="str">
        <x:v>Suffolk</x:v>
      </x:c>
      <x:c r="H42" s="43" t="str">
        <x:v>IP28 6TX</x:v>
      </x:c>
      <x:c r="I42" s="43" t="n">
        <x:v>1</x:v>
      </x:c>
      <x:c r="J42" s="43" t="n">
        <x:v>19</x:v>
      </x:c>
      <x:c r="K42" s="43" t="str">
        <x:v>Boarding school</x:v>
      </x:c>
      <x:c r="L42" s="43" t="str">
        <x:v>Has a sixth form</x:v>
      </x:c>
      <x:c r="M42" s="43" t="n">
        <x:v>863</x:v>
      </x:c>
      <x:c r="N42" s="43" t="str">
        <x:v>http://www.culford.co.uk/</x:v>
      </x:c>
      <x:c r="O42" s="43" t="str">
        <x:v>01284728615</x:v>
      </x:c>
      <x:c r="P42" s="43" t="str">
        <x:v>reception@culford.co.uk</x:v>
      </x:c>
      <x:c r="Q42" s="43" t="str">
        <x:v>http://www.culford.co.uk/about-us/useful-contacts</x:v>
      </x:c>
      <x:c r="R42" s="43" t="str">
        <x:v>Generic public inbox found</x:v>
      </x:c>
      <x:c r="S42" s="43" t="str">
        <x:v>Needs human verification</x:v>
      </x:c>
      <x:c r="T42" s="43" t="str">
        <x:v>Hold</x:v>
      </x:c>
      <x:c r="U42" s="43" t="str">
        <x:v>No</x:v>
      </x:c>
      <x:c r="V42" s="44"/>
      <x:c r="W42" s="43" t="str"/>
      <x:c r="X42" s="43" t="str"/>
      <x:c r="Y42" s="43" t="str"/>
      <x:c r="Z42" s="43" t="str">
        <x:v>https://www.get-information-schools.service.gov.uk/Downloads</x:v>
      </x:c>
    </x:row>
    <x:row r="43">
      <x:c r="A43" s="43" t="str">
        <x:v>UK independent</x:v>
      </x:c>
      <x:c r="B43" s="43" t="str">
        <x:v>125323</x:v>
      </x:c>
      <x:c r="C43" s="43" t="n">
        <x:f>IF(K43="Boarding school",30,0)+IF(J43&gt;=18,20,0)+IF(I43&lt;=11,10,0)+IF(L43="Has a sixth form",15,0)+IF(M43&gt;=200,10,0)+IF(N43&lt;&gt;"",10,0)</x:f>
        <x:v>95</x:v>
      </x:c>
      <x:c r="D43" s="43" t="str">
        <x:f>IF(C43&gt;=85,"A",IF(C43&gt;=65,"B","C"))</x:f>
        <x:v>A</x:v>
      </x:c>
      <x:c r="E43" s="43" t="str">
        <x:v>Cranleigh School</x:v>
      </x:c>
      <x:c r="F43" s="43" t="str">
        <x:v>Cranleigh</x:v>
      </x:c>
      <x:c r="G43" s="43" t="str">
        <x:v>Surrey</x:v>
      </x:c>
      <x:c r="H43" s="43" t="str">
        <x:v>GU6 8QQ</x:v>
      </x:c>
      <x:c r="I43" s="43" t="n">
        <x:v>2</x:v>
      </x:c>
      <x:c r="J43" s="43" t="n">
        <x:v>19</x:v>
      </x:c>
      <x:c r="K43" s="43" t="str">
        <x:v>Boarding school</x:v>
      </x:c>
      <x:c r="L43" s="43" t="str">
        <x:v>Has a sixth form</x:v>
      </x:c>
      <x:c r="M43" s="43" t="n">
        <x:v>862</x:v>
      </x:c>
      <x:c r="N43" s="43" t="str">
        <x:v>https://www.cranleigh.org</x:v>
      </x:c>
      <x:c r="O43" s="43" t="str">
        <x:v>01483542131</x:v>
      </x:c>
      <x:c r="P43" s="43" t="str">
        <x:v>reception@cranleigh.org</x:v>
      </x:c>
      <x:c r="Q43" s="43" t="str">
        <x:v>https://www.cranleigh.org</x:v>
      </x:c>
      <x:c r="R43" s="43" t="str">
        <x:v>Generic public inbox found</x:v>
      </x:c>
      <x:c r="S43" s="43" t="str">
        <x:v>Needs human verification</x:v>
      </x:c>
      <x:c r="T43" s="43" t="str">
        <x:v>Hold</x:v>
      </x:c>
      <x:c r="U43" s="43" t="str">
        <x:v>No</x:v>
      </x:c>
      <x:c r="V43" s="44"/>
      <x:c r="W43" s="43" t="str"/>
      <x:c r="X43" s="43" t="str"/>
      <x:c r="Y43" s="43" t="str"/>
      <x:c r="Z43" s="43" t="str">
        <x:v>https://www.get-information-schools.service.gov.uk/Downloads</x:v>
      </x:c>
    </x:row>
    <x:row r="44">
      <x:c r="A44" s="43" t="str">
        <x:v>UK independent</x:v>
      </x:c>
      <x:c r="B44" s="43" t="str">
        <x:v>125321</x:v>
      </x:c>
      <x:c r="C44" s="43" t="n">
        <x:f>IF(K44="Boarding school",30,0)+IF(J44&gt;=18,20,0)+IF(I44&lt;=11,10,0)+IF(L44="Has a sixth form",15,0)+IF(M44&gt;=200,10,0)+IF(N44&lt;&gt;"",10,0)</x:f>
        <x:v>95</x:v>
      </x:c>
      <x:c r="D44" s="43" t="str">
        <x:f>IF(C44&gt;=85,"A",IF(C44&gt;=65,"B","C"))</x:f>
        <x:v>A</x:v>
      </x:c>
      <x:c r="E44" s="43" t="str">
        <x:v>Reed's School</x:v>
      </x:c>
      <x:c r="F44" s="43" t="str">
        <x:v>Cobham</x:v>
      </x:c>
      <x:c r="G44" s="43" t="str">
        <x:v>Surrey</x:v>
      </x:c>
      <x:c r="H44" s="43" t="str">
        <x:v>KT11 2ES</x:v>
      </x:c>
      <x:c r="I44" s="43" t="n">
        <x:v>10</x:v>
      </x:c>
      <x:c r="J44" s="43" t="n">
        <x:v>19</x:v>
      </x:c>
      <x:c r="K44" s="43" t="str">
        <x:v>Boarding school</x:v>
      </x:c>
      <x:c r="L44" s="43" t="str">
        <x:v>Has a sixth form</x:v>
      </x:c>
      <x:c r="M44" s="43" t="n">
        <x:v>854</x:v>
      </x:c>
      <x:c r="N44" s="43" t="str">
        <x:v>https://www.reeds.surrey.sch.uk</x:v>
      </x:c>
      <x:c r="O44" s="43" t="str">
        <x:v>01932869044</x:v>
      </x:c>
      <x:c r="P44" s="43" t="str"/>
      <x:c r="Q44" s="43" t="str">
        <x:v>https://www.reeds.surrey.sch.uk</x:v>
      </x:c>
      <x:c r="R44" s="43" t="str">
        <x:v>Manual contact review needed</x:v>
      </x:c>
      <x:c r="S44" s="43" t="str">
        <x:v>Not reviewed</x:v>
      </x:c>
      <x:c r="T44" s="43" t="str">
        <x:v>Hold</x:v>
      </x:c>
      <x:c r="U44" s="43" t="str">
        <x:v>No</x:v>
      </x:c>
      <x:c r="V44" s="44"/>
      <x:c r="W44" s="43" t="str"/>
      <x:c r="X44" s="43" t="str"/>
      <x:c r="Y44" s="43" t="str"/>
      <x:c r="Z44" s="43" t="str">
        <x:v>https://www.get-information-schools.service.gov.uk/Downloads</x:v>
      </x:c>
    </x:row>
    <x:row r="45">
      <x:c r="A45" s="43" t="str">
        <x:v>UK independent</x:v>
      </x:c>
      <x:c r="B45" s="43" t="str">
        <x:v>117602</x:v>
      </x:c>
      <x:c r="C45" s="43" t="n">
        <x:f>IF(K45="Boarding school",30,0)+IF(J45&gt;=18,20,0)+IF(I45&lt;=11,10,0)+IF(L45="Has a sixth form",15,0)+IF(M45&gt;=200,10,0)+IF(N45&lt;&gt;"",10,0)</x:f>
        <x:v>95</x:v>
      </x:c>
      <x:c r="D45" s="43" t="str">
        <x:f>IF(C45&gt;=85,"A",IF(C45&gt;=65,"B","C"))</x:f>
        <x:v>A</x:v>
      </x:c>
      <x:c r="E45" s="43" t="str">
        <x:v>Aldenham School</x:v>
      </x:c>
      <x:c r="F45" s="43" t="str">
        <x:v>Elstree</x:v>
      </x:c>
      <x:c r="G45" s="43" t="str">
        <x:v>Hertfordshire</x:v>
      </x:c>
      <x:c r="H45" s="43" t="str">
        <x:v>WD6 3AJ</x:v>
      </x:c>
      <x:c r="I45" s="43" t="n">
        <x:v>3</x:v>
      </x:c>
      <x:c r="J45" s="43" t="n">
        <x:v>19</x:v>
      </x:c>
      <x:c r="K45" s="43" t="str">
        <x:v>Boarding school</x:v>
      </x:c>
      <x:c r="L45" s="43" t="str">
        <x:v>Has a sixth form</x:v>
      </x:c>
      <x:c r="M45" s="43" t="n">
        <x:v>849</x:v>
      </x:c>
      <x:c r="N45" s="43" t="str">
        <x:v>https://www.aldenham.com</x:v>
      </x:c>
      <x:c r="O45" s="43" t="str">
        <x:v>01923858122</x:v>
      </x:c>
      <x:c r="P45" s="43" t="str">
        <x:v>enquiries@aldenham.com</x:v>
      </x:c>
      <x:c r="Q45" s="43" t="str">
        <x:v>https://www.aldenham.com</x:v>
      </x:c>
      <x:c r="R45" s="43" t="str">
        <x:v>Generic public inbox found</x:v>
      </x:c>
      <x:c r="S45" s="43" t="str">
        <x:v>Needs human verification</x:v>
      </x:c>
      <x:c r="T45" s="43" t="str">
        <x:v>Hold</x:v>
      </x:c>
      <x:c r="U45" s="43" t="str">
        <x:v>No</x:v>
      </x:c>
      <x:c r="V45" s="44"/>
      <x:c r="W45" s="43" t="str"/>
      <x:c r="X45" s="43" t="str"/>
      <x:c r="Y45" s="43" t="str"/>
      <x:c r="Z45" s="43" t="str">
        <x:v>https://www.get-information-schools.service.gov.uk/Downloads</x:v>
      </x:c>
    </x:row>
    <x:row r="46">
      <x:c r="A46" s="43" t="str">
        <x:v>UK independent</x:v>
      </x:c>
      <x:c r="B46" s="43" t="str">
        <x:v>122908</x:v>
      </x:c>
      <x:c r="C46" s="43" t="n">
        <x:f>IF(K46="Boarding school",30,0)+IF(J46&gt;=18,20,0)+IF(I46&lt;=11,10,0)+IF(L46="Has a sixth form",15,0)+IF(M46&gt;=200,10,0)+IF(N46&lt;&gt;"",10,0)</x:f>
        <x:v>95</x:v>
      </x:c>
      <x:c r="D46" s="43" t="str">
        <x:f>IF(C46&gt;=85,"A",IF(C46&gt;=65,"B","C"))</x:f>
        <x:v>A</x:v>
      </x:c>
      <x:c r="E46" s="43" t="str">
        <x:v>Worksop College</x:v>
      </x:c>
      <x:c r="F46" s="43" t="str">
        <x:v>Worksop</x:v>
      </x:c>
      <x:c r="G46" s="43" t="str">
        <x:v>Nottinghamshire</x:v>
      </x:c>
      <x:c r="H46" s="43" t="str">
        <x:v>S80 3AP</x:v>
      </x:c>
      <x:c r="I46" s="43" t="n">
        <x:v>2</x:v>
      </x:c>
      <x:c r="J46" s="43" t="n">
        <x:v>18</x:v>
      </x:c>
      <x:c r="K46" s="43" t="str">
        <x:v>Boarding school</x:v>
      </x:c>
      <x:c r="L46" s="43" t="str">
        <x:v>Has a sixth form</x:v>
      </x:c>
      <x:c r="M46" s="43" t="n">
        <x:v>849</x:v>
      </x:c>
      <x:c r="N46" s="43" t="str">
        <x:v>https://www.wsnl.co.uk</x:v>
      </x:c>
      <x:c r="O46" s="43" t="str">
        <x:v>01909537100</x:v>
      </x:c>
      <x:c r="P46" s="43" t="str">
        <x:v>enquiries@wsnl.co.uk</x:v>
      </x:c>
      <x:c r="Q46" s="43" t="str">
        <x:v>https://www.wsnl.co.uk</x:v>
      </x:c>
      <x:c r="R46" s="43" t="str">
        <x:v>Generic public inbox found</x:v>
      </x:c>
      <x:c r="S46" s="43" t="str">
        <x:v>Needs human verification</x:v>
      </x:c>
      <x:c r="T46" s="43" t="str">
        <x:v>Hold</x:v>
      </x:c>
      <x:c r="U46" s="43" t="str">
        <x:v>No</x:v>
      </x:c>
      <x:c r="V46" s="44"/>
      <x:c r="W46" s="43" t="str"/>
      <x:c r="X46" s="43" t="str"/>
      <x:c r="Y46" s="43" t="str"/>
      <x:c r="Z46" s="43" t="str">
        <x:v>https://www.get-information-schools.service.gov.uk/Downloads</x:v>
      </x:c>
    </x:row>
    <x:row r="47">
      <x:c r="A47" s="43" t="str">
        <x:v>UK independent</x:v>
      </x:c>
      <x:c r="B47" s="43" t="str">
        <x:v>126532</x:v>
      </x:c>
      <x:c r="C47" s="43" t="n">
        <x:f>IF(K47="Boarding school",30,0)+IF(J47&gt;=18,20,0)+IF(I47&lt;=11,10,0)+IF(L47="Has a sixth form",15,0)+IF(M47&gt;=200,10,0)+IF(N47&lt;&gt;"",10,0)</x:f>
        <x:v>95</x:v>
      </x:c>
      <x:c r="D47" s="43" t="str">
        <x:f>IF(C47&gt;=85,"A",IF(C47&gt;=65,"B","C"))</x:f>
        <x:v>A</x:v>
      </x:c>
      <x:c r="E47" s="43" t="str">
        <x:v>Dauntsey's School</x:v>
      </x:c>
      <x:c r="F47" s="43" t="str">
        <x:v>Devizes</x:v>
      </x:c>
      <x:c r="G47" s="43" t="str">
        <x:v>Wiltshire</x:v>
      </x:c>
      <x:c r="H47" s="43" t="str">
        <x:v>SN10 4HE</x:v>
      </x:c>
      <x:c r="I47" s="43" t="n">
        <x:v>11</x:v>
      </x:c>
      <x:c r="J47" s="43" t="n">
        <x:v>18</x:v>
      </x:c>
      <x:c r="K47" s="43" t="str">
        <x:v>Boarding school</x:v>
      </x:c>
      <x:c r="L47" s="43" t="str">
        <x:v>Has a sixth form</x:v>
      </x:c>
      <x:c r="M47" s="43" t="n">
        <x:v>835</x:v>
      </x:c>
      <x:c r="N47" s="43" t="str">
        <x:v>https://www.dauntseys.org</x:v>
      </x:c>
      <x:c r="O47" s="43" t="str">
        <x:v>01380814500</x:v>
      </x:c>
      <x:c r="P47" s="43" t="str"/>
      <x:c r="Q47" s="43" t="str">
        <x:v>https://www.dauntseys.org/contact-us/register</x:v>
      </x:c>
      <x:c r="R47" s="43" t="str">
        <x:v>Manual contact review needed</x:v>
      </x:c>
      <x:c r="S47" s="43" t="str">
        <x:v>Not reviewed</x:v>
      </x:c>
      <x:c r="T47" s="43" t="str">
        <x:v>Hold</x:v>
      </x:c>
      <x:c r="U47" s="43" t="str">
        <x:v>No</x:v>
      </x:c>
      <x:c r="V47" s="44"/>
      <x:c r="W47" s="43" t="str"/>
      <x:c r="X47" s="43" t="str"/>
      <x:c r="Y47" s="43" t="str"/>
      <x:c r="Z47" s="43" t="str">
        <x:v>https://www.get-information-schools.service.gov.uk/Downloads</x:v>
      </x:c>
    </x:row>
    <x:row r="48">
      <x:c r="A48" s="43" t="str">
        <x:v>UK independent</x:v>
      </x:c>
      <x:c r="B48" s="43" t="str">
        <x:v>126107</x:v>
      </x:c>
      <x:c r="C48" s="43" t="n">
        <x:f>IF(K48="Boarding school",30,0)+IF(J48&gt;=18,20,0)+IF(I48&lt;=11,10,0)+IF(L48="Has a sixth form",15,0)+IF(M48&gt;=200,10,0)+IF(N48&lt;&gt;"",10,0)</x:f>
        <x:v>95</x:v>
      </x:c>
      <x:c r="D48" s="43" t="str">
        <x:f>IF(C48&gt;=85,"A",IF(C48&gt;=65,"B","C"))</x:f>
        <x:v>A</x:v>
      </x:c>
      <x:c r="E48" s="43" t="str">
        <x:v>Christ's Hospital</x:v>
      </x:c>
      <x:c r="F48" s="43" t="str">
        <x:v>Horsham</x:v>
      </x:c>
      <x:c r="G48" s="43" t="str">
        <x:v>West Sussex</x:v>
      </x:c>
      <x:c r="H48" s="43" t="str">
        <x:v>RH13 0LJ</x:v>
      </x:c>
      <x:c r="I48" s="43" t="n">
        <x:v>11</x:v>
      </x:c>
      <x:c r="J48" s="43" t="n">
        <x:v>19</x:v>
      </x:c>
      <x:c r="K48" s="43" t="str">
        <x:v>Boarding school</x:v>
      </x:c>
      <x:c r="L48" s="43" t="str">
        <x:v>Has a sixth form</x:v>
      </x:c>
      <x:c r="M48" s="43" t="n">
        <x:v>829</x:v>
      </x:c>
      <x:c r="N48" s="43" t="str">
        <x:v>https://www.christs-hospital.org.uk</x:v>
      </x:c>
      <x:c r="O48" s="43" t="str">
        <x:v>01403211293</x:v>
      </x:c>
      <x:c r="P48" s="43" t="str">
        <x:v>hello@christs-hospital.org.uk</x:v>
      </x:c>
      <x:c r="Q48" s="43" t="str">
        <x:v>https://www.christs-hospital.org.uk</x:v>
      </x:c>
      <x:c r="R48" s="43" t="str">
        <x:v>Generic public inbox found</x:v>
      </x:c>
      <x:c r="S48" s="43" t="str">
        <x:v>Needs human verification</x:v>
      </x:c>
      <x:c r="T48" s="43" t="str">
        <x:v>Hold</x:v>
      </x:c>
      <x:c r="U48" s="43" t="str">
        <x:v>No</x:v>
      </x:c>
      <x:c r="V48" s="44"/>
      <x:c r="W48" s="43" t="str"/>
      <x:c r="X48" s="43" t="str"/>
      <x:c r="Y48" s="43" t="str"/>
      <x:c r="Z48" s="43" t="str">
        <x:v>https://www.get-information-schools.service.gov.uk/Downloads</x:v>
      </x:c>
    </x:row>
    <x:row r="49">
      <x:c r="A49" s="43" t="str">
        <x:v>UK independent</x:v>
      </x:c>
      <x:c r="B49" s="43" t="str">
        <x:v>118958</x:v>
      </x:c>
      <x:c r="C49" s="43" t="n">
        <x:f>IF(K49="Boarding school",30,0)+IF(J49&gt;=18,20,0)+IF(I49&lt;=11,10,0)+IF(L49="Has a sixth form",15,0)+IF(M49&gt;=200,10,0)+IF(N49&lt;&gt;"",10,0)</x:f>
        <x:v>95</x:v>
      </x:c>
      <x:c r="D49" s="43" t="str">
        <x:f>IF(C49&gt;=85,"A",IF(C49&gt;=65,"B","C"))</x:f>
        <x:v>A</x:v>
      </x:c>
      <x:c r="E49" s="43" t="str">
        <x:v>Sutton Valence School</x:v>
      </x:c>
      <x:c r="F49" s="43" t="str">
        <x:v>Maidstone</x:v>
      </x:c>
      <x:c r="G49" s="43" t="str">
        <x:v>Kent</x:v>
      </x:c>
      <x:c r="H49" s="43" t="str">
        <x:v>ME17 3HL</x:v>
      </x:c>
      <x:c r="I49" s="43" t="n">
        <x:v>2</x:v>
      </x:c>
      <x:c r="J49" s="43" t="n">
        <x:v>19</x:v>
      </x:c>
      <x:c r="K49" s="43" t="str">
        <x:v>Boarding school</x:v>
      </x:c>
      <x:c r="L49" s="43" t="str">
        <x:v>Has a sixth form</x:v>
      </x:c>
      <x:c r="M49" s="43" t="n">
        <x:v>826</x:v>
      </x:c>
      <x:c r="N49" s="43" t="str">
        <x:v>http://www.svs.org.uk/index.html</x:v>
      </x:c>
      <x:c r="O49" s="43" t="str">
        <x:v>01622845203</x:v>
      </x:c>
      <x:c r="P49" s="43" t="str"/>
      <x:c r="Q49" s="43" t="str"/>
      <x:c r="R49" s="43" t="str">
        <x:v>Manual contact review needed (HTTPError)</x:v>
      </x:c>
      <x:c r="S49" s="43" t="str">
        <x:v>Not reviewed</x:v>
      </x:c>
      <x:c r="T49" s="43" t="str">
        <x:v>Hold</x:v>
      </x:c>
      <x:c r="U49" s="43" t="str">
        <x:v>No</x:v>
      </x:c>
      <x:c r="V49" s="44"/>
      <x:c r="W49" s="43" t="str"/>
      <x:c r="X49" s="43" t="str"/>
      <x:c r="Y49" s="43" t="str"/>
      <x:c r="Z49" s="43" t="str">
        <x:v>https://www.get-information-schools.service.gov.uk/Downloads</x:v>
      </x:c>
    </x:row>
    <x:row r="50">
      <x:c r="A50" s="43" t="str">
        <x:v>UK independent</x:v>
      </x:c>
      <x:c r="B50" s="43" t="str">
        <x:v>120320</x:v>
      </x:c>
      <x:c r="C50" s="43" t="n">
        <x:f>IF(K50="Boarding school",30,0)+IF(J50&gt;=18,20,0)+IF(I50&lt;=11,10,0)+IF(L50="Has a sixth form",15,0)+IF(M50&gt;=200,10,0)+IF(N50&lt;&gt;"",10,0)</x:f>
        <x:v>95</x:v>
      </x:c>
      <x:c r="D50" s="43" t="str">
        <x:f>IF(C50&gt;=85,"A",IF(C50&gt;=65,"B","C"))</x:f>
        <x:v>A</x:v>
      </x:c>
      <x:c r="E50" s="43" t="str">
        <x:v>Uppingham School</x:v>
      </x:c>
      <x:c r="F50" s="43" t="str"/>
      <x:c r="G50" s="43" t="str">
        <x:v>Rutland</x:v>
      </x:c>
      <x:c r="H50" s="43" t="str">
        <x:v>LE15 9QE</x:v>
      </x:c>
      <x:c r="I50" s="43" t="n">
        <x:v>11</x:v>
      </x:c>
      <x:c r="J50" s="43" t="n">
        <x:v>18</x:v>
      </x:c>
      <x:c r="K50" s="43" t="str">
        <x:v>Boarding school</x:v>
      </x:c>
      <x:c r="L50" s="43" t="str">
        <x:v>Has a sixth form</x:v>
      </x:c>
      <x:c r="M50" s="43" t="n">
        <x:v>819</x:v>
      </x:c>
      <x:c r="N50" s="43" t="str">
        <x:v>https://www.uppingham.co.uk</x:v>
      </x:c>
      <x:c r="O50" s="43" t="str">
        <x:v>01572822216</x:v>
      </x:c>
      <x:c r="P50" s="43" t="str"/>
      <x:c r="Q50" s="43" t="str">
        <x:v>https://www.uppingham.co.uk/admissions/contact-admissions</x:v>
      </x:c>
      <x:c r="R50" s="43" t="str">
        <x:v>Manual contact review needed</x:v>
      </x:c>
      <x:c r="S50" s="43" t="str">
        <x:v>Not reviewed</x:v>
      </x:c>
      <x:c r="T50" s="43" t="str">
        <x:v>Hold</x:v>
      </x:c>
      <x:c r="U50" s="43" t="str">
        <x:v>No</x:v>
      </x:c>
      <x:c r="V50" s="44"/>
      <x:c r="W50" s="43" t="str"/>
      <x:c r="X50" s="43" t="str"/>
      <x:c r="Y50" s="43" t="str"/>
      <x:c r="Z50" s="43" t="str">
        <x:v>https://www.get-information-schools.service.gov.uk/Downloads</x:v>
      </x:c>
    </x:row>
    <x:row r="51">
      <x:c r="A51" s="43" t="str">
        <x:v>UK independent</x:v>
      </x:c>
      <x:c r="B51" s="43" t="str">
        <x:v>125788</x:v>
      </x:c>
      <x:c r="C51" s="43" t="n">
        <x:f>IF(K51="Boarding school",30,0)+IF(J51&gt;=18,20,0)+IF(I51&lt;=11,10,0)+IF(L51="Has a sixth form",15,0)+IF(M51&gt;=200,10,0)+IF(N51&lt;&gt;"",10,0)</x:f>
        <x:v>95</x:v>
      </x:c>
      <x:c r="D51" s="43" t="str">
        <x:f>IF(C51&gt;=85,"A",IF(C51&gt;=65,"B","C"))</x:f>
        <x:v>A</x:v>
      </x:c>
      <x:c r="E51" s="43" t="str">
        <x:v>King's High School</x:v>
      </x:c>
      <x:c r="F51" s="43" t="str">
        <x:v>Warwickshire</x:v>
      </x:c>
      <x:c r="G51" s="43" t="str">
        <x:v>Warwickshire</x:v>
      </x:c>
      <x:c r="H51" s="43" t="str">
        <x:v>CV34 6YE</x:v>
      </x:c>
      <x:c r="I51" s="43" t="n">
        <x:v>10</x:v>
      </x:c>
      <x:c r="J51" s="43" t="n">
        <x:v>18</x:v>
      </x:c>
      <x:c r="K51" s="43" t="str">
        <x:v>Boarding school</x:v>
      </x:c>
      <x:c r="L51" s="43" t="str">
        <x:v>Has a sixth form</x:v>
      </x:c>
      <x:c r="M51" s="43" t="n">
        <x:v>815</x:v>
      </x:c>
      <x:c r="N51" s="43" t="str">
        <x:v>http://www.kingshighwarwick.co.uk/</x:v>
      </x:c>
      <x:c r="O51" s="43" t="str">
        <x:v>01926494485</x:v>
      </x:c>
      <x:c r="P51" s="43" t="str"/>
      <x:c r="Q51" s="43" t="str">
        <x:v>https://www.kingshighwarwick.co.uk/contact/</x:v>
      </x:c>
      <x:c r="R51" s="43" t="str">
        <x:v>Manual contact review needed</x:v>
      </x:c>
      <x:c r="S51" s="43" t="str">
        <x:v>Not reviewed</x:v>
      </x:c>
      <x:c r="T51" s="43" t="str">
        <x:v>Hold</x:v>
      </x:c>
      <x:c r="U51" s="43" t="str">
        <x:v>No</x:v>
      </x:c>
      <x:c r="V51" s="44"/>
      <x:c r="W51" s="43" t="str"/>
      <x:c r="X51" s="43" t="str"/>
      <x:c r="Y51" s="43" t="str"/>
      <x:c r="Z51" s="43" t="str">
        <x:v>https://www.get-information-schools.service.gov.uk/Downloads</x:v>
      </x:c>
    </x:row>
    <x:row r="52">
      <x:c r="A52" s="43" t="str">
        <x:v>UK independent</x:v>
      </x:c>
      <x:c r="B52" s="43" t="str">
        <x:v>115798</x:v>
      </x:c>
      <x:c r="C52" s="43" t="n">
        <x:f>IF(K52="Boarding school",30,0)+IF(J52&gt;=18,20,0)+IF(I52&lt;=11,10,0)+IF(L52="Has a sixth form",15,0)+IF(M52&gt;=200,10,0)+IF(N52&lt;&gt;"",10,0)</x:f>
        <x:v>95</x:v>
      </x:c>
      <x:c r="D52" s="43" t="str">
        <x:f>IF(C52&gt;=85,"A",IF(C52&gt;=65,"B","C"))</x:f>
        <x:v>A</x:v>
      </x:c>
      <x:c r="E52" s="43" t="str">
        <x:v>Cheltenham Ladies' College</x:v>
      </x:c>
      <x:c r="F52" s="43" t="str">
        <x:v>Cheltenham</x:v>
      </x:c>
      <x:c r="G52" s="43" t="str">
        <x:v>Gloucestershire</x:v>
      </x:c>
      <x:c r="H52" s="43" t="str">
        <x:v>GL50 3EP</x:v>
      </x:c>
      <x:c r="I52" s="43" t="n">
        <x:v>11</x:v>
      </x:c>
      <x:c r="J52" s="43" t="n">
        <x:v>18</x:v>
      </x:c>
      <x:c r="K52" s="43" t="str">
        <x:v>Boarding school</x:v>
      </x:c>
      <x:c r="L52" s="43" t="str">
        <x:v>Has a sixth form</x:v>
      </x:c>
      <x:c r="M52" s="43" t="n">
        <x:v>814</x:v>
      </x:c>
      <x:c r="N52" s="43" t="str">
        <x:v>https://www.cheltladiescollege.org/</x:v>
      </x:c>
      <x:c r="O52" s="43" t="str">
        <x:v>01242520691</x:v>
      </x:c>
      <x:c r="P52" s="43" t="str">
        <x:v>enquiries@cheltladiescollege.org</x:v>
      </x:c>
      <x:c r="Q52" s="43" t="str">
        <x:v>https://www.cheltladiescollege.org/information/contact-us</x:v>
      </x:c>
      <x:c r="R52" s="43" t="str">
        <x:v>Generic public inbox found</x:v>
      </x:c>
      <x:c r="S52" s="43" t="str">
        <x:v>Needs human verification</x:v>
      </x:c>
      <x:c r="T52" s="43" t="str">
        <x:v>Hold</x:v>
      </x:c>
      <x:c r="U52" s="43" t="str">
        <x:v>No</x:v>
      </x:c>
      <x:c r="V52" s="44"/>
      <x:c r="W52" s="43" t="str"/>
      <x:c r="X52" s="43" t="str"/>
      <x:c r="Y52" s="43" t="str"/>
      <x:c r="Z52" s="43" t="str">
        <x:v>https://www.get-information-schools.service.gov.uk/Downloads</x:v>
      </x:c>
    </x:row>
    <x:row r="53">
      <x:c r="A53" s="43" t="str">
        <x:v>UK independent</x:v>
      </x:c>
      <x:c r="B53" s="43" t="str">
        <x:v>120322</x:v>
      </x:c>
      <x:c r="C53" s="43" t="n">
        <x:f>IF(K53="Boarding school",30,0)+IF(J53&gt;=18,20,0)+IF(I53&lt;=11,10,0)+IF(L53="Has a sixth form",15,0)+IF(M53&gt;=200,10,0)+IF(N53&lt;&gt;"",10,0)</x:f>
        <x:v>95</x:v>
      </x:c>
      <x:c r="D53" s="43" t="str">
        <x:f>IF(C53&gt;=85,"A",IF(C53&gt;=65,"B","C"))</x:f>
        <x:v>A</x:v>
      </x:c>
      <x:c r="E53" s="43" t="str">
        <x:v>Oakham School</x:v>
      </x:c>
      <x:c r="F53" s="43" t="str">
        <x:v>Oakham</x:v>
      </x:c>
      <x:c r="G53" s="43" t="str">
        <x:v>Rutland</x:v>
      </x:c>
      <x:c r="H53" s="43" t="str">
        <x:v>LE15 6DT</x:v>
      </x:c>
      <x:c r="I53" s="43" t="n">
        <x:v>9</x:v>
      </x:c>
      <x:c r="J53" s="43" t="n">
        <x:v>18</x:v>
      </x:c>
      <x:c r="K53" s="43" t="str">
        <x:v>Boarding school</x:v>
      </x:c>
      <x:c r="L53" s="43" t="str">
        <x:v>Has a sixth form</x:v>
      </x:c>
      <x:c r="M53" s="43" t="n">
        <x:v>813</x:v>
      </x:c>
      <x:c r="N53" s="43" t="str">
        <x:v>https://www.oakham.rutland.sch.uk</x:v>
      </x:c>
      <x:c r="O53" s="43" t="str">
        <x:v>01572758500</x:v>
      </x:c>
      <x:c r="P53" s="43" t="str">
        <x:v>reception@oakham.rutland.sch.uk</x:v>
      </x:c>
      <x:c r="Q53" s="43" t="str">
        <x:v>https://www.oakham.rutland.sch.uk</x:v>
      </x:c>
      <x:c r="R53" s="43" t="str">
        <x:v>Generic public inbox found</x:v>
      </x:c>
      <x:c r="S53" s="43" t="str">
        <x:v>Needs human verification</x:v>
      </x:c>
      <x:c r="T53" s="43" t="str">
        <x:v>Hold</x:v>
      </x:c>
      <x:c r="U53" s="43" t="str">
        <x:v>No</x:v>
      </x:c>
      <x:c r="V53" s="44"/>
      <x:c r="W53" s="43" t="str"/>
      <x:c r="X53" s="43" t="str"/>
      <x:c r="Y53" s="43" t="str"/>
      <x:c r="Z53" s="43" t="str">
        <x:v>https://www.get-information-schools.service.gov.uk/Downloads</x:v>
      </x:c>
    </x:row>
    <x:row r="54">
      <x:c r="A54" s="43" t="str">
        <x:v>UK independent</x:v>
      </x:c>
      <x:c r="B54" s="43" t="str">
        <x:v>119818</x:v>
      </x:c>
      <x:c r="C54" s="43" t="n">
        <x:f>IF(K54="Boarding school",30,0)+IF(J54&gt;=18,20,0)+IF(I54&lt;=11,10,0)+IF(L54="Has a sixth form",15,0)+IF(M54&gt;=200,10,0)+IF(N54&lt;&gt;"",10,0)</x:f>
        <x:v>95</x:v>
      </x:c>
      <x:c r="D54" s="43" t="str">
        <x:f>IF(C54&gt;=85,"A",IF(C54&gt;=65,"B","C"))</x:f>
        <x:v>A</x:v>
      </x:c>
      <x:c r="E54" s="43" t="str">
        <x:v>Rossall School</x:v>
      </x:c>
      <x:c r="F54" s="43" t="str">
        <x:v>Fleetwood</x:v>
      </x:c>
      <x:c r="G54" s="43" t="str">
        <x:v>Lancashire</x:v>
      </x:c>
      <x:c r="H54" s="43" t="str">
        <x:v>FY7 8JW</x:v>
      </x:c>
      <x:c r="I54" s="43" t="n">
        <x:v>0</x:v>
      </x:c>
      <x:c r="J54" s="43" t="n">
        <x:v>19</x:v>
      </x:c>
      <x:c r="K54" s="43" t="str">
        <x:v>Boarding school</x:v>
      </x:c>
      <x:c r="L54" s="43" t="str">
        <x:v>Has a sixth form</x:v>
      </x:c>
      <x:c r="M54" s="43" t="n">
        <x:v>810</x:v>
      </x:c>
      <x:c r="N54" s="43" t="str">
        <x:v>https://rossall.org.uk/</x:v>
      </x:c>
      <x:c r="O54" s="43" t="str">
        <x:v>01253774201</x:v>
      </x:c>
      <x:c r="P54" s="43" t="str">
        <x:v>info@rossall.org.uk</x:v>
      </x:c>
      <x:c r="Q54" s="43" t="str">
        <x:v>https://rossall.org.uk/</x:v>
      </x:c>
      <x:c r="R54" s="43" t="str">
        <x:v>Generic public inbox found</x:v>
      </x:c>
      <x:c r="S54" s="43" t="str">
        <x:v>Needs human verification</x:v>
      </x:c>
      <x:c r="T54" s="43" t="str">
        <x:v>Hold</x:v>
      </x:c>
      <x:c r="U54" s="43" t="str">
        <x:v>No</x:v>
      </x:c>
      <x:c r="V54" s="44"/>
      <x:c r="W54" s="43" t="str"/>
      <x:c r="X54" s="43" t="str"/>
      <x:c r="Y54" s="43" t="str"/>
      <x:c r="Z54" s="43" t="str">
        <x:v>https://www.get-information-schools.service.gov.uk/Downloads</x:v>
      </x:c>
    </x:row>
    <x:row r="55">
      <x:c r="A55" s="43" t="str">
        <x:v>UK independent</x:v>
      </x:c>
      <x:c r="B55" s="43" t="str">
        <x:v>125320</x:v>
      </x:c>
      <x:c r="C55" s="43" t="n">
        <x:f>IF(K55="Boarding school",30,0)+IF(J55&gt;=18,20,0)+IF(I55&lt;=11,10,0)+IF(L55="Has a sixth form",15,0)+IF(M55&gt;=200,10,0)+IF(N55&lt;&gt;"",10,0)</x:f>
        <x:v>95</x:v>
      </x:c>
      <x:c r="D55" s="43" t="str">
        <x:f>IF(C55&gt;=85,"A",IF(C55&gt;=65,"B","C"))</x:f>
        <x:v>A</x:v>
      </x:c>
      <x:c r="E55" s="43" t="str">
        <x:v>St Catherine's School</x:v>
      </x:c>
      <x:c r="F55" s="43" t="str">
        <x:v>Guildford</x:v>
      </x:c>
      <x:c r="G55" s="43" t="str">
        <x:v>Surrey</x:v>
      </x:c>
      <x:c r="H55" s="43" t="str">
        <x:v>GU5 0DF</x:v>
      </x:c>
      <x:c r="I55" s="43" t="n">
        <x:v>2</x:v>
      </x:c>
      <x:c r="J55" s="43" t="n">
        <x:v>19</x:v>
      </x:c>
      <x:c r="K55" s="43" t="str">
        <x:v>Boarding school</x:v>
      </x:c>
      <x:c r="L55" s="43" t="str">
        <x:v>Has a sixth form</x:v>
      </x:c>
      <x:c r="M55" s="43" t="n">
        <x:v>808</x:v>
      </x:c>
      <x:c r="N55" s="43" t="str">
        <x:v>https://www.stcatherines.info</x:v>
      </x:c>
      <x:c r="O55" s="43" t="str">
        <x:v>01483893363</x:v>
      </x:c>
      <x:c r="P55" s="43" t="str">
        <x:v>schooloffice@stcatherines.info</x:v>
      </x:c>
      <x:c r="Q55" s="43" t="str">
        <x:v>https://www.stcatherines.info/contact-us</x:v>
      </x:c>
      <x:c r="R55" s="43" t="str">
        <x:v>Generic public inbox found</x:v>
      </x:c>
      <x:c r="S55" s="43" t="str">
        <x:v>Needs human verification</x:v>
      </x:c>
      <x:c r="T55" s="43" t="str">
        <x:v>Hold</x:v>
      </x:c>
      <x:c r="U55" s="43" t="str">
        <x:v>No</x:v>
      </x:c>
      <x:c r="V55" s="44"/>
      <x:c r="W55" s="43" t="str"/>
      <x:c r="X55" s="43" t="str"/>
      <x:c r="Y55" s="43" t="str"/>
      <x:c r="Z55" s="43" t="str">
        <x:v>https://www.get-information-schools.service.gov.uk/Downloads</x:v>
      </x:c>
    </x:row>
    <x:row r="56">
      <x:c r="A56" s="43" t="str">
        <x:v>UK independent</x:v>
      </x:c>
      <x:c r="B56" s="43" t="str">
        <x:v>117606</x:v>
      </x:c>
      <x:c r="C56" s="43" t="n">
        <x:f>IF(K56="Boarding school",30,0)+IF(J56&gt;=18,20,0)+IF(I56&lt;=11,10,0)+IF(L56="Has a sixth form",15,0)+IF(M56&gt;=200,10,0)+IF(N56&lt;&gt;"",10,0)</x:f>
        <x:v>95</x:v>
      </x:c>
      <x:c r="D56" s="43" t="str">
        <x:f>IF(C56&gt;=85,"A",IF(C56&gt;=65,"B","C"))</x:f>
        <x:v>A</x:v>
      </x:c>
      <x:c r="E56" s="43" t="str">
        <x:v>St Margaret's School</x:v>
      </x:c>
      <x:c r="F56" s="43" t="str">
        <x:v>Bushey</x:v>
      </x:c>
      <x:c r="G56" s="43" t="str">
        <x:v>Hertfordshire</x:v>
      </x:c>
      <x:c r="H56" s="43" t="str">
        <x:v>WD23 1DT</x:v>
      </x:c>
      <x:c r="I56" s="43" t="n">
        <x:v>2</x:v>
      </x:c>
      <x:c r="J56" s="43" t="n">
        <x:v>18</x:v>
      </x:c>
      <x:c r="K56" s="43" t="str">
        <x:v>Boarding school</x:v>
      </x:c>
      <x:c r="L56" s="43" t="str">
        <x:v>Has a sixth form</x:v>
      </x:c>
      <x:c r="M56" s="43" t="n">
        <x:v>799</x:v>
      </x:c>
      <x:c r="N56" s="43" t="str">
        <x:v>https://www.stmargarets-school.org.uk/</x:v>
      </x:c>
      <x:c r="O56" s="43" t="str">
        <x:v>02084164400</x:v>
      </x:c>
      <x:c r="P56" s="43" t="str">
        <x:v>schooloffice@stmargarets-school.org.uk</x:v>
      </x:c>
      <x:c r="Q56" s="43" t="str">
        <x:v>https://www.stmargarets-school.org.uk/</x:v>
      </x:c>
      <x:c r="R56" s="43" t="str">
        <x:v>Generic public inbox found</x:v>
      </x:c>
      <x:c r="S56" s="43" t="str">
        <x:v>Needs human verification</x:v>
      </x:c>
      <x:c r="T56" s="43" t="str">
        <x:v>Hold</x:v>
      </x:c>
      <x:c r="U56" s="43" t="str">
        <x:v>No</x:v>
      </x:c>
      <x:c r="V56" s="44"/>
      <x:c r="W56" s="43" t="str"/>
      <x:c r="X56" s="43" t="str"/>
      <x:c r="Y56" s="43" t="str"/>
      <x:c r="Z56" s="43" t="str">
        <x:v>https://www.get-information-schools.service.gov.uk/Downloads</x:v>
      </x:c>
    </x:row>
    <x:row r="57">
      <x:c r="A57" s="43" t="str">
        <x:v>UK independent</x:v>
      </x:c>
      <x:c r="B57" s="43" t="str">
        <x:v>110137</x:v>
      </x:c>
      <x:c r="C57" s="43" t="n">
        <x:f>IF(K57="Boarding school",30,0)+IF(J57&gt;=18,20,0)+IF(I57&lt;=11,10,0)+IF(L57="Has a sixth form",15,0)+IF(M57&gt;=200,10,0)+IF(N57&lt;&gt;"",10,0)</x:f>
        <x:v>95</x:v>
      </x:c>
      <x:c r="D57" s="43" t="str">
        <x:f>IF(C57&gt;=85,"A",IF(C57&gt;=65,"B","C"))</x:f>
        <x:v>A</x:v>
      </x:c>
      <x:c r="E57" s="43" t="str">
        <x:v>Reddam House Berkshire</x:v>
      </x:c>
      <x:c r="F57" s="43" t="str">
        <x:v>Wokingham</x:v>
      </x:c>
      <x:c r="G57" s="43" t="str">
        <x:v>Berkshire</x:v>
      </x:c>
      <x:c r="H57" s="43" t="str">
        <x:v>RG41 5BG</x:v>
      </x:c>
      <x:c r="I57" s="43" t="n">
        <x:v>0</x:v>
      </x:c>
      <x:c r="J57" s="43" t="n">
        <x:v>19</x:v>
      </x:c>
      <x:c r="K57" s="43" t="str">
        <x:v>Boarding school</x:v>
      </x:c>
      <x:c r="L57" s="43" t="str">
        <x:v>Has a sixth form</x:v>
      </x:c>
      <x:c r="M57" s="43" t="n">
        <x:v>789</x:v>
      </x:c>
      <x:c r="N57" s="43" t="str">
        <x:v>https://www.reddamhouse.org.uk</x:v>
      </x:c>
      <x:c r="O57" s="43" t="str">
        <x:v>01189748300</x:v>
      </x:c>
      <x:c r="P57" s="43" t="str"/>
      <x:c r="Q57" s="43" t="str">
        <x:v>https://www.reddamhouse.org.uk/contact-us/enquire-now</x:v>
      </x:c>
      <x:c r="R57" s="43" t="str">
        <x:v>Manual contact review needed</x:v>
      </x:c>
      <x:c r="S57" s="43" t="str">
        <x:v>Not reviewed</x:v>
      </x:c>
      <x:c r="T57" s="43" t="str">
        <x:v>Hold</x:v>
      </x:c>
      <x:c r="U57" s="43" t="str">
        <x:v>No</x:v>
      </x:c>
      <x:c r="V57" s="44"/>
      <x:c r="W57" s="43" t="str"/>
      <x:c r="X57" s="43" t="str"/>
      <x:c r="Y57" s="43" t="str"/>
      <x:c r="Z57" s="43" t="str">
        <x:v>https://www.get-information-schools.service.gov.uk/Downloads</x:v>
      </x:c>
    </x:row>
    <x:row r="58">
      <x:c r="A58" s="43" t="str">
        <x:v>UK independent</x:v>
      </x:c>
      <x:c r="B58" s="43" t="str">
        <x:v>120332</x:v>
      </x:c>
      <x:c r="C58" s="43" t="n">
        <x:f>IF(K58="Boarding school",30,0)+IF(J58&gt;=18,20,0)+IF(I58&lt;=11,10,0)+IF(L58="Has a sixth form",15,0)+IF(M58&gt;=200,10,0)+IF(N58&lt;&gt;"",10,0)</x:f>
        <x:v>95</x:v>
      </x:c>
      <x:c r="D58" s="43" t="str">
        <x:f>IF(C58&gt;=85,"A",IF(C58&gt;=65,"B","C"))</x:f>
        <x:v>A</x:v>
      </x:c>
      <x:c r="E58" s="43" t="str">
        <x:v>Loughborough Grammar School</x:v>
      </x:c>
      <x:c r="F58" s="43" t="str">
        <x:v>Loughborough</x:v>
      </x:c>
      <x:c r="G58" s="43" t="str">
        <x:v>Leicestershire</x:v>
      </x:c>
      <x:c r="H58" s="43" t="str">
        <x:v>LE11 2DU</x:v>
      </x:c>
      <x:c r="I58" s="43" t="n">
        <x:v>10</x:v>
      </x:c>
      <x:c r="J58" s="43" t="n">
        <x:v>19</x:v>
      </x:c>
      <x:c r="K58" s="43" t="str">
        <x:v>Boarding school</x:v>
      </x:c>
      <x:c r="L58" s="43" t="str">
        <x:v>Has a sixth form</x:v>
      </x:c>
      <x:c r="M58" s="43" t="n">
        <x:v>783</x:v>
      </x:c>
      <x:c r="N58" s="43" t="str">
        <x:v>https://lborogrammar.org/</x:v>
      </x:c>
      <x:c r="O58" s="43" t="str">
        <x:v>01509233233</x:v>
      </x:c>
      <x:c r="P58" s="43" t="str"/>
      <x:c r="Q58" s="43" t="str">
        <x:v>https://lborogrammar.org/about-loughborough-grammar/contact-us/</x:v>
      </x:c>
      <x:c r="R58" s="43" t="str">
        <x:v>Manual contact review needed</x:v>
      </x:c>
      <x:c r="S58" s="43" t="str">
        <x:v>Not reviewed</x:v>
      </x:c>
      <x:c r="T58" s="43" t="str">
        <x:v>Hold</x:v>
      </x:c>
      <x:c r="U58" s="43" t="str">
        <x:v>No</x:v>
      </x:c>
      <x:c r="V58" s="44"/>
      <x:c r="W58" s="43" t="str"/>
      <x:c r="X58" s="43" t="str"/>
      <x:c r="Y58" s="43" t="str"/>
      <x:c r="Z58" s="43" t="str">
        <x:v>https://www.get-information-schools.service.gov.uk/Downloads</x:v>
      </x:c>
    </x:row>
    <x:row r="59">
      <x:c r="A59" s="43" t="str">
        <x:v>UK independent</x:v>
      </x:c>
      <x:c r="B59" s="43" t="str">
        <x:v>115789</x:v>
      </x:c>
      <x:c r="C59" s="43" t="n">
        <x:f>IF(K59="Boarding school",30,0)+IF(J59&gt;=18,20,0)+IF(I59&lt;=11,10,0)+IF(L59="Has a sixth form",15,0)+IF(M59&gt;=200,10,0)+IF(N59&lt;&gt;"",10,0)</x:f>
        <x:v>95</x:v>
      </x:c>
      <x:c r="D59" s="43" t="str">
        <x:f>IF(C59&gt;=85,"A",IF(C59&gt;=65,"B","C"))</x:f>
        <x:v>A</x:v>
      </x:c>
      <x:c r="E59" s="43" t="str">
        <x:v>Westonbirt School</x:v>
      </x:c>
      <x:c r="F59" s="43" t="str">
        <x:v>Tetbury</x:v>
      </x:c>
      <x:c r="G59" s="43" t="str">
        <x:v>Gloucestershire</x:v>
      </x:c>
      <x:c r="H59" s="43" t="str">
        <x:v>GL8 8QG</x:v>
      </x:c>
      <x:c r="I59" s="43" t="n">
        <x:v>2</x:v>
      </x:c>
      <x:c r="J59" s="43" t="n">
        <x:v>19</x:v>
      </x:c>
      <x:c r="K59" s="43" t="str">
        <x:v>Boarding school</x:v>
      </x:c>
      <x:c r="L59" s="43" t="str">
        <x:v>Has a sixth form</x:v>
      </x:c>
      <x:c r="M59" s="43" t="n">
        <x:v>781</x:v>
      </x:c>
      <x:c r="N59" s="43" t="str">
        <x:v>https://www.westonbirt.org</x:v>
      </x:c>
      <x:c r="O59" s="43" t="str">
        <x:v>01666880333</x:v>
      </x:c>
      <x:c r="P59" s="43" t="str"/>
      <x:c r="Q59" s="43" t="str">
        <x:v>https://www.westonbirt.org</x:v>
      </x:c>
      <x:c r="R59" s="43" t="str">
        <x:v>Manual contact review needed</x:v>
      </x:c>
      <x:c r="S59" s="43" t="str">
        <x:v>Not reviewed</x:v>
      </x:c>
      <x:c r="T59" s="43" t="str">
        <x:v>Hold</x:v>
      </x:c>
      <x:c r="U59" s="43" t="str">
        <x:v>No</x:v>
      </x:c>
      <x:c r="V59" s="44"/>
      <x:c r="W59" s="43" t="str"/>
      <x:c r="X59" s="43" t="str"/>
      <x:c r="Y59" s="43" t="str"/>
      <x:c r="Z59" s="43" t="str">
        <x:v>https://www.get-information-schools.service.gov.uk/Downloads</x:v>
      </x:c>
    </x:row>
    <x:row r="60">
      <x:c r="A60" s="43" t="str">
        <x:v>UK independent</x:v>
      </x:c>
      <x:c r="B60" s="43" t="str">
        <x:v>113910</x:v>
      </x:c>
      <x:c r="C60" s="43" t="n">
        <x:f>IF(K60="Boarding school",30,0)+IF(J60&gt;=18,20,0)+IF(I60&lt;=11,10,0)+IF(L60="Has a sixth form",15,0)+IF(M60&gt;=200,10,0)+IF(N60&lt;&gt;"",10,0)</x:f>
        <x:v>95</x:v>
      </x:c>
      <x:c r="D60" s="43" t="str">
        <x:f>IF(C60&gt;=85,"A",IF(C60&gt;=65,"B","C"))</x:f>
        <x:v>A</x:v>
      </x:c>
      <x:c r="E60" s="43" t="str">
        <x:v>Bryanston School</x:v>
      </x:c>
      <x:c r="F60" s="43" t="str">
        <x:v>Blandford Forum</x:v>
      </x:c>
      <x:c r="G60" s="43" t="str">
        <x:v>Dorset</x:v>
      </x:c>
      <x:c r="H60" s="43" t="str">
        <x:v>DT11 0PX</x:v>
      </x:c>
      <x:c r="I60" s="43" t="n">
        <x:v>3</x:v>
      </x:c>
      <x:c r="J60" s="43" t="n">
        <x:v>18</x:v>
      </x:c>
      <x:c r="K60" s="43" t="str">
        <x:v>Boarding school</x:v>
      </x:c>
      <x:c r="L60" s="43" t="str">
        <x:v>Has a sixth form</x:v>
      </x:c>
      <x:c r="M60" s="43" t="n">
        <x:v>776</x:v>
      </x:c>
      <x:c r="N60" s="43" t="str">
        <x:v>https://www.bryanston.co.uk</x:v>
      </x:c>
      <x:c r="O60" s="43" t="str">
        <x:v>01258452411</x:v>
      </x:c>
      <x:c r="P60" s="43" t="str">
        <x:v>schooloffice@bryanston.co.uk</x:v>
      </x:c>
      <x:c r="Q60" s="43" t="str">
        <x:v>https://www.bryanston.co.uk</x:v>
      </x:c>
      <x:c r="R60" s="43" t="str">
        <x:v>Generic public inbox found</x:v>
      </x:c>
      <x:c r="S60" s="43" t="str">
        <x:v>Needs human verification</x:v>
      </x:c>
      <x:c r="T60" s="43" t="str">
        <x:v>Hold</x:v>
      </x:c>
      <x:c r="U60" s="43" t="str">
        <x:v>No</x:v>
      </x:c>
      <x:c r="V60" s="44"/>
      <x:c r="W60" s="43" t="str"/>
      <x:c r="X60" s="43" t="str"/>
      <x:c r="Y60" s="43" t="str"/>
      <x:c r="Z60" s="43" t="str">
        <x:v>https://www.get-information-schools.service.gov.uk/Downloads</x:v>
      </x:c>
    </x:row>
    <x:row r="61">
      <x:c r="A61" s="43" t="str">
        <x:v>UK independent</x:v>
      </x:c>
      <x:c r="B61" s="43" t="str">
        <x:v>123930</x:v>
      </x:c>
      <x:c r="C61" s="43" t="n">
        <x:f>IF(K61="Boarding school",30,0)+IF(J61&gt;=18,20,0)+IF(I61&lt;=11,10,0)+IF(L61="Has a sixth form",15,0)+IF(M61&gt;=200,10,0)+IF(N61&lt;&gt;"",10,0)</x:f>
        <x:v>95</x:v>
      </x:c>
      <x:c r="D61" s="43" t="str">
        <x:f>IF(C61&gt;=85,"A",IF(C61&gt;=65,"B","C"))</x:f>
        <x:v>A</x:v>
      </x:c>
      <x:c r="E61" s="43" t="str">
        <x:v>Wellington School</x:v>
      </x:c>
      <x:c r="F61" s="43" t="str">
        <x:v>Wellington</x:v>
      </x:c>
      <x:c r="G61" s="43" t="str">
        <x:v>Somerset</x:v>
      </x:c>
      <x:c r="H61" s="43" t="str">
        <x:v>TA21 8NT</x:v>
      </x:c>
      <x:c r="I61" s="43" t="n">
        <x:v>2</x:v>
      </x:c>
      <x:c r="J61" s="43" t="n">
        <x:v>20</x:v>
      </x:c>
      <x:c r="K61" s="43" t="str">
        <x:v>Boarding school</x:v>
      </x:c>
      <x:c r="L61" s="43" t="str">
        <x:v>Has a sixth form</x:v>
      </x:c>
      <x:c r="M61" s="43" t="n">
        <x:v>776</x:v>
      </x:c>
      <x:c r="N61" s="43" t="str">
        <x:v>https://www.wellington-school.org.uk</x:v>
      </x:c>
      <x:c r="O61" s="43" t="str">
        <x:v>01823668800</x:v>
      </x:c>
      <x:c r="P61" s="43" t="str"/>
      <x:c r="Q61" s="43" t="str">
        <x:v>https://www.wellington-school.org.uk/international-students/easter-revision-course/contact-and-enquiries</x:v>
      </x:c>
      <x:c r="R61" s="43" t="str">
        <x:v>Manual contact review needed</x:v>
      </x:c>
      <x:c r="S61" s="43" t="str">
        <x:v>Not reviewed</x:v>
      </x:c>
      <x:c r="T61" s="43" t="str">
        <x:v>Hold</x:v>
      </x:c>
      <x:c r="U61" s="43" t="str">
        <x:v>No</x:v>
      </x:c>
      <x:c r="V61" s="44"/>
      <x:c r="W61" s="43" t="str"/>
      <x:c r="X61" s="43" t="str"/>
      <x:c r="Y61" s="43" t="str"/>
      <x:c r="Z61" s="43" t="str">
        <x:v>https://www.get-information-schools.service.gov.uk/Downloads</x:v>
      </x:c>
    </x:row>
    <x:row r="62">
      <x:c r="A62" s="43" t="str">
        <x:v>UK independent</x:v>
      </x:c>
      <x:c r="B62" s="43" t="str">
        <x:v>112076</x:v>
      </x:c>
      <x:c r="C62" s="43" t="n">
        <x:f>IF(K62="Boarding school",30,0)+IF(J62&gt;=18,20,0)+IF(I62&lt;=11,10,0)+IF(L62="Has a sixth form",15,0)+IF(M62&gt;=200,10,0)+IF(N62&lt;&gt;"",10,0)</x:f>
        <x:v>95</x:v>
      </x:c>
      <x:c r="D62" s="43" t="str">
        <x:f>IF(C62&gt;=85,"A",IF(C62&gt;=65,"B","C"))</x:f>
        <x:v>A</x:v>
      </x:c>
      <x:c r="E62" s="43" t="str">
        <x:v>Truro School</x:v>
      </x:c>
      <x:c r="F62" s="43" t="str"/>
      <x:c r="G62" s="43" t="str"/>
      <x:c r="H62" s="43" t="str">
        <x:v>TR1 1TH</x:v>
      </x:c>
      <x:c r="I62" s="43" t="n">
        <x:v>11</x:v>
      </x:c>
      <x:c r="J62" s="43" t="n">
        <x:v>20</x:v>
      </x:c>
      <x:c r="K62" s="43" t="str">
        <x:v>Boarding school</x:v>
      </x:c>
      <x:c r="L62" s="43" t="str">
        <x:v>Has a sixth form</x:v>
      </x:c>
      <x:c r="M62" s="43" t="n">
        <x:v>775</x:v>
      </x:c>
      <x:c r="N62" s="43" t="str">
        <x:v>https://www.truroschool.com</x:v>
      </x:c>
      <x:c r="O62" s="43" t="str">
        <x:v>01872272763</x:v>
      </x:c>
      <x:c r="P62" s="43" t="str"/>
      <x:c r="Q62" s="43" t="str">
        <x:v>https://www.truroschool.com/nursery/contact-nursery/</x:v>
      </x:c>
      <x:c r="R62" s="43" t="str">
        <x:v>Manual contact review needed</x:v>
      </x:c>
      <x:c r="S62" s="43" t="str">
        <x:v>Not reviewed</x:v>
      </x:c>
      <x:c r="T62" s="43" t="str">
        <x:v>Hold</x:v>
      </x:c>
      <x:c r="U62" s="43" t="str">
        <x:v>No</x:v>
      </x:c>
      <x:c r="V62" s="44"/>
      <x:c r="W62" s="43" t="str"/>
      <x:c r="X62" s="43" t="str"/>
      <x:c r="Y62" s="43" t="str"/>
      <x:c r="Z62" s="43" t="str">
        <x:v>https://www.get-information-schools.service.gov.uk/Downloads</x:v>
      </x:c>
    </x:row>
    <x:row r="63">
      <x:c r="A63" s="43" t="str">
        <x:v>UK independent</x:v>
      </x:c>
      <x:c r="B63" s="43" t="str">
        <x:v>124473</x:v>
      </x:c>
      <x:c r="C63" s="43" t="n">
        <x:f>IF(K63="Boarding school",30,0)+IF(J63&gt;=18,20,0)+IF(I63&lt;=11,10,0)+IF(L63="Has a sixth form",15,0)+IF(M63&gt;=200,10,0)+IF(N63&lt;&gt;"",10,0)</x:f>
        <x:v>95</x:v>
      </x:c>
      <x:c r="D63" s="43" t="str">
        <x:f>IF(C63&gt;=85,"A",IF(C63&gt;=65,"B","C"))</x:f>
        <x:v>A</x:v>
      </x:c>
      <x:c r="E63" s="43" t="str">
        <x:v>Denstone College</x:v>
      </x:c>
      <x:c r="F63" s="43" t="str">
        <x:v>Uttoxeter</x:v>
      </x:c>
      <x:c r="G63" s="43" t="str">
        <x:v>Staffordshire</x:v>
      </x:c>
      <x:c r="H63" s="43" t="str">
        <x:v>ST14 5HN</x:v>
      </x:c>
      <x:c r="I63" s="43" t="n">
        <x:v>4</x:v>
      </x:c>
      <x:c r="J63" s="43" t="n">
        <x:v>19</x:v>
      </x:c>
      <x:c r="K63" s="43" t="str">
        <x:v>Boarding school</x:v>
      </x:c>
      <x:c r="L63" s="43" t="str">
        <x:v>Has a sixth form</x:v>
      </x:c>
      <x:c r="M63" s="43" t="n">
        <x:v>740</x:v>
      </x:c>
      <x:c r="N63" s="43" t="str">
        <x:v>https://www.denstonecollege.org</x:v>
      </x:c>
      <x:c r="O63" s="43" t="str">
        <x:v>01889590484</x:v>
      </x:c>
      <x:c r="P63" s="43" t="str"/>
      <x:c r="Q63" s="43" t="str">
        <x:v>https://www.denstonecollege.org</x:v>
      </x:c>
      <x:c r="R63" s="43" t="str">
        <x:v>Manual contact review needed</x:v>
      </x:c>
      <x:c r="S63" s="43" t="str">
        <x:v>Not reviewed</x:v>
      </x:c>
      <x:c r="T63" s="43" t="str">
        <x:v>Hold</x:v>
      </x:c>
      <x:c r="U63" s="43" t="str">
        <x:v>No</x:v>
      </x:c>
      <x:c r="V63" s="44"/>
      <x:c r="W63" s="43" t="str"/>
      <x:c r="X63" s="43" t="str"/>
      <x:c r="Y63" s="43" t="str"/>
      <x:c r="Z63" s="43" t="str">
        <x:v>https://www.get-information-schools.service.gov.uk/Downloads</x:v>
      </x:c>
    </x:row>
    <x:row r="64">
      <x:c r="A64" s="43" t="str">
        <x:v>UK independent</x:v>
      </x:c>
      <x:c r="B64" s="43" t="str">
        <x:v>110159</x:v>
      </x:c>
      <x:c r="C64" s="43" t="n">
        <x:f>IF(K64="Boarding school",30,0)+IF(J64&gt;=18,20,0)+IF(I64&lt;=11,10,0)+IF(L64="Has a sixth form",15,0)+IF(M64&gt;=200,10,0)+IF(N64&lt;&gt;"",10,0)</x:f>
        <x:v>95</x:v>
      </x:c>
      <x:c r="D64" s="43" t="str">
        <x:f>IF(C64&gt;=85,"A",IF(C64&gt;=65,"B","C"))</x:f>
        <x:v>A</x:v>
      </x:c>
      <x:c r="E64" s="43" t="str">
        <x:v>LVS Ascot</x:v>
      </x:c>
      <x:c r="F64" s="43" t="str">
        <x:v>Ascot</x:v>
      </x:c>
      <x:c r="G64" s="43" t="str">
        <x:v>Berkshire</x:v>
      </x:c>
      <x:c r="H64" s="43" t="str">
        <x:v>SL5 8DR</x:v>
      </x:c>
      <x:c r="I64" s="43" t="n">
        <x:v>4</x:v>
      </x:c>
      <x:c r="J64" s="43" t="n">
        <x:v>19</x:v>
      </x:c>
      <x:c r="K64" s="43" t="str">
        <x:v>Boarding school</x:v>
      </x:c>
      <x:c r="L64" s="43" t="str">
        <x:v>Has a sixth form</x:v>
      </x:c>
      <x:c r="M64" s="43" t="n">
        <x:v>730</x:v>
      </x:c>
      <x:c r="N64" s="43" t="str">
        <x:v>https://www.lvs.ascot.sch.uk</x:v>
      </x:c>
      <x:c r="O64" s="43" t="str">
        <x:v>01344882770</x:v>
      </x:c>
      <x:c r="P64" s="43" t="str">
        <x:v>enquiries@lvs.ascot.sch.uk</x:v>
      </x:c>
      <x:c r="Q64" s="43" t="str">
        <x:v>https://www.lvs.ascot.sch.uk</x:v>
      </x:c>
      <x:c r="R64" s="43" t="str">
        <x:v>Generic public inbox found</x:v>
      </x:c>
      <x:c r="S64" s="43" t="str">
        <x:v>Needs human verification</x:v>
      </x:c>
      <x:c r="T64" s="43" t="str">
        <x:v>Hold</x:v>
      </x:c>
      <x:c r="U64" s="43" t="str">
        <x:v>No</x:v>
      </x:c>
      <x:c r="V64" s="44"/>
      <x:c r="W64" s="43" t="str"/>
      <x:c r="X64" s="43" t="str"/>
      <x:c r="Y64" s="43" t="str"/>
      <x:c r="Z64" s="43" t="str">
        <x:v>https://www.get-information-schools.service.gov.uk/Downloads</x:v>
      </x:c>
    </x:row>
    <x:row r="65">
      <x:c r="A65" s="43" t="str">
        <x:v>UK independent</x:v>
      </x:c>
      <x:c r="B65" s="43" t="str">
        <x:v>116527</x:v>
      </x:c>
      <x:c r="C65" s="43" t="n">
        <x:f>IF(K65="Boarding school",30,0)+IF(J65&gt;=18,20,0)+IF(I65&lt;=11,10,0)+IF(L65="Has a sixth form",15,0)+IF(M65&gt;=200,10,0)+IF(N65&lt;&gt;"",10,0)</x:f>
        <x:v>95</x:v>
      </x:c>
      <x:c r="D65" s="43" t="str">
        <x:f>IF(C65&gt;=85,"A",IF(C65&gt;=65,"B","C"))</x:f>
        <x:v>A</x:v>
      </x:c>
      <x:c r="E65" s="43" t="str">
        <x:v>Bedales School</x:v>
      </x:c>
      <x:c r="F65" s="43" t="str">
        <x:v>Petersfield</x:v>
      </x:c>
      <x:c r="G65" s="43" t="str">
        <x:v>Hampshire</x:v>
      </x:c>
      <x:c r="H65" s="43" t="str">
        <x:v>GU32 2DG</x:v>
      </x:c>
      <x:c r="I65" s="43" t="n">
        <x:v>3</x:v>
      </x:c>
      <x:c r="J65" s="43" t="n">
        <x:v>19</x:v>
      </x:c>
      <x:c r="K65" s="43" t="str">
        <x:v>Boarding school</x:v>
      </x:c>
      <x:c r="L65" s="43" t="str">
        <x:v>Has a sixth form</x:v>
      </x:c>
      <x:c r="M65" s="43" t="n">
        <x:v>722</x:v>
      </x:c>
      <x:c r="N65" s="43" t="str">
        <x:v>https://www.bedales.org.uk</x:v>
      </x:c>
      <x:c r="O65" s="43" t="str">
        <x:v>01730300100</x:v>
      </x:c>
      <x:c r="P65" s="43" t="str"/>
      <x:c r="Q65" s="43" t="str">
        <x:v>https://www.bedales.org.uk/_app/immutable/assets/contact.Dz32XYNp.css</x:v>
      </x:c>
      <x:c r="R65" s="43" t="str">
        <x:v>Manual contact review needed</x:v>
      </x:c>
      <x:c r="S65" s="43" t="str">
        <x:v>Not reviewed</x:v>
      </x:c>
      <x:c r="T65" s="43" t="str">
        <x:v>Hold</x:v>
      </x:c>
      <x:c r="U65" s="43" t="str">
        <x:v>No</x:v>
      </x:c>
      <x:c r="V65" s="44"/>
      <x:c r="W65" s="43" t="str"/>
      <x:c r="X65" s="43" t="str"/>
      <x:c r="Y65" s="43" t="str"/>
      <x:c r="Z65" s="43" t="str">
        <x:v>https://www.get-information-schools.service.gov.uk/Downloads</x:v>
      </x:c>
    </x:row>
    <x:row r="66">
      <x:c r="A66" s="43" t="str">
        <x:v>UK independent</x:v>
      </x:c>
      <x:c r="B66" s="43" t="str">
        <x:v>124892</x:v>
      </x:c>
      <x:c r="C66" s="43" t="n">
        <x:f>IF(K66="Boarding school",30,0)+IF(J66&gt;=18,20,0)+IF(I66&lt;=11,10,0)+IF(L66="Has a sixth form",15,0)+IF(M66&gt;=200,10,0)+IF(N66&lt;&gt;"",10,0)</x:f>
        <x:v>95</x:v>
      </x:c>
      <x:c r="D66" s="43" t="str">
        <x:f>IF(C66&gt;=85,"A",IF(C66&gt;=65,"B","C"))</x:f>
        <x:v>A</x:v>
      </x:c>
      <x:c r="E66" s="43" t="str">
        <x:v>Finborough School</x:v>
      </x:c>
      <x:c r="F66" s="43" t="str">
        <x:v>Stowmarket</x:v>
      </x:c>
      <x:c r="G66" s="43" t="str">
        <x:v>Suffolk</x:v>
      </x:c>
      <x:c r="H66" s="43" t="str">
        <x:v>IP14 3EF</x:v>
      </x:c>
      <x:c r="I66" s="43" t="n">
        <x:v>2</x:v>
      </x:c>
      <x:c r="J66" s="43" t="n">
        <x:v>19</x:v>
      </x:c>
      <x:c r="K66" s="43" t="str">
        <x:v>Boarding school</x:v>
      </x:c>
      <x:c r="L66" s="43" t="str">
        <x:v>Has a sixth form</x:v>
      </x:c>
      <x:c r="M66" s="43" t="n">
        <x:v>716</x:v>
      </x:c>
      <x:c r="N66" s="43" t="str">
        <x:v>https://www.finboroughschool.co.uk</x:v>
      </x:c>
      <x:c r="O66" s="43" t="str">
        <x:v>01449773600</x:v>
      </x:c>
      <x:c r="P66" s="43" t="str"/>
      <x:c r="Q66" s="43" t="str"/>
      <x:c r="R66" s="43" t="str">
        <x:v>Manual contact review needed (HTTPError)</x:v>
      </x:c>
      <x:c r="S66" s="43" t="str">
        <x:v>Not reviewed</x:v>
      </x:c>
      <x:c r="T66" s="43" t="str">
        <x:v>Hold</x:v>
      </x:c>
      <x:c r="U66" s="43" t="str">
        <x:v>No</x:v>
      </x:c>
      <x:c r="V66" s="44"/>
      <x:c r="W66" s="43" t="str"/>
      <x:c r="X66" s="43" t="str"/>
      <x:c r="Y66" s="43" t="str"/>
      <x:c r="Z66" s="43" t="str">
        <x:v>https://www.get-information-schools.service.gov.uk/Downloads</x:v>
      </x:c>
    </x:row>
    <x:row r="67">
      <x:c r="A67" s="43" t="str">
        <x:v>UK independent</x:v>
      </x:c>
      <x:c r="B67" s="43" t="str">
        <x:v>124887</x:v>
      </x:c>
      <x:c r="C67" s="43" t="n">
        <x:f>IF(K67="Boarding school",30,0)+IF(J67&gt;=18,20,0)+IF(I67&lt;=11,10,0)+IF(L67="Has a sixth form",15,0)+IF(M67&gt;=200,10,0)+IF(N67&lt;&gt;"",10,0)</x:f>
        <x:v>95</x:v>
      </x:c>
      <x:c r="D67" s="43" t="str">
        <x:f>IF(C67&gt;=85,"A",IF(C67&gt;=65,"B","C"))</x:f>
        <x:v>A</x:v>
      </x:c>
      <x:c r="E67" s="43" t="str">
        <x:v>Woodbridge School</x:v>
      </x:c>
      <x:c r="F67" s="43" t="str">
        <x:v>Woodbridge</x:v>
      </x:c>
      <x:c r="G67" s="43" t="str">
        <x:v>Suffolk</x:v>
      </x:c>
      <x:c r="H67" s="43" t="str">
        <x:v>IP12 4JH</x:v>
      </x:c>
      <x:c r="I67" s="43" t="n">
        <x:v>4</x:v>
      </x:c>
      <x:c r="J67" s="43" t="n">
        <x:v>19</x:v>
      </x:c>
      <x:c r="K67" s="43" t="str">
        <x:v>Boarding school</x:v>
      </x:c>
      <x:c r="L67" s="43" t="str">
        <x:v>Has a sixth form</x:v>
      </x:c>
      <x:c r="M67" s="43" t="n">
        <x:v>710</x:v>
      </x:c>
      <x:c r="N67" s="43" t="str">
        <x:v>http://www.woodbridgeschool.org.uk</x:v>
      </x:c>
      <x:c r="O67" s="43" t="str">
        <x:v>01394615000</x:v>
      </x:c>
      <x:c r="P67" s="43" t="str">
        <x:v>schooloffice@woodbridgeschool.org.uk</x:v>
      </x:c>
      <x:c r="Q67" s="43" t="str">
        <x:v>http://www.woodbridgeschool.org.uk</x:v>
      </x:c>
      <x:c r="R67" s="43" t="str">
        <x:v>Generic public inbox found</x:v>
      </x:c>
      <x:c r="S67" s="43" t="str">
        <x:v>Needs human verification</x:v>
      </x:c>
      <x:c r="T67" s="43" t="str">
        <x:v>Hold</x:v>
      </x:c>
      <x:c r="U67" s="43" t="str">
        <x:v>No</x:v>
      </x:c>
      <x:c r="V67" s="44"/>
      <x:c r="W67" s="43" t="str"/>
      <x:c r="X67" s="43" t="str"/>
      <x:c r="Y67" s="43" t="str"/>
      <x:c r="Z67" s="43" t="str">
        <x:v>https://www.get-information-schools.service.gov.uk/Downloads</x:v>
      </x:c>
    </x:row>
    <x:row r="68">
      <x:c r="A68" s="43" t="str">
        <x:v>UK independent</x:v>
      </x:c>
      <x:c r="B68" s="43" t="str">
        <x:v>116521</x:v>
      </x:c>
      <x:c r="C68" s="43" t="n">
        <x:f>IF(K68="Boarding school",30,0)+IF(J68&gt;=18,20,0)+IF(I68&lt;=11,10,0)+IF(L68="Has a sixth form",15,0)+IF(M68&gt;=200,10,0)+IF(N68&lt;&gt;"",10,0)</x:f>
        <x:v>95</x:v>
      </x:c>
      <x:c r="D68" s="43" t="str">
        <x:f>IF(C68&gt;=85,"A",IF(C68&gt;=65,"B","C"))</x:f>
        <x:v>A</x:v>
      </x:c>
      <x:c r="E68" s="43" t="str">
        <x:v>Lord Wandsworth College</x:v>
      </x:c>
      <x:c r="F68" s="43" t="str">
        <x:v>Hook</x:v>
      </x:c>
      <x:c r="G68" s="43" t="str">
        <x:v>Hampshire</x:v>
      </x:c>
      <x:c r="H68" s="43" t="str">
        <x:v>RG29 1TB</x:v>
      </x:c>
      <x:c r="I68" s="43" t="n">
        <x:v>11</x:v>
      </x:c>
      <x:c r="J68" s="43" t="n">
        <x:v>19</x:v>
      </x:c>
      <x:c r="K68" s="43" t="str">
        <x:v>Boarding school</x:v>
      </x:c>
      <x:c r="L68" s="43" t="str">
        <x:v>Has a sixth form</x:v>
      </x:c>
      <x:c r="M68" s="43" t="n">
        <x:v>707</x:v>
      </x:c>
      <x:c r="N68" s="43" t="str">
        <x:v>https://www.lordwandsworth.org</x:v>
      </x:c>
      <x:c r="O68" s="43" t="str">
        <x:v>01256862201</x:v>
      </x:c>
      <x:c r="P68" s="43" t="str"/>
      <x:c r="Q68" s="43" t="str">
        <x:v>https://www.lordwandsworth.org/admissions/contact-admissions/</x:v>
      </x:c>
      <x:c r="R68" s="43" t="str">
        <x:v>Manual contact review needed</x:v>
      </x:c>
      <x:c r="S68" s="43" t="str">
        <x:v>Not reviewed</x:v>
      </x:c>
      <x:c r="T68" s="43" t="str">
        <x:v>Hold</x:v>
      </x:c>
      <x:c r="U68" s="43" t="str">
        <x:v>No</x:v>
      </x:c>
      <x:c r="V68" s="44"/>
      <x:c r="W68" s="43" t="str"/>
      <x:c r="X68" s="43" t="str"/>
      <x:c r="Y68" s="43" t="str"/>
      <x:c r="Z68" s="43" t="str">
        <x:v>https://www.get-information-schools.service.gov.uk/Downloads</x:v>
      </x:c>
    </x:row>
    <x:row r="69">
      <x:c r="A69" s="43" t="str">
        <x:v>UK independent</x:v>
      </x:c>
      <x:c r="B69" s="43" t="str">
        <x:v>117633</x:v>
      </x:c>
      <x:c r="C69" s="43" t="n">
        <x:f>IF(K69="Boarding school",30,0)+IF(J69&gt;=18,20,0)+IF(I69&lt;=11,10,0)+IF(L69="Has a sixth form",15,0)+IF(M69&gt;=200,10,0)+IF(N69&lt;&gt;"",10,0)</x:f>
        <x:v>95</x:v>
      </x:c>
      <x:c r="D69" s="43" t="str">
        <x:f>IF(C69&gt;=85,"A",IF(C69&gt;=65,"B","C"))</x:f>
        <x:v>A</x:v>
      </x:c>
      <x:c r="E69" s="43" t="str">
        <x:v>St Edmund's College</x:v>
      </x:c>
      <x:c r="F69" s="43" t="str">
        <x:v>Ware</x:v>
      </x:c>
      <x:c r="G69" s="43" t="str">
        <x:v>Hertfordshire</x:v>
      </x:c>
      <x:c r="H69" s="43" t="str">
        <x:v>SG11 1DS</x:v>
      </x:c>
      <x:c r="I69" s="43" t="n">
        <x:v>2</x:v>
      </x:c>
      <x:c r="J69" s="43" t="n">
        <x:v>19</x:v>
      </x:c>
      <x:c r="K69" s="43" t="str">
        <x:v>Boarding school</x:v>
      </x:c>
      <x:c r="L69" s="43" t="str">
        <x:v>Has a sixth form</x:v>
      </x:c>
      <x:c r="M69" s="43" t="n">
        <x:v>684</x:v>
      </x:c>
      <x:c r="N69" s="43" t="str">
        <x:v>http://www.stedmundscollege.org/</x:v>
      </x:c>
      <x:c r="O69" s="43" t="str">
        <x:v>01920821504</x:v>
      </x:c>
      <x:c r="P69" s="43" t="str">
        <x:v>enquiries@stedmundscollege.org</x:v>
      </x:c>
      <x:c r="Q69" s="43" t="str">
        <x:v>http://www.stedmundscollege.org/</x:v>
      </x:c>
      <x:c r="R69" s="43" t="str">
        <x:v>Generic public inbox found</x:v>
      </x:c>
      <x:c r="S69" s="43" t="str">
        <x:v>Needs human verification</x:v>
      </x:c>
      <x:c r="T69" s="43" t="str">
        <x:v>Hold</x:v>
      </x:c>
      <x:c r="U69" s="43" t="str">
        <x:v>No</x:v>
      </x:c>
      <x:c r="V69" s="44"/>
      <x:c r="W69" s="43" t="str"/>
      <x:c r="X69" s="43" t="str"/>
      <x:c r="Y69" s="43" t="str"/>
      <x:c r="Z69" s="43" t="str">
        <x:v>https://www.get-information-schools.service.gov.uk/Downloads</x:v>
      </x:c>
    </x:row>
    <x:row r="70">
      <x:c r="A70" s="43" t="str">
        <x:v>UK independent</x:v>
      </x:c>
      <x:c r="B70" s="43" t="str">
        <x:v>117036</x:v>
      </x:c>
      <x:c r="C70" s="43" t="n">
        <x:f>IF(K70="Boarding school",30,0)+IF(J70&gt;=18,20,0)+IF(I70&lt;=11,10,0)+IF(L70="Has a sixth form",15,0)+IF(M70&gt;=200,10,0)+IF(N70&lt;&gt;"",10,0)</x:f>
        <x:v>95</x:v>
      </x:c>
      <x:c r="D70" s="43" t="str">
        <x:f>IF(C70&gt;=85,"A",IF(C70&gt;=65,"B","C"))</x:f>
        <x:v>A</x:v>
      </x:c>
      <x:c r="E70" s="43" t="str">
        <x:v>Hereford Cathedral School With A Junior School</x:v>
      </x:c>
      <x:c r="F70" s="43" t="str">
        <x:v>Hereford</x:v>
      </x:c>
      <x:c r="G70" s="43" t="str">
        <x:v>Herefordshire</x:v>
      </x:c>
      <x:c r="H70" s="43" t="str">
        <x:v>HR1 2NG</x:v>
      </x:c>
      <x:c r="I70" s="43" t="n">
        <x:v>3</x:v>
      </x:c>
      <x:c r="J70" s="43" t="n">
        <x:v>19</x:v>
      </x:c>
      <x:c r="K70" s="43" t="str">
        <x:v>Boarding school</x:v>
      </x:c>
      <x:c r="L70" s="43" t="str">
        <x:v>Has a sixth form</x:v>
      </x:c>
      <x:c r="M70" s="43" t="n">
        <x:v>682</x:v>
      </x:c>
      <x:c r="N70" s="43" t="str">
        <x:v>http://www.herefordcs.com</x:v>
      </x:c>
      <x:c r="O70" s="43" t="str">
        <x:v>01432363522</x:v>
      </x:c>
      <x:c r="P70" s="43" t="str"/>
      <x:c r="Q70" s="43" t="str">
        <x:v>https://www.herefordcs.com/contact/</x:v>
      </x:c>
      <x:c r="R70" s="43" t="str">
        <x:v>Manual contact review needed</x:v>
      </x:c>
      <x:c r="S70" s="43" t="str">
        <x:v>Not reviewed</x:v>
      </x:c>
      <x:c r="T70" s="43" t="str">
        <x:v>Hold</x:v>
      </x:c>
      <x:c r="U70" s="43" t="str">
        <x:v>No</x:v>
      </x:c>
      <x:c r="V70" s="44"/>
      <x:c r="W70" s="43" t="str"/>
      <x:c r="X70" s="43" t="str"/>
      <x:c r="Y70" s="43" t="str"/>
      <x:c r="Z70" s="43" t="str">
        <x:v>https://www.get-information-schools.service.gov.uk/Downloads</x:v>
      </x:c>
    </x:row>
    <x:row r="71">
      <x:c r="A71" s="43" t="str">
        <x:v>UK independent</x:v>
      </x:c>
      <x:c r="B71" s="43" t="str">
        <x:v>119817</x:v>
      </x:c>
      <x:c r="C71" s="43" t="n">
        <x:f>IF(K71="Boarding school",30,0)+IF(J71&gt;=18,20,0)+IF(I71&lt;=11,10,0)+IF(L71="Has a sixth form",15,0)+IF(M71&gt;=200,10,0)+IF(N71&lt;&gt;"",10,0)</x:f>
        <x:v>95</x:v>
      </x:c>
      <x:c r="D71" s="43" t="str">
        <x:f>IF(C71&gt;=85,"A",IF(C71&gt;=65,"B","C"))</x:f>
        <x:v>A</x:v>
      </x:c>
      <x:c r="E71" s="43" t="str">
        <x:v>Stonyhurst College</x:v>
      </x:c>
      <x:c r="F71" s="43" t="str"/>
      <x:c r="G71" s="43" t="str">
        <x:v>Lancashire</x:v>
      </x:c>
      <x:c r="H71" s="43" t="str">
        <x:v>BB7 9PZ</x:v>
      </x:c>
      <x:c r="I71" s="43" t="n">
        <x:v>3</x:v>
      </x:c>
      <x:c r="J71" s="43" t="n">
        <x:v>19</x:v>
      </x:c>
      <x:c r="K71" s="43" t="str">
        <x:v>Boarding school</x:v>
      </x:c>
      <x:c r="L71" s="43" t="str">
        <x:v>Has a sixth form</x:v>
      </x:c>
      <x:c r="M71" s="43" t="n">
        <x:v>680</x:v>
      </x:c>
      <x:c r="N71" s="43" t="str">
        <x:v>https://www.stonyhurst.ac.uk</x:v>
      </x:c>
      <x:c r="O71" s="43" t="str">
        <x:v>01254826345</x:v>
      </x:c>
      <x:c r="P71" s="43" t="str"/>
      <x:c r="Q71" s="43" t="str">
        <x:v>https://www.stonyhurst.ac.uk/about-us/stonyhurst-college-historic-collections/contact-us</x:v>
      </x:c>
      <x:c r="R71" s="43" t="str">
        <x:v>Manual contact review needed</x:v>
      </x:c>
      <x:c r="S71" s="43" t="str">
        <x:v>Not reviewed</x:v>
      </x:c>
      <x:c r="T71" s="43" t="str">
        <x:v>Hold</x:v>
      </x:c>
      <x:c r="U71" s="43" t="str">
        <x:v>No</x:v>
      </x:c>
      <x:c r="V71" s="44"/>
      <x:c r="W71" s="43" t="str"/>
      <x:c r="X71" s="43" t="str"/>
      <x:c r="Y71" s="43" t="str"/>
      <x:c r="Z71" s="43" t="str">
        <x:v>https://www.get-information-schools.service.gov.uk/Downloads</x:v>
      </x:c>
    </x:row>
    <x:row r="72">
      <x:c r="A72" s="43" t="str">
        <x:v>UK independent</x:v>
      </x:c>
      <x:c r="B72" s="43" t="str">
        <x:v>116515</x:v>
      </x:c>
      <x:c r="C72" s="43" t="n">
        <x:f>IF(K72="Boarding school",30,0)+IF(J72&gt;=18,20,0)+IF(I72&lt;=11,10,0)+IF(L72="Has a sixth form",15,0)+IF(M72&gt;=200,10,0)+IF(N72&lt;&gt;"",10,0)</x:f>
        <x:v>95</x:v>
      </x:c>
      <x:c r="D72" s="43" t="str">
        <x:f>IF(C72&gt;=85,"A",IF(C72&gt;=65,"B","C"))</x:f>
        <x:v>A</x:v>
      </x:c>
      <x:c r="E72" s="43" t="str">
        <x:v>Embley</x:v>
      </x:c>
      <x:c r="F72" s="43" t="str">
        <x:v>Romsey</x:v>
      </x:c>
      <x:c r="G72" s="43" t="str">
        <x:v>Hampshire</x:v>
      </x:c>
      <x:c r="H72" s="43" t="str">
        <x:v>SO51 6ZE</x:v>
      </x:c>
      <x:c r="I72" s="43" t="n">
        <x:v>2</x:v>
      </x:c>
      <x:c r="J72" s="43" t="n">
        <x:v>19</x:v>
      </x:c>
      <x:c r="K72" s="43" t="str">
        <x:v>Boarding school</x:v>
      </x:c>
      <x:c r="L72" s="43" t="str">
        <x:v>Has a sixth form</x:v>
      </x:c>
      <x:c r="M72" s="43" t="n">
        <x:v>677</x:v>
      </x:c>
      <x:c r="N72" s="43" t="str">
        <x:v>https://www.embley.org.uk</x:v>
      </x:c>
      <x:c r="O72" s="43" t="str">
        <x:v>01794512206</x:v>
      </x:c>
      <x:c r="P72" s="43" t="str">
        <x:v>info@embley.org.uk</x:v>
      </x:c>
      <x:c r="Q72" s="43" t="str">
        <x:v>https://www.embley.org.uk</x:v>
      </x:c>
      <x:c r="R72" s="43" t="str">
        <x:v>Generic public inbox found</x:v>
      </x:c>
      <x:c r="S72" s="43" t="str">
        <x:v>Needs human verification</x:v>
      </x:c>
      <x:c r="T72" s="43" t="str">
        <x:v>Hold</x:v>
      </x:c>
      <x:c r="U72" s="43" t="str">
        <x:v>No</x:v>
      </x:c>
      <x:c r="V72" s="44"/>
      <x:c r="W72" s="43" t="str"/>
      <x:c r="X72" s="43" t="str"/>
      <x:c r="Y72" s="43" t="str"/>
      <x:c r="Z72" s="43" t="str">
        <x:v>https://www.get-information-schools.service.gov.uk/Downloads</x:v>
      </x:c>
    </x:row>
    <x:row r="73">
      <x:c r="A73" s="43" t="str">
        <x:v>UK independent</x:v>
      </x:c>
      <x:c r="B73" s="43" t="str">
        <x:v>118223</x:v>
      </x:c>
      <x:c r="C73" s="43" t="n">
        <x:f>IF(K73="Boarding school",30,0)+IF(J73&gt;=18,20,0)+IF(I73&lt;=11,10,0)+IF(L73="Has a sixth form",15,0)+IF(M73&gt;=200,10,0)+IF(N73&lt;&gt;"",10,0)</x:f>
        <x:v>95</x:v>
      </x:c>
      <x:c r="D73" s="43" t="str">
        <x:f>IF(C73&gt;=85,"A",IF(C73&gt;=65,"B","C"))</x:f>
        <x:v>A</x:v>
      </x:c>
      <x:c r="E73" s="43" t="str">
        <x:v>Ryde School with Upper Chine</x:v>
      </x:c>
      <x:c r="F73" s="43" t="str">
        <x:v>Ryde</x:v>
      </x:c>
      <x:c r="G73" s="43" t="str">
        <x:v>Isle of Wight</x:v>
      </x:c>
      <x:c r="H73" s="43" t="str">
        <x:v>PO33 3BE</x:v>
      </x:c>
      <x:c r="I73" s="43" t="n">
        <x:v>2</x:v>
      </x:c>
      <x:c r="J73" s="43" t="n">
        <x:v>19</x:v>
      </x:c>
      <x:c r="K73" s="43" t="str">
        <x:v>Boarding school</x:v>
      </x:c>
      <x:c r="L73" s="43" t="str">
        <x:v>Has a sixth form</x:v>
      </x:c>
      <x:c r="M73" s="43" t="n">
        <x:v>676</x:v>
      </x:c>
      <x:c r="N73" s="43" t="str">
        <x:v>https://www.rydeschool.org.uk</x:v>
      </x:c>
      <x:c r="O73" s="43" t="str">
        <x:v>01983562229</x:v>
      </x:c>
      <x:c r="P73" s="43" t="str"/>
      <x:c r="Q73" s="43" t="str">
        <x:v>https://www.rydeschool.org.uk/contact-us</x:v>
      </x:c>
      <x:c r="R73" s="43" t="str">
        <x:v>Manual contact review needed</x:v>
      </x:c>
      <x:c r="S73" s="43" t="str">
        <x:v>Not reviewed</x:v>
      </x:c>
      <x:c r="T73" s="43" t="str">
        <x:v>Hold</x:v>
      </x:c>
      <x:c r="U73" s="43" t="str">
        <x:v>No</x:v>
      </x:c>
      <x:c r="V73" s="44"/>
      <x:c r="W73" s="43" t="str"/>
      <x:c r="X73" s="43" t="str"/>
      <x:c r="Y73" s="43" t="str"/>
      <x:c r="Z73" s="43" t="str">
        <x:v>https://www.get-information-schools.service.gov.uk/Downloads</x:v>
      </x:c>
    </x:row>
    <x:row r="74">
      <x:c r="A74" s="43" t="str">
        <x:v>UK independent</x:v>
      </x:c>
      <x:c r="B74" s="43" t="str">
        <x:v>123610</x:v>
      </x:c>
      <x:c r="C74" s="43" t="n">
        <x:f>IF(K74="Boarding school",30,0)+IF(J74&gt;=18,20,0)+IF(I74&lt;=11,10,0)+IF(L74="Has a sixth form",15,0)+IF(M74&gt;=200,10,0)+IF(N74&lt;&gt;"",10,0)</x:f>
        <x:v>95</x:v>
      </x:c>
      <x:c r="D74" s="43" t="str">
        <x:f>IF(C74&gt;=85,"A",IF(C74&gt;=65,"B","C"))</x:f>
        <x:v>A</x:v>
      </x:c>
      <x:c r="E74" s="43" t="str">
        <x:v>Wrekin College</x:v>
      </x:c>
      <x:c r="F74" s="43" t="str">
        <x:v>Telford</x:v>
      </x:c>
      <x:c r="G74" s="43" t="str">
        <x:v>Shropshire</x:v>
      </x:c>
      <x:c r="H74" s="43" t="str">
        <x:v>TF1 3BH</x:v>
      </x:c>
      <x:c r="I74" s="43" t="n">
        <x:v>4</x:v>
      </x:c>
      <x:c r="J74" s="43" t="n">
        <x:v>19</x:v>
      </x:c>
      <x:c r="K74" s="43" t="str">
        <x:v>Boarding school</x:v>
      </x:c>
      <x:c r="L74" s="43" t="str">
        <x:v>Has a sixth form</x:v>
      </x:c>
      <x:c r="M74" s="43" t="n">
        <x:v>671</x:v>
      </x:c>
      <x:c r="N74" s="43" t="str">
        <x:v>http://www.wrekincollege.com/</x:v>
      </x:c>
      <x:c r="O74" s="43" t="str">
        <x:v>01952265600</x:v>
      </x:c>
      <x:c r="P74" s="43" t="str">
        <x:v>info@wrekincollege.com</x:v>
      </x:c>
      <x:c r="Q74" s="43" t="str">
        <x:v>http://www.wrekincollege.com/</x:v>
      </x:c>
      <x:c r="R74" s="43" t="str">
        <x:v>Generic public inbox found</x:v>
      </x:c>
      <x:c r="S74" s="43" t="str">
        <x:v>Needs human verification</x:v>
      </x:c>
      <x:c r="T74" s="43" t="str">
        <x:v>Hold</x:v>
      </x:c>
      <x:c r="U74" s="43" t="str">
        <x:v>No</x:v>
      </x:c>
      <x:c r="V74" s="44"/>
      <x:c r="W74" s="43" t="str"/>
      <x:c r="X74" s="43" t="str"/>
      <x:c r="Y74" s="43" t="str"/>
      <x:c r="Z74" s="43" t="str">
        <x:v>https://www.get-information-schools.service.gov.uk/Downloads</x:v>
      </x:c>
    </x:row>
    <x:row r="75">
      <x:c r="A75" s="43" t="str">
        <x:v>UK independent</x:v>
      </x:c>
      <x:c r="B75" s="43" t="str">
        <x:v>119835</x:v>
      </x:c>
      <x:c r="C75" s="43" t="n">
        <x:f>IF(K75="Boarding school",30,0)+IF(J75&gt;=18,20,0)+IF(I75&lt;=11,10,0)+IF(L75="Has a sixth form",15,0)+IF(M75&gt;=200,10,0)+IF(N75&lt;&gt;"",10,0)</x:f>
        <x:v>95</x:v>
      </x:c>
      <x:c r="D75" s="43" t="str">
        <x:f>IF(C75&gt;=85,"A",IF(C75&gt;=65,"B","C"))</x:f>
        <x:v>A</x:v>
      </x:c>
      <x:c r="E75" s="43" t="str">
        <x:v>Kirkham Grammar School</x:v>
      </x:c>
      <x:c r="F75" s="43" t="str">
        <x:v>Preston</x:v>
      </x:c>
      <x:c r="G75" s="43" t="str">
        <x:v>Lancashire</x:v>
      </x:c>
      <x:c r="H75" s="43" t="str">
        <x:v>PR4 2BH</x:v>
      </x:c>
      <x:c r="I75" s="43" t="n">
        <x:v>2</x:v>
      </x:c>
      <x:c r="J75" s="43" t="n">
        <x:v>19</x:v>
      </x:c>
      <x:c r="K75" s="43" t="str">
        <x:v>Boarding school</x:v>
      </x:c>
      <x:c r="L75" s="43" t="str">
        <x:v>Has a sixth form</x:v>
      </x:c>
      <x:c r="M75" s="43" t="n">
        <x:v>670</x:v>
      </x:c>
      <x:c r="N75" s="43" t="str">
        <x:v>http://www.kirkhamgrammar.co.uk</x:v>
      </x:c>
      <x:c r="O75" s="43" t="str">
        <x:v>01772684264</x:v>
      </x:c>
      <x:c r="P75" s="43" t="str">
        <x:v>info@kirkhamgrammar.co.uk</x:v>
      </x:c>
      <x:c r="Q75" s="43" t="str">
        <x:v>http://www.kirkhamgrammar.co.uk</x:v>
      </x:c>
      <x:c r="R75" s="43" t="str">
        <x:v>Generic public inbox found</x:v>
      </x:c>
      <x:c r="S75" s="43" t="str">
        <x:v>Needs human verification</x:v>
      </x:c>
      <x:c r="T75" s="43" t="str">
        <x:v>Hold</x:v>
      </x:c>
      <x:c r="U75" s="43" t="str">
        <x:v>No</x:v>
      </x:c>
      <x:c r="V75" s="44"/>
      <x:c r="W75" s="43" t="str"/>
      <x:c r="X75" s="43" t="str"/>
      <x:c r="Y75" s="43" t="str"/>
      <x:c r="Z75" s="43" t="str">
        <x:v>https://www.get-information-schools.service.gov.uk/Downloads</x:v>
      </x:c>
    </x:row>
    <x:row r="76">
      <x:c r="A76" s="43" t="str">
        <x:v>UK independent</x:v>
      </x:c>
      <x:c r="B76" s="43" t="str">
        <x:v>123916</x:v>
      </x:c>
      <x:c r="C76" s="43" t="n">
        <x:f>IF(K76="Boarding school",30,0)+IF(J76&gt;=18,20,0)+IF(I76&lt;=11,10,0)+IF(L76="Has a sixth form",15,0)+IF(M76&gt;=200,10,0)+IF(N76&lt;&gt;"",10,0)</x:f>
        <x:v>95</x:v>
      </x:c>
      <x:c r="D76" s="43" t="str">
        <x:f>IF(C76&gt;=85,"A",IF(C76&gt;=65,"B","C"))</x:f>
        <x:v>A</x:v>
      </x:c>
      <x:c r="E76" s="43" t="str">
        <x:v>Wells Cathedral School</x:v>
      </x:c>
      <x:c r="F76" s="43" t="str">
        <x:v>Wells</x:v>
      </x:c>
      <x:c r="G76" s="43" t="str">
        <x:v>Somerset</x:v>
      </x:c>
      <x:c r="H76" s="43" t="str">
        <x:v>BA5 2ST</x:v>
      </x:c>
      <x:c r="I76" s="43" t="n">
        <x:v>2</x:v>
      </x:c>
      <x:c r="J76" s="43" t="n">
        <x:v>19</x:v>
      </x:c>
      <x:c r="K76" s="43" t="str">
        <x:v>Boarding school</x:v>
      </x:c>
      <x:c r="L76" s="43" t="str">
        <x:v>Has a sixth form</x:v>
      </x:c>
      <x:c r="M76" s="43" t="n">
        <x:v>670</x:v>
      </x:c>
      <x:c r="N76" s="43" t="str">
        <x:v>https://wells.cathedral.school</x:v>
      </x:c>
      <x:c r="O76" s="43" t="str">
        <x:v>01749834200</x:v>
      </x:c>
      <x:c r="P76" s="43" t="str"/>
      <x:c r="Q76" s="43" t="str">
        <x:v>https://wells.cathedral.school/wp-content/plugins/contact-form-7/includes/css/styles.css?ver=6.1.7</x:v>
      </x:c>
      <x:c r="R76" s="43" t="str">
        <x:v>Manual contact review needed</x:v>
      </x:c>
      <x:c r="S76" s="43" t="str">
        <x:v>Not reviewed</x:v>
      </x:c>
      <x:c r="T76" s="43" t="str">
        <x:v>Hold</x:v>
      </x:c>
      <x:c r="U76" s="43" t="str">
        <x:v>No</x:v>
      </x:c>
      <x:c r="V76" s="44"/>
      <x:c r="W76" s="43" t="str"/>
      <x:c r="X76" s="43" t="str"/>
      <x:c r="Y76" s="43" t="str"/>
      <x:c r="Z76" s="43" t="str">
        <x:v>https://www.get-information-schools.service.gov.uk/Downloads</x:v>
      </x:c>
    </x:row>
    <x:row r="77">
      <x:c r="A77" s="43" t="str">
        <x:v>UK independent</x:v>
      </x:c>
      <x:c r="B77" s="43" t="str">
        <x:v>116534</x:v>
      </x:c>
      <x:c r="C77" s="43" t="n">
        <x:f>IF(K77="Boarding school",30,0)+IF(J77&gt;=18,20,0)+IF(I77&lt;=11,10,0)+IF(L77="Has a sixth form",15,0)+IF(M77&gt;=200,10,0)+IF(N77&lt;&gt;"",10,0)</x:f>
        <x:v>95</x:v>
      </x:c>
      <x:c r="D77" s="43" t="str">
        <x:f>IF(C77&gt;=85,"A",IF(C77&gt;=65,"B","C"))</x:f>
        <x:v>A</x:v>
      </x:c>
      <x:c r="E77" s="43" t="str">
        <x:v>St Swithuns</x:v>
      </x:c>
      <x:c r="F77" s="43" t="str"/>
      <x:c r="G77" s="43" t="str"/>
      <x:c r="H77" s="43" t="str">
        <x:v>SO21 1HA</x:v>
      </x:c>
      <x:c r="I77" s="43" t="n">
        <x:v>2</x:v>
      </x:c>
      <x:c r="J77" s="43" t="n">
        <x:v>18</x:v>
      </x:c>
      <x:c r="K77" s="43" t="str">
        <x:v>Boarding school</x:v>
      </x:c>
      <x:c r="L77" s="43" t="str">
        <x:v>Has a sixth form</x:v>
      </x:c>
      <x:c r="M77" s="43" t="n">
        <x:v>667</x:v>
      </x:c>
      <x:c r="N77" s="43" t="str">
        <x:v>https://www.stswithuns.com</x:v>
      </x:c>
      <x:c r="O77" s="43" t="str">
        <x:v>01962835700</x:v>
      </x:c>
      <x:c r="P77" s="43" t="str"/>
      <x:c r="Q77" s="43" t="str">
        <x:v>https://www.stswithuns.com/contact-lettings</x:v>
      </x:c>
      <x:c r="R77" s="43" t="str">
        <x:v>Manual contact review needed</x:v>
      </x:c>
      <x:c r="S77" s="43" t="str">
        <x:v>Not reviewed</x:v>
      </x:c>
      <x:c r="T77" s="43" t="str">
        <x:v>Hold</x:v>
      </x:c>
      <x:c r="U77" s="43" t="str">
        <x:v>No</x:v>
      </x:c>
      <x:c r="V77" s="44"/>
      <x:c r="W77" s="43" t="str"/>
      <x:c r="X77" s="43" t="str"/>
      <x:c r="Y77" s="43" t="str"/>
      <x:c r="Z77" s="43" t="str">
        <x:v>https://www.get-information-schools.service.gov.uk/Downloads</x:v>
      </x:c>
    </x:row>
    <x:row r="78">
      <x:c r="A78" s="43" t="str">
        <x:v>UK independent</x:v>
      </x:c>
      <x:c r="B78" s="43" t="str">
        <x:v>123914</x:v>
      </x:c>
      <x:c r="C78" s="43" t="n">
        <x:f>IF(K78="Boarding school",30,0)+IF(J78&gt;=18,20,0)+IF(I78&lt;=11,10,0)+IF(L78="Has a sixth form",15,0)+IF(M78&gt;=200,10,0)+IF(N78&lt;&gt;"",10,0)</x:f>
        <x:v>95</x:v>
      </x:c>
      <x:c r="D78" s="43" t="str">
        <x:f>IF(C78&gt;=85,"A",IF(C78&gt;=65,"B","C"))</x:f>
        <x:v>A</x:v>
      </x:c>
      <x:c r="E78" s="43" t="str">
        <x:v>Taunton School</x:v>
      </x:c>
      <x:c r="F78" s="43" t="str">
        <x:v>Taunton</x:v>
      </x:c>
      <x:c r="G78" s="43" t="str">
        <x:v>Somerset</x:v>
      </x:c>
      <x:c r="H78" s="43" t="str">
        <x:v>TA2 6AD</x:v>
      </x:c>
      <x:c r="I78" s="43" t="n">
        <x:v>8</x:v>
      </x:c>
      <x:c r="J78" s="43" t="n">
        <x:v>19</x:v>
      </x:c>
      <x:c r="K78" s="43" t="str">
        <x:v>Boarding school</x:v>
      </x:c>
      <x:c r="L78" s="43" t="str">
        <x:v>Has a sixth form</x:v>
      </x:c>
      <x:c r="M78" s="43" t="n">
        <x:v>667</x:v>
      </x:c>
      <x:c r="N78" s="43" t="str">
        <x:v>http://www.tauntonschool.co.uk/</x:v>
      </x:c>
      <x:c r="O78" s="43" t="str">
        <x:v>01823703703</x:v>
      </x:c>
      <x:c r="P78" s="43" t="str">
        <x:v>enquiries@tauntonschool.co.uk</x:v>
      </x:c>
      <x:c r="Q78" s="43" t="str">
        <x:v>http://www.tauntonschool.co.uk/</x:v>
      </x:c>
      <x:c r="R78" s="43" t="str">
        <x:v>Generic public inbox found</x:v>
      </x:c>
      <x:c r="S78" s="43" t="str">
        <x:v>Needs human verification</x:v>
      </x:c>
      <x:c r="T78" s="43" t="str">
        <x:v>Hold</x:v>
      </x:c>
      <x:c r="U78" s="43" t="str">
        <x:v>No</x:v>
      </x:c>
      <x:c r="V78" s="44"/>
      <x:c r="W78" s="43" t="str"/>
      <x:c r="X78" s="43" t="str"/>
      <x:c r="Y78" s="43" t="str"/>
      <x:c r="Z78" s="43" t="str">
        <x:v>https://www.get-information-schools.service.gov.uk/Downloads</x:v>
      </x:c>
    </x:row>
    <x:row r="79">
      <x:c r="A79" s="43" t="str">
        <x:v>UK independent</x:v>
      </x:c>
      <x:c r="B79" s="43" t="str">
        <x:v>114331</x:v>
      </x:c>
      <x:c r="C79" s="43" t="n">
        <x:f>IF(K79="Boarding school",30,0)+IF(J79&gt;=18,20,0)+IF(I79&lt;=11,10,0)+IF(L79="Has a sixth form",15,0)+IF(M79&gt;=200,10,0)+IF(N79&lt;&gt;"",10,0)</x:f>
        <x:v>95</x:v>
      </x:c>
      <x:c r="D79" s="43" t="str">
        <x:f>IF(C79&gt;=85,"A",IF(C79&gt;=65,"B","C"))</x:f>
        <x:v>A</x:v>
      </x:c>
      <x:c r="E79" s="43" t="str">
        <x:v>Durham Cathedral Schools Foundation</x:v>
      </x:c>
      <x:c r="F79" s="43" t="str"/>
      <x:c r="G79" s="43" t="str"/>
      <x:c r="H79" s="43" t="str">
        <x:v>DH1 4SZ</x:v>
      </x:c>
      <x:c r="I79" s="43" t="n">
        <x:v>3</x:v>
      </x:c>
      <x:c r="J79" s="43" t="n">
        <x:v>18</x:v>
      </x:c>
      <x:c r="K79" s="43" t="str">
        <x:v>Boarding school</x:v>
      </x:c>
      <x:c r="L79" s="43" t="str">
        <x:v>Has a sixth form</x:v>
      </x:c>
      <x:c r="M79" s="43" t="n">
        <x:v>661</x:v>
      </x:c>
      <x:c r="N79" s="43" t="str">
        <x:v>http://www.dcsf.org.uk</x:v>
      </x:c>
      <x:c r="O79" s="43" t="str">
        <x:v>01917319270</x:v>
      </x:c>
      <x:c r="P79" s="43" t="str">
        <x:v>reception@dcsf.org.uk</x:v>
      </x:c>
      <x:c r="Q79" s="43" t="str">
        <x:v>http://www.dcsf.org.uk</x:v>
      </x:c>
      <x:c r="R79" s="43" t="str">
        <x:v>Generic public inbox found</x:v>
      </x:c>
      <x:c r="S79" s="43" t="str">
        <x:v>Needs human verification</x:v>
      </x:c>
      <x:c r="T79" s="43" t="str">
        <x:v>Hold</x:v>
      </x:c>
      <x:c r="U79" s="43" t="str">
        <x:v>No</x:v>
      </x:c>
      <x:c r="V79" s="44"/>
      <x:c r="W79" s="43" t="str"/>
      <x:c r="X79" s="43" t="str"/>
      <x:c r="Y79" s="43" t="str"/>
      <x:c r="Z79" s="43" t="str">
        <x:v>https://www.get-information-schools.service.gov.uk/Downloads</x:v>
      </x:c>
    </x:row>
    <x:row r="80">
      <x:c r="A80" s="43" t="str">
        <x:v>UK independent</x:v>
      </x:c>
      <x:c r="B80" s="43" t="str">
        <x:v>110547</x:v>
      </x:c>
      <x:c r="C80" s="43" t="n">
        <x:f>IF(K80="Boarding school",30,0)+IF(J80&gt;=18,20,0)+IF(I80&lt;=11,10,0)+IF(L80="Has a sixth form",15,0)+IF(M80&gt;=200,10,0)+IF(N80&lt;&gt;"",10,0)</x:f>
        <x:v>95</x:v>
      </x:c>
      <x:c r="D80" s="43" t="str">
        <x:f>IF(C80&gt;=85,"A",IF(C80&gt;=65,"B","C"))</x:f>
        <x:v>A</x:v>
      </x:c>
      <x:c r="E80" s="43" t="str">
        <x:v>Wycombe Abbey</x:v>
      </x:c>
      <x:c r="F80" s="43" t="str">
        <x:v>High Wycombe</x:v>
      </x:c>
      <x:c r="G80" s="43" t="str">
        <x:v>Buckinghamshire</x:v>
      </x:c>
      <x:c r="H80" s="43" t="str">
        <x:v>HP11 1PE</x:v>
      </x:c>
      <x:c r="I80" s="43" t="n">
        <x:v>10</x:v>
      </x:c>
      <x:c r="J80" s="43" t="n">
        <x:v>19</x:v>
      </x:c>
      <x:c r="K80" s="43" t="str">
        <x:v>Boarding school</x:v>
      </x:c>
      <x:c r="L80" s="43" t="str">
        <x:v>Has a sixth form</x:v>
      </x:c>
      <x:c r="M80" s="43" t="n">
        <x:v>647</x:v>
      </x:c>
      <x:c r="N80" s="43" t="str">
        <x:v>https://www.wycombeabbey.com</x:v>
      </x:c>
      <x:c r="O80" s="43" t="str">
        <x:v>01494520381</x:v>
      </x:c>
      <x:c r="P80" s="43" t="str"/>
      <x:c r="Q80" s="43" t="str">
        <x:v>https://www.wycombeabbey.com/contact-us</x:v>
      </x:c>
      <x:c r="R80" s="43" t="str">
        <x:v>Manual contact review needed</x:v>
      </x:c>
      <x:c r="S80" s="43" t="str">
        <x:v>Not reviewed</x:v>
      </x:c>
      <x:c r="T80" s="43" t="str">
        <x:v>Hold</x:v>
      </x:c>
      <x:c r="U80" s="43" t="str">
        <x:v>No</x:v>
      </x:c>
      <x:c r="V80" s="44"/>
      <x:c r="W80" s="43" t="str"/>
      <x:c r="X80" s="43" t="str"/>
      <x:c r="Y80" s="43" t="str"/>
      <x:c r="Z80" s="43" t="str">
        <x:v>https://www.get-information-schools.service.gov.uk/Downloads</x:v>
      </x:c>
    </x:row>
    <x:row r="81">
      <x:c r="A81" s="43" t="str">
        <x:v>UK independent</x:v>
      </x:c>
      <x:c r="B81" s="43" t="str">
        <x:v>118132</x:v>
      </x:c>
      <x:c r="C81" s="43" t="n">
        <x:f>IF(K81="Boarding school",30,0)+IF(J81&gt;=18,20,0)+IF(I81&lt;=11,10,0)+IF(L81="Has a sixth form",15,0)+IF(M81&gt;=200,10,0)+IF(N81&lt;&gt;"",10,0)</x:f>
        <x:v>95</x:v>
      </x:c>
      <x:c r="D81" s="43" t="str">
        <x:f>IF(C81&gt;=85,"A",IF(C81&gt;=65,"B","C"))</x:f>
        <x:v>A</x:v>
      </x:c>
      <x:c r="E81" s="43" t="str">
        <x:v>Pocklington School</x:v>
      </x:c>
      <x:c r="F81" s="43" t="str">
        <x:v>York</x:v>
      </x:c>
      <x:c r="G81" s="43" t="str"/>
      <x:c r="H81" s="43" t="str">
        <x:v>YO42 2NJ</x:v>
      </x:c>
      <x:c r="I81" s="43" t="n">
        <x:v>2</x:v>
      </x:c>
      <x:c r="J81" s="43" t="n">
        <x:v>18</x:v>
      </x:c>
      <x:c r="K81" s="43" t="str">
        <x:v>Boarding school</x:v>
      </x:c>
      <x:c r="L81" s="43" t="str">
        <x:v>Has a sixth form</x:v>
      </x:c>
      <x:c r="M81" s="43" t="n">
        <x:v>641</x:v>
      </x:c>
      <x:c r="N81" s="43" t="str">
        <x:v>http://www.pocklingtonschool.com</x:v>
      </x:c>
      <x:c r="O81" s="43" t="str">
        <x:v>01759321200</x:v>
      </x:c>
      <x:c r="P81" s="43" t="str"/>
      <x:c r="Q81" s="43" t="str">
        <x:v>http://www.pocklingtonschool.com/contact-us</x:v>
      </x:c>
      <x:c r="R81" s="43" t="str">
        <x:v>Manual contact review needed</x:v>
      </x:c>
      <x:c r="S81" s="43" t="str">
        <x:v>Not reviewed</x:v>
      </x:c>
      <x:c r="T81" s="43" t="str">
        <x:v>Hold</x:v>
      </x:c>
      <x:c r="U81" s="43" t="str">
        <x:v>No</x:v>
      </x:c>
      <x:c r="V81" s="44"/>
      <x:c r="W81" s="43" t="str"/>
      <x:c r="X81" s="43" t="str"/>
      <x:c r="Y81" s="43" t="str"/>
      <x:c r="Z81" s="43" t="str">
        <x:v>https://www.get-information-schools.service.gov.uk/Downloads</x:v>
      </x:c>
    </x:row>
    <x:row r="82">
      <x:c r="A82" s="43" t="str">
        <x:v>UK independent</x:v>
      </x:c>
      <x:c r="B82" s="43" t="str">
        <x:v>101685</x:v>
      </x:c>
      <x:c r="C82" s="43" t="n">
        <x:f>IF(K82="Boarding school",30,0)+IF(J82&gt;=18,20,0)+IF(I82&lt;=11,10,0)+IF(L82="Has a sixth form",15,0)+IF(M82&gt;=200,10,0)+IF(N82&lt;&gt;"",10,0)</x:f>
        <x:v>95</x:v>
      </x:c>
      <x:c r="D82" s="43" t="str">
        <x:f>IF(C82&gt;=85,"A",IF(C82&gt;=65,"B","C"))</x:f>
        <x:v>A</x:v>
      </x:c>
      <x:c r="E82" s="43" t="str">
        <x:v>Farringtons School</x:v>
      </x:c>
      <x:c r="F82" s="43" t="str">
        <x:v>Chislehurst</x:v>
      </x:c>
      <x:c r="G82" s="43" t="str">
        <x:v>Kent</x:v>
      </x:c>
      <x:c r="H82" s="43" t="str">
        <x:v>BR7 6LR</x:v>
      </x:c>
      <x:c r="I82" s="43" t="n">
        <x:v>2</x:v>
      </x:c>
      <x:c r="J82" s="43" t="n">
        <x:v>19</x:v>
      </x:c>
      <x:c r="K82" s="43" t="str">
        <x:v>Boarding school</x:v>
      </x:c>
      <x:c r="L82" s="43" t="str">
        <x:v>Has a sixth form</x:v>
      </x:c>
      <x:c r="M82" s="43" t="n">
        <x:v>637</x:v>
      </x:c>
      <x:c r="N82" s="43" t="str">
        <x:v>http://www.farringtons.org.uk</x:v>
      </x:c>
      <x:c r="O82" s="43" t="str">
        <x:v>02084670256</x:v>
      </x:c>
      <x:c r="P82" s="43" t="str"/>
      <x:c r="Q82" s="43" t="str">
        <x:v>https://www.farringtons.org.uk/contact-us/</x:v>
      </x:c>
      <x:c r="R82" s="43" t="str">
        <x:v>Manual contact review needed</x:v>
      </x:c>
      <x:c r="S82" s="43" t="str">
        <x:v>Not reviewed</x:v>
      </x:c>
      <x:c r="T82" s="43" t="str">
        <x:v>Hold</x:v>
      </x:c>
      <x:c r="U82" s="43" t="str">
        <x:v>No</x:v>
      </x:c>
      <x:c r="V82" s="44"/>
      <x:c r="W82" s="43" t="str"/>
      <x:c r="X82" s="43" t="str"/>
      <x:c r="Y82" s="43" t="str"/>
      <x:c r="Z82" s="43" t="str">
        <x:v>https://www.get-information-schools.service.gov.uk/Downloads</x:v>
      </x:c>
    </x:row>
    <x:row r="83">
      <x:c r="A83" s="43" t="str">
        <x:v>UK independent</x:v>
      </x:c>
      <x:c r="B83" s="43" t="str">
        <x:v>109360</x:v>
      </x:c>
      <x:c r="C83" s="43" t="n">
        <x:f>IF(K83="Boarding school",30,0)+IF(J83&gt;=18,20,0)+IF(I83&lt;=11,10,0)+IF(L83="Has a sixth form",15,0)+IF(M83&gt;=200,10,0)+IF(N83&lt;&gt;"",10,0)</x:f>
        <x:v>95</x:v>
      </x:c>
      <x:c r="D83" s="43" t="str">
        <x:f>IF(C83&gt;=85,"A",IF(C83&gt;=65,"B","C"))</x:f>
        <x:v>A</x:v>
      </x:c>
      <x:c r="E83" s="43" t="str">
        <x:v>Monkton Combe School</x:v>
      </x:c>
      <x:c r="F83" s="43" t="str">
        <x:v>Bath</x:v>
      </x:c>
      <x:c r="G83" s="43" t="str"/>
      <x:c r="H83" s="43" t="str">
        <x:v>BA2 7HG</x:v>
      </x:c>
      <x:c r="I83" s="43" t="n">
        <x:v>2</x:v>
      </x:c>
      <x:c r="J83" s="43" t="n">
        <x:v>19</x:v>
      </x:c>
      <x:c r="K83" s="43" t="str">
        <x:v>Boarding school</x:v>
      </x:c>
      <x:c r="L83" s="43" t="str">
        <x:v>Has a sixth form</x:v>
      </x:c>
      <x:c r="M83" s="43" t="n">
        <x:v>627</x:v>
      </x:c>
      <x:c r="N83" s="43" t="str">
        <x:v>https://www.monktoncombeschool.com</x:v>
      </x:c>
      <x:c r="O83" s="43" t="str">
        <x:v>01225721100</x:v>
      </x:c>
      <x:c r="P83" s="43" t="str"/>
      <x:c r="Q83" s="43" t="str"/>
      <x:c r="R83" s="43" t="str">
        <x:v>Manual contact review needed (HTTPError)</x:v>
      </x:c>
      <x:c r="S83" s="43" t="str">
        <x:v>Not reviewed</x:v>
      </x:c>
      <x:c r="T83" s="43" t="str">
        <x:v>Hold</x:v>
      </x:c>
      <x:c r="U83" s="43" t="str">
        <x:v>No</x:v>
      </x:c>
      <x:c r="V83" s="44"/>
      <x:c r="W83" s="43" t="str"/>
      <x:c r="X83" s="43" t="str"/>
      <x:c r="Y83" s="43" t="str"/>
      <x:c r="Z83" s="43" t="str">
        <x:v>https://www.get-information-schools.service.gov.uk/Downloads</x:v>
      </x:c>
    </x:row>
    <x:row r="84">
      <x:c r="A84" s="43" t="str">
        <x:v>UK independent</x:v>
      </x:c>
      <x:c r="B84" s="43" t="str">
        <x:v>125423</x:v>
      </x:c>
      <x:c r="C84" s="43" t="n">
        <x:f>IF(K84="Boarding school",30,0)+IF(J84&gt;=18,20,0)+IF(I84&lt;=11,10,0)+IF(L84="Has a sixth form",15,0)+IF(M84&gt;=200,10,0)+IF(N84&lt;&gt;"",10,0)</x:f>
        <x:v>95</x:v>
      </x:c>
      <x:c r="D84" s="43" t="str">
        <x:f>IF(C84&gt;=85,"A",IF(C84&gt;=65,"B","C"))</x:f>
        <x:v>A</x:v>
      </x:c>
      <x:c r="E84" s="43" t="str">
        <x:v>T A S I S</x:v>
      </x:c>
      <x:c r="F84" s="43" t="str">
        <x:v>Egham</x:v>
      </x:c>
      <x:c r="G84" s="43" t="str">
        <x:v>Surrey</x:v>
      </x:c>
      <x:c r="H84" s="43" t="str">
        <x:v>TW20 8TE</x:v>
      </x:c>
      <x:c r="I84" s="43" t="n">
        <x:v>3</x:v>
      </x:c>
      <x:c r="J84" s="43" t="n">
        <x:v>18</x:v>
      </x:c>
      <x:c r="K84" s="43" t="str">
        <x:v>Boarding school</x:v>
      </x:c>
      <x:c r="L84" s="43" t="str">
        <x:v>Has a sixth form</x:v>
      </x:c>
      <x:c r="M84" s="43" t="n">
        <x:v>624</x:v>
      </x:c>
      <x:c r="N84" s="43" t="str">
        <x:v>https://www.tasisengland.org</x:v>
      </x:c>
      <x:c r="O84" s="43" t="str">
        <x:v>01932565252</x:v>
      </x:c>
      <x:c r="P84" s="43" t="str"/>
      <x:c r="Q84" s="43" t="str"/>
      <x:c r="R84" s="43" t="str">
        <x:v>Queued for contact research</x:v>
      </x:c>
      <x:c r="S84" s="43" t="str">
        <x:v>Not reviewed</x:v>
      </x:c>
      <x:c r="T84" s="43" t="str">
        <x:v>Hold</x:v>
      </x:c>
      <x:c r="U84" s="43" t="str">
        <x:v>No</x:v>
      </x:c>
      <x:c r="V84" s="44"/>
      <x:c r="W84" s="43" t="str"/>
      <x:c r="X84" s="43" t="str"/>
      <x:c r="Y84" s="43" t="str"/>
      <x:c r="Z84" s="43" t="str">
        <x:v>https://www.get-information-schools.service.gov.uk/Downloads</x:v>
      </x:c>
    </x:row>
    <x:row r="85">
      <x:c r="A85" s="43" t="str">
        <x:v>UK independent</x:v>
      </x:c>
      <x:c r="B85" s="43" t="str">
        <x:v>121730</x:v>
      </x:c>
      <x:c r="C85" s="43" t="n">
        <x:f>IF(K85="Boarding school",30,0)+IF(J85&gt;=18,20,0)+IF(I85&lt;=11,10,0)+IF(L85="Has a sixth form",15,0)+IF(M85&gt;=200,10,0)+IF(N85&lt;&gt;"",10,0)</x:f>
        <x:v>95</x:v>
      </x:c>
      <x:c r="D85" s="43" t="str">
        <x:f>IF(C85&gt;=85,"A",IF(C85&gt;=65,"B","C"))</x:f>
        <x:v>A</x:v>
      </x:c>
      <x:c r="E85" s="43" t="str">
        <x:v>Scarborough College</x:v>
      </x:c>
      <x:c r="F85" s="43" t="str">
        <x:v>Scarborough</x:v>
      </x:c>
      <x:c r="G85" s="43" t="str">
        <x:v>North Yorkshire</x:v>
      </x:c>
      <x:c r="H85" s="43" t="str">
        <x:v>YO11 3BA</x:v>
      </x:c>
      <x:c r="I85" s="43" t="n">
        <x:v>3</x:v>
      </x:c>
      <x:c r="J85" s="43" t="n">
        <x:v>18</x:v>
      </x:c>
      <x:c r="K85" s="43" t="str">
        <x:v>Boarding school</x:v>
      </x:c>
      <x:c r="L85" s="43" t="str">
        <x:v>Has a sixth form</x:v>
      </x:c>
      <x:c r="M85" s="43" t="n">
        <x:v>623</x:v>
      </x:c>
      <x:c r="N85" s="43" t="str">
        <x:v>https://www.scarboroughcollege.co.uk</x:v>
      </x:c>
      <x:c r="O85" s="43" t="str">
        <x:v>01723360620</x:v>
      </x:c>
      <x:c r="P85" s="43" t="str"/>
      <x:c r="Q85" s="43" t="str"/>
      <x:c r="R85" s="43" t="str">
        <x:v>Queued for contact research</x:v>
      </x:c>
      <x:c r="S85" s="43" t="str">
        <x:v>Not reviewed</x:v>
      </x:c>
      <x:c r="T85" s="43" t="str">
        <x:v>Hold</x:v>
      </x:c>
      <x:c r="U85" s="43" t="str">
        <x:v>No</x:v>
      </x:c>
      <x:c r="V85" s="44"/>
      <x:c r="W85" s="43" t="str"/>
      <x:c r="X85" s="43" t="str"/>
      <x:c r="Y85" s="43" t="str"/>
      <x:c r="Z85" s="43" t="str">
        <x:v>https://www.get-information-schools.service.gov.uk/Downloads</x:v>
      </x:c>
    </x:row>
    <x:row r="86">
      <x:c r="A86" s="43" t="str">
        <x:v>UK independent</x:v>
      </x:c>
      <x:c r="B86" s="43" t="str">
        <x:v>123318</x:v>
      </x:c>
      <x:c r="C86" s="43" t="n">
        <x:f>IF(K86="Boarding school",30,0)+IF(J86&gt;=18,20,0)+IF(I86&lt;=11,10,0)+IF(L86="Has a sixth form",15,0)+IF(M86&gt;=200,10,0)+IF(N86&lt;&gt;"",10,0)</x:f>
        <x:v>95</x:v>
      </x:c>
      <x:c r="D86" s="43" t="str">
        <x:f>IF(C86&gt;=85,"A",IF(C86&gt;=65,"B","C"))</x:f>
        <x:v>A</x:v>
      </x:c>
      <x:c r="E86" s="43" t="str">
        <x:v>d'Overbroeck's</x:v>
      </x:c>
      <x:c r="F86" s="43" t="str">
        <x:v>Oxford</x:v>
      </x:c>
      <x:c r="G86" s="43" t="str">
        <x:v>Oxfordshire</x:v>
      </x:c>
      <x:c r="H86" s="43" t="str">
        <x:v>OX2 7PL</x:v>
      </x:c>
      <x:c r="I86" s="43" t="n">
        <x:v>11</x:v>
      </x:c>
      <x:c r="J86" s="43" t="n">
        <x:v>19</x:v>
      </x:c>
      <x:c r="K86" s="43" t="str">
        <x:v>Boarding school</x:v>
      </x:c>
      <x:c r="L86" s="43" t="str">
        <x:v>Has a sixth form</x:v>
      </x:c>
      <x:c r="M86" s="43" t="n">
        <x:v>615</x:v>
      </x:c>
      <x:c r="N86" s="43" t="str">
        <x:v>https://www.doverbroecks.com</x:v>
      </x:c>
      <x:c r="O86" s="43" t="str">
        <x:v>01865688600</x:v>
      </x:c>
      <x:c r="P86" s="43" t="str"/>
      <x:c r="Q86" s="43" t="str"/>
      <x:c r="R86" s="43" t="str">
        <x:v>Queued for contact research</x:v>
      </x:c>
      <x:c r="S86" s="43" t="str">
        <x:v>Not reviewed</x:v>
      </x:c>
      <x:c r="T86" s="43" t="str">
        <x:v>Hold</x:v>
      </x:c>
      <x:c r="U86" s="43" t="str">
        <x:v>No</x:v>
      </x:c>
      <x:c r="V86" s="44"/>
      <x:c r="W86" s="43" t="str"/>
      <x:c r="X86" s="43" t="str"/>
      <x:c r="Y86" s="43" t="str"/>
      <x:c r="Z86" s="43" t="str">
        <x:v>https://www.get-information-schools.service.gov.uk/Downloads</x:v>
      </x:c>
    </x:row>
    <x:row r="87">
      <x:c r="A87" s="43" t="str">
        <x:v>UK independent</x:v>
      </x:c>
      <x:c r="B87" s="43" t="str">
        <x:v>126137</x:v>
      </x:c>
      <x:c r="C87" s="43" t="n">
        <x:f>IF(K87="Boarding school",30,0)+IF(J87&gt;=18,20,0)+IF(I87&lt;=11,10,0)+IF(L87="Has a sixth form",15,0)+IF(M87&gt;=200,10,0)+IF(N87&lt;&gt;"",10,0)</x:f>
        <x:v>95</x:v>
      </x:c>
      <x:c r="D87" s="43" t="str">
        <x:f>IF(C87&gt;=85,"A",IF(C87&gt;=65,"B","C"))</x:f>
        <x:v>A</x:v>
      </x:c>
      <x:c r="E87" s="43" t="str">
        <x:v>Worth School</x:v>
      </x:c>
      <x:c r="F87" s="43" t="str">
        <x:v>Crawley</x:v>
      </x:c>
      <x:c r="G87" s="43" t="str">
        <x:v>West Sussex</x:v>
      </x:c>
      <x:c r="H87" s="43" t="str">
        <x:v>RH10 4SD</x:v>
      </x:c>
      <x:c r="I87" s="43" t="n">
        <x:v>11</x:v>
      </x:c>
      <x:c r="J87" s="43" t="n">
        <x:v>19</x:v>
      </x:c>
      <x:c r="K87" s="43" t="str">
        <x:v>Boarding school</x:v>
      </x:c>
      <x:c r="L87" s="43" t="str">
        <x:v>Has a sixth form</x:v>
      </x:c>
      <x:c r="M87" s="43" t="n">
        <x:v>614</x:v>
      </x:c>
      <x:c r="N87" s="43" t="str">
        <x:v>https://www.worthschool.org.uk</x:v>
      </x:c>
      <x:c r="O87" s="43" t="str">
        <x:v>01342710200</x:v>
      </x:c>
      <x:c r="P87" s="43" t="str"/>
      <x:c r="Q87" s="43" t="str"/>
      <x:c r="R87" s="43" t="str">
        <x:v>Queued for contact research</x:v>
      </x:c>
      <x:c r="S87" s="43" t="str">
        <x:v>Not reviewed</x:v>
      </x:c>
      <x:c r="T87" s="43" t="str">
        <x:v>Hold</x:v>
      </x:c>
      <x:c r="U87" s="43" t="str">
        <x:v>No</x:v>
      </x:c>
      <x:c r="V87" s="44"/>
      <x:c r="W87" s="43" t="str"/>
      <x:c r="X87" s="43" t="str"/>
      <x:c r="Y87" s="43" t="str"/>
      <x:c r="Z87" s="43" t="str">
        <x:v>https://www.get-information-schools.service.gov.uk/Downloads</x:v>
      </x:c>
    </x:row>
    <x:row r="88">
      <x:c r="A88" s="43" t="str">
        <x:v>UK independent</x:v>
      </x:c>
      <x:c r="B88" s="43" t="str">
        <x:v>123913</x:v>
      </x:c>
      <x:c r="C88" s="43" t="n">
        <x:f>IF(K88="Boarding school",30,0)+IF(J88&gt;=18,20,0)+IF(I88&lt;=11,10,0)+IF(L88="Has a sixth form",15,0)+IF(M88&gt;=200,10,0)+IF(N88&lt;&gt;"",10,0)</x:f>
        <x:v>95</x:v>
      </x:c>
      <x:c r="D88" s="43" t="str">
        <x:f>IF(C88&gt;=85,"A",IF(C88&gt;=65,"B","C"))</x:f>
        <x:v>A</x:v>
      </x:c>
      <x:c r="E88" s="43" t="str">
        <x:v>Queen's College</x:v>
      </x:c>
      <x:c r="F88" s="43" t="str">
        <x:v>Taunton</x:v>
      </x:c>
      <x:c r="G88" s="43" t="str">
        <x:v>Somerset</x:v>
      </x:c>
      <x:c r="H88" s="43" t="str">
        <x:v>TA1 4QS</x:v>
      </x:c>
      <x:c r="I88" s="43" t="n">
        <x:v>3</x:v>
      </x:c>
      <x:c r="J88" s="43" t="n">
        <x:v>19</x:v>
      </x:c>
      <x:c r="K88" s="43" t="str">
        <x:v>Boarding school</x:v>
      </x:c>
      <x:c r="L88" s="43" t="str">
        <x:v>Has a sixth form</x:v>
      </x:c>
      <x:c r="M88" s="43" t="n">
        <x:v>613</x:v>
      </x:c>
      <x:c r="N88" s="43" t="str">
        <x:v>https://www.queenscollege.org.uk</x:v>
      </x:c>
      <x:c r="O88" s="43" t="str">
        <x:v>01823272559</x:v>
      </x:c>
      <x:c r="P88" s="43" t="str"/>
      <x:c r="Q88" s="43" t="str"/>
      <x:c r="R88" s="43" t="str">
        <x:v>Queued for contact research</x:v>
      </x:c>
      <x:c r="S88" s="43" t="str">
        <x:v>Not reviewed</x:v>
      </x:c>
      <x:c r="T88" s="43" t="str">
        <x:v>Hold</x:v>
      </x:c>
      <x:c r="U88" s="43" t="str">
        <x:v>No</x:v>
      </x:c>
      <x:c r="V88" s="44"/>
      <x:c r="W88" s="43" t="str"/>
      <x:c r="X88" s="43" t="str"/>
      <x:c r="Y88" s="43" t="str"/>
      <x:c r="Z88" s="43" t="str">
        <x:v>https://www.get-information-schools.service.gov.uk/Downloads</x:v>
      </x:c>
    </x:row>
    <x:row r="89">
      <x:c r="A89" s="43" t="str">
        <x:v>UK independent</x:v>
      </x:c>
      <x:c r="B89" s="43" t="str">
        <x:v>109362</x:v>
      </x:c>
      <x:c r="C89" s="43" t="n">
        <x:f>IF(K89="Boarding school",30,0)+IF(J89&gt;=18,20,0)+IF(I89&lt;=11,10,0)+IF(L89="Has a sixth form",15,0)+IF(M89&gt;=200,10,0)+IF(N89&lt;&gt;"",10,0)</x:f>
        <x:v>95</x:v>
      </x:c>
      <x:c r="D89" s="43" t="str">
        <x:f>IF(C89&gt;=85,"A",IF(C89&gt;=65,"B","C"))</x:f>
        <x:v>A</x:v>
      </x:c>
      <x:c r="E89" s="43" t="str">
        <x:v>Sidcot School</x:v>
      </x:c>
      <x:c r="F89" s="43" t="str">
        <x:v>Winscombe</x:v>
      </x:c>
      <x:c r="G89" s="43" t="str">
        <x:v>Somerset</x:v>
      </x:c>
      <x:c r="H89" s="43" t="str">
        <x:v>BS25 1PD</x:v>
      </x:c>
      <x:c r="I89" s="43" t="n">
        <x:v>3</x:v>
      </x:c>
      <x:c r="J89" s="43" t="n">
        <x:v>19</x:v>
      </x:c>
      <x:c r="K89" s="43" t="str">
        <x:v>Boarding school</x:v>
      </x:c>
      <x:c r="L89" s="43" t="str">
        <x:v>Has a sixth form</x:v>
      </x:c>
      <x:c r="M89" s="43" t="n">
        <x:v>594</x:v>
      </x:c>
      <x:c r="N89" s="43" t="str">
        <x:v>https://www.sidcot.org.uk</x:v>
      </x:c>
      <x:c r="O89" s="43" t="str">
        <x:v>01934843102</x:v>
      </x:c>
      <x:c r="P89" s="43" t="str"/>
      <x:c r="Q89" s="43" t="str"/>
      <x:c r="R89" s="43" t="str">
        <x:v>Queued for contact research</x:v>
      </x:c>
      <x:c r="S89" s="43" t="str">
        <x:v>Not reviewed</x:v>
      </x:c>
      <x:c r="T89" s="43" t="str">
        <x:v>Hold</x:v>
      </x:c>
      <x:c r="U89" s="43" t="str">
        <x:v>No</x:v>
      </x:c>
      <x:c r="V89" s="44"/>
      <x:c r="W89" s="43" t="str"/>
      <x:c r="X89" s="43" t="str"/>
      <x:c r="Y89" s="43" t="str"/>
      <x:c r="Z89" s="43" t="str">
        <x:v>https://www.get-information-schools.service.gov.uk/Downloads</x:v>
      </x:c>
    </x:row>
    <x:row r="90">
      <x:c r="A90" s="43" t="str">
        <x:v>UK independent</x:v>
      </x:c>
      <x:c r="B90" s="43" t="str">
        <x:v>121722</x:v>
      </x:c>
      <x:c r="C90" s="43" t="n">
        <x:f>IF(K90="Boarding school",30,0)+IF(J90&gt;=18,20,0)+IF(I90&lt;=11,10,0)+IF(L90="Has a sixth form",15,0)+IF(M90&gt;=200,10,0)+IF(N90&lt;&gt;"",10,0)</x:f>
        <x:v>95</x:v>
      </x:c>
      <x:c r="D90" s="43" t="str">
        <x:f>IF(C90&gt;=85,"A",IF(C90&gt;=65,"B","C"))</x:f>
        <x:v>A</x:v>
      </x:c>
      <x:c r="E90" s="43" t="str">
        <x:v>Bootham School</x:v>
      </x:c>
      <x:c r="F90" s="43" t="str">
        <x:v>York</x:v>
      </x:c>
      <x:c r="G90" s="43" t="str">
        <x:v>North Yorkshire</x:v>
      </x:c>
      <x:c r="H90" s="43" t="str">
        <x:v>YO30 7BU</x:v>
      </x:c>
      <x:c r="I90" s="43" t="n">
        <x:v>2</x:v>
      </x:c>
      <x:c r="J90" s="43" t="n">
        <x:v>19</x:v>
      </x:c>
      <x:c r="K90" s="43" t="str">
        <x:v>Boarding school</x:v>
      </x:c>
      <x:c r="L90" s="43" t="str">
        <x:v>Has a sixth form</x:v>
      </x:c>
      <x:c r="M90" s="43" t="n">
        <x:v>587</x:v>
      </x:c>
      <x:c r="N90" s="43" t="str">
        <x:v>https://www.boothamschool.com</x:v>
      </x:c>
      <x:c r="O90" s="43" t="str">
        <x:v>01904623261</x:v>
      </x:c>
      <x:c r="P90" s="43" t="str"/>
      <x:c r="Q90" s="43" t="str"/>
      <x:c r="R90" s="43" t="str">
        <x:v>Queued for contact research</x:v>
      </x:c>
      <x:c r="S90" s="43" t="str">
        <x:v>Not reviewed</x:v>
      </x:c>
      <x:c r="T90" s="43" t="str">
        <x:v>Hold</x:v>
      </x:c>
      <x:c r="U90" s="43" t="str">
        <x:v>No</x:v>
      </x:c>
      <x:c r="V90" s="44"/>
      <x:c r="W90" s="43" t="str"/>
      <x:c r="X90" s="43" t="str"/>
      <x:c r="Y90" s="43" t="str"/>
      <x:c r="Z90" s="43" t="str">
        <x:v>https://www.get-information-schools.service.gov.uk/Downloads</x:v>
      </x:c>
    </x:row>
    <x:row r="91">
      <x:c r="A91" s="43" t="str">
        <x:v>UK independent</x:v>
      </x:c>
      <x:c r="B91" s="43" t="str">
        <x:v>113575</x:v>
      </x:c>
      <x:c r="C91" s="43" t="n">
        <x:f>IF(K91="Boarding school",30,0)+IF(J91&gt;=18,20,0)+IF(I91&lt;=11,10,0)+IF(L91="Has a sixth form",15,0)+IF(M91&gt;=200,10,0)+IF(N91&lt;&gt;"",10,0)</x:f>
        <x:v>95</x:v>
      </x:c>
      <x:c r="D91" s="43" t="str">
        <x:f>IF(C91&gt;=85,"A",IF(C91&gt;=65,"B","C"))</x:f>
        <x:v>A</x:v>
      </x:c>
      <x:c r="E91" s="43" t="str">
        <x:v>Blundell's School</x:v>
      </x:c>
      <x:c r="F91" s="43" t="str">
        <x:v>Tiverton</x:v>
      </x:c>
      <x:c r="G91" s="43" t="str">
        <x:v>Devon</x:v>
      </x:c>
      <x:c r="H91" s="43" t="str">
        <x:v>EX16 4DN</x:v>
      </x:c>
      <x:c r="I91" s="43" t="n">
        <x:v>11</x:v>
      </x:c>
      <x:c r="J91" s="43" t="n">
        <x:v>19</x:v>
      </x:c>
      <x:c r="K91" s="43" t="str">
        <x:v>Boarding school</x:v>
      </x:c>
      <x:c r="L91" s="43" t="str">
        <x:v>Has a sixth form</x:v>
      </x:c>
      <x:c r="M91" s="43" t="n">
        <x:v>584</x:v>
      </x:c>
      <x:c r="N91" s="43" t="str">
        <x:v>https://www.blundells.org</x:v>
      </x:c>
      <x:c r="O91" s="43" t="str">
        <x:v>01884252543</x:v>
      </x:c>
      <x:c r="P91" s="43" t="str"/>
      <x:c r="Q91" s="43" t="str"/>
      <x:c r="R91" s="43" t="str">
        <x:v>Queued for contact research</x:v>
      </x:c>
      <x:c r="S91" s="43" t="str">
        <x:v>Not reviewed</x:v>
      </x:c>
      <x:c r="T91" s="43" t="str">
        <x:v>Hold</x:v>
      </x:c>
      <x:c r="U91" s="43" t="str">
        <x:v>No</x:v>
      </x:c>
      <x:c r="V91" s="44"/>
      <x:c r="W91" s="43" t="str"/>
      <x:c r="X91" s="43" t="str"/>
      <x:c r="Y91" s="43" t="str"/>
      <x:c r="Z91" s="43" t="str">
        <x:v>https://www.get-information-schools.service.gov.uk/Downloads</x:v>
      </x:c>
    </x:row>
    <x:row r="92">
      <x:c r="A92" s="43" t="str">
        <x:v>UK independent</x:v>
      </x:c>
      <x:c r="B92" s="43" t="str">
        <x:v>123275</x:v>
      </x:c>
      <x:c r="C92" s="43" t="n">
        <x:f>IF(K92="Boarding school",30,0)+IF(J92&gt;=18,20,0)+IF(I92&lt;=11,10,0)+IF(L92="Has a sixth form",15,0)+IF(M92&gt;=200,10,0)+IF(N92&lt;&gt;"",10,0)</x:f>
        <x:v>95</x:v>
      </x:c>
      <x:c r="D92" s="43" t="str">
        <x:f>IF(C92&gt;=85,"A",IF(C92&gt;=65,"B","C"))</x:f>
        <x:v>A</x:v>
      </x:c>
      <x:c r="E92" s="43" t="str">
        <x:v>Bloxham School</x:v>
      </x:c>
      <x:c r="F92" s="43" t="str">
        <x:v>Banbury</x:v>
      </x:c>
      <x:c r="G92" s="43" t="str">
        <x:v>Oxfordshire</x:v>
      </x:c>
      <x:c r="H92" s="43" t="str">
        <x:v>OX15 4PE</x:v>
      </x:c>
      <x:c r="I92" s="43" t="n">
        <x:v>11</x:v>
      </x:c>
      <x:c r="J92" s="43" t="n">
        <x:v>19</x:v>
      </x:c>
      <x:c r="K92" s="43" t="str">
        <x:v>Boarding school</x:v>
      </x:c>
      <x:c r="L92" s="43" t="str">
        <x:v>Has a sixth form</x:v>
      </x:c>
      <x:c r="M92" s="43" t="n">
        <x:v>583</x:v>
      </x:c>
      <x:c r="N92" s="43" t="str">
        <x:v>https://www.bloxhamschool.com</x:v>
      </x:c>
      <x:c r="O92" s="43" t="str">
        <x:v>01295720222</x:v>
      </x:c>
      <x:c r="P92" s="43" t="str"/>
      <x:c r="Q92" s="43" t="str"/>
      <x:c r="R92" s="43" t="str">
        <x:v>Queued for contact research</x:v>
      </x:c>
      <x:c r="S92" s="43" t="str">
        <x:v>Not reviewed</x:v>
      </x:c>
      <x:c r="T92" s="43" t="str">
        <x:v>Hold</x:v>
      </x:c>
      <x:c r="U92" s="43" t="str">
        <x:v>No</x:v>
      </x:c>
      <x:c r="V92" s="44"/>
      <x:c r="W92" s="43" t="str"/>
      <x:c r="X92" s="43" t="str"/>
      <x:c r="Y92" s="43" t="str"/>
      <x:c r="Z92" s="43" t="str">
        <x:v>https://www.get-information-schools.service.gov.uk/Downloads</x:v>
      </x:c>
    </x:row>
    <x:row r="93">
      <x:c r="A93" s="43" t="str">
        <x:v>UK independent</x:v>
      </x:c>
      <x:c r="B93" s="43" t="str">
        <x:v>110110</x:v>
      </x:c>
      <x:c r="C93" s="43" t="n">
        <x:f>IF(K93="Boarding school",30,0)+IF(J93&gt;=18,20,0)+IF(I93&lt;=11,10,0)+IF(L93="Has a sixth form",15,0)+IF(M93&gt;=200,10,0)+IF(N93&lt;&gt;"",10,0)</x:f>
        <x:v>95</x:v>
      </x:c>
      <x:c r="D93" s="43" t="str">
        <x:f>IF(C93&gt;=85,"A",IF(C93&gt;=65,"B","C"))</x:f>
        <x:v>A</x:v>
      </x:c>
      <x:c r="E93" s="43" t="str">
        <x:v>Leighton Park School</x:v>
      </x:c>
      <x:c r="F93" s="43" t="str">
        <x:v>Reading</x:v>
      </x:c>
      <x:c r="G93" s="43" t="str">
        <x:v>Berkshire</x:v>
      </x:c>
      <x:c r="H93" s="43" t="str">
        <x:v>RG2 7ED</x:v>
      </x:c>
      <x:c r="I93" s="43" t="n">
        <x:v>11</x:v>
      </x:c>
      <x:c r="J93" s="43" t="n">
        <x:v>18</x:v>
      </x:c>
      <x:c r="K93" s="43" t="str">
        <x:v>Boarding school</x:v>
      </x:c>
      <x:c r="L93" s="43" t="str">
        <x:v>Has a sixth form</x:v>
      </x:c>
      <x:c r="M93" s="43" t="n">
        <x:v>581</x:v>
      </x:c>
      <x:c r="N93" s="43" t="str">
        <x:v>https://www.leightonpark.com</x:v>
      </x:c>
      <x:c r="O93" s="43" t="str">
        <x:v>01189879600</x:v>
      </x:c>
      <x:c r="P93" s="43" t="str"/>
      <x:c r="Q93" s="43" t="str"/>
      <x:c r="R93" s="43" t="str">
        <x:v>Queued for contact research</x:v>
      </x:c>
      <x:c r="S93" s="43" t="str">
        <x:v>Not reviewed</x:v>
      </x:c>
      <x:c r="T93" s="43" t="str">
        <x:v>Hold</x:v>
      </x:c>
      <x:c r="U93" s="43" t="str">
        <x:v>No</x:v>
      </x:c>
      <x:c r="V93" s="44"/>
      <x:c r="W93" s="43" t="str"/>
      <x:c r="X93" s="43" t="str"/>
      <x:c r="Y93" s="43" t="str"/>
      <x:c r="Z93" s="43" t="str">
        <x:v>https://www.get-information-schools.service.gov.uk/Downloads</x:v>
      </x:c>
    </x:row>
    <x:row r="94">
      <x:c r="A94" s="43" t="str">
        <x:v>UK independent</x:v>
      </x:c>
      <x:c r="B94" s="43" t="str">
        <x:v>113920</x:v>
      </x:c>
      <x:c r="C94" s="43" t="n">
        <x:f>IF(K94="Boarding school",30,0)+IF(J94&gt;=18,20,0)+IF(I94&lt;=11,10,0)+IF(L94="Has a sixth form",15,0)+IF(M94&gt;=200,10,0)+IF(N94&lt;&gt;"",10,0)</x:f>
        <x:v>95</x:v>
      </x:c>
      <x:c r="D94" s="43" t="str">
        <x:f>IF(C94&gt;=85,"A",IF(C94&gt;=65,"B","C"))</x:f>
        <x:v>A</x:v>
      </x:c>
      <x:c r="E94" s="43" t="str">
        <x:v>Leweston School</x:v>
      </x:c>
      <x:c r="F94" s="43" t="str">
        <x:v>Sherborne</x:v>
      </x:c>
      <x:c r="G94" s="43" t="str">
        <x:v>Dorset</x:v>
      </x:c>
      <x:c r="H94" s="43" t="str">
        <x:v>DT9 6EN</x:v>
      </x:c>
      <x:c r="I94" s="43" t="n">
        <x:v>2</x:v>
      </x:c>
      <x:c r="J94" s="43" t="n">
        <x:v>19</x:v>
      </x:c>
      <x:c r="K94" s="43" t="str">
        <x:v>Boarding school</x:v>
      </x:c>
      <x:c r="L94" s="43" t="str">
        <x:v>Has a sixth form</x:v>
      </x:c>
      <x:c r="M94" s="43" t="n">
        <x:v>577</x:v>
      </x:c>
      <x:c r="N94" s="43" t="str">
        <x:v>http://www.leweston.co.uk</x:v>
      </x:c>
      <x:c r="O94" s="43" t="str">
        <x:v>01963210691</x:v>
      </x:c>
      <x:c r="P94" s="43" t="str"/>
      <x:c r="Q94" s="43" t="str"/>
      <x:c r="R94" s="43" t="str">
        <x:v>Queued for contact research</x:v>
      </x:c>
      <x:c r="S94" s="43" t="str">
        <x:v>Not reviewed</x:v>
      </x:c>
      <x:c r="T94" s="43" t="str">
        <x:v>Hold</x:v>
      </x:c>
      <x:c r="U94" s="43" t="str">
        <x:v>No</x:v>
      </x:c>
      <x:c r="V94" s="44"/>
      <x:c r="W94" s="43" t="str"/>
      <x:c r="X94" s="43" t="str"/>
      <x:c r="Y94" s="43" t="str"/>
      <x:c r="Z94" s="43" t="str">
        <x:v>https://www.get-information-schools.service.gov.uk/Downloads</x:v>
      </x:c>
    </x:row>
    <x:row r="95">
      <x:c r="A95" s="43" t="str">
        <x:v>UK independent</x:v>
      </x:c>
      <x:c r="B95" s="43" t="str">
        <x:v>123285</x:v>
      </x:c>
      <x:c r="C95" s="43" t="n">
        <x:f>IF(K95="Boarding school",30,0)+IF(J95&gt;=18,20,0)+IF(I95&lt;=11,10,0)+IF(L95="Has a sixth form",15,0)+IF(M95&gt;=200,10,0)+IF(N95&lt;&gt;"",10,0)</x:f>
        <x:v>95</x:v>
      </x:c>
      <x:c r="D95" s="43" t="str">
        <x:f>IF(C95&gt;=85,"A",IF(C95&gt;=65,"B","C"))</x:f>
        <x:v>A</x:v>
      </x:c>
      <x:c r="E95" s="43" t="str">
        <x:v>Shiplake College</x:v>
      </x:c>
      <x:c r="F95" s="43" t="str">
        <x:v>Henley-on-Thames</x:v>
      </x:c>
      <x:c r="G95" s="43" t="str">
        <x:v>Oxfordshire</x:v>
      </x:c>
      <x:c r="H95" s="43" t="str">
        <x:v>RG9 4BW</x:v>
      </x:c>
      <x:c r="I95" s="43" t="n">
        <x:v>11</x:v>
      </x:c>
      <x:c r="J95" s="43" t="n">
        <x:v>19</x:v>
      </x:c>
      <x:c r="K95" s="43" t="str">
        <x:v>Boarding school</x:v>
      </x:c>
      <x:c r="L95" s="43" t="str">
        <x:v>Has a sixth form</x:v>
      </x:c>
      <x:c r="M95" s="43" t="n">
        <x:v>575</x:v>
      </x:c>
      <x:c r="N95" s="43" t="str">
        <x:v>https://www.shiplake.org.uk</x:v>
      </x:c>
      <x:c r="O95" s="43" t="str">
        <x:v>01189402455</x:v>
      </x:c>
      <x:c r="P95" s="43" t="str"/>
      <x:c r="Q95" s="43" t="str"/>
      <x:c r="R95" s="43" t="str">
        <x:v>Queued for contact research</x:v>
      </x:c>
      <x:c r="S95" s="43" t="str">
        <x:v>Not reviewed</x:v>
      </x:c>
      <x:c r="T95" s="43" t="str">
        <x:v>Hold</x:v>
      </x:c>
      <x:c r="U95" s="43" t="str">
        <x:v>No</x:v>
      </x:c>
      <x:c r="V95" s="44"/>
      <x:c r="W95" s="43" t="str"/>
      <x:c r="X95" s="43" t="str"/>
      <x:c r="Y95" s="43" t="str"/>
      <x:c r="Z95" s="43" t="str">
        <x:v>https://www.get-information-schools.service.gov.uk/Downloads</x:v>
      </x:c>
    </x:row>
    <x:row r="96">
      <x:c r="A96" s="43" t="str">
        <x:v>UK independent</x:v>
      </x:c>
      <x:c r="B96" s="43" t="str">
        <x:v>118948</x:v>
      </x:c>
      <x:c r="C96" s="43" t="n">
        <x:f>IF(K96="Boarding school",30,0)+IF(J96&gt;=18,20,0)+IF(I96&lt;=11,10,0)+IF(L96="Has a sixth form",15,0)+IF(M96&gt;=200,10,0)+IF(N96&lt;&gt;"",10,0)</x:f>
        <x:v>95</x:v>
      </x:c>
      <x:c r="D96" s="43" t="str">
        <x:f>IF(C96&gt;=85,"A",IF(C96&gt;=65,"B","C"))</x:f>
        <x:v>A</x:v>
      </x:c>
      <x:c r="E96" s="43" t="str">
        <x:v>King's School, Rochester</x:v>
      </x:c>
      <x:c r="F96" s="43" t="str">
        <x:v>Rochester</x:v>
      </x:c>
      <x:c r="G96" s="43" t="str">
        <x:v>Kent</x:v>
      </x:c>
      <x:c r="H96" s="43" t="str">
        <x:v>ME1 1TE</x:v>
      </x:c>
      <x:c r="I96" s="43" t="n">
        <x:v>2</x:v>
      </x:c>
      <x:c r="J96" s="43" t="n">
        <x:v>18</x:v>
      </x:c>
      <x:c r="K96" s="43" t="str">
        <x:v>Boarding school</x:v>
      </x:c>
      <x:c r="L96" s="43" t="str">
        <x:v>Has a sixth form</x:v>
      </x:c>
      <x:c r="M96" s="43" t="n">
        <x:v>574</x:v>
      </x:c>
      <x:c r="N96" s="43" t="str">
        <x:v>https://www.kings-rochester.co.uk</x:v>
      </x:c>
      <x:c r="O96" s="43" t="str">
        <x:v>01634888555</x:v>
      </x:c>
      <x:c r="P96" s="43" t="str"/>
      <x:c r="Q96" s="43" t="str"/>
      <x:c r="R96" s="43" t="str">
        <x:v>Queued for contact research</x:v>
      </x:c>
      <x:c r="S96" s="43" t="str">
        <x:v>Not reviewed</x:v>
      </x:c>
      <x:c r="T96" s="43" t="str">
        <x:v>Hold</x:v>
      </x:c>
      <x:c r="U96" s="43" t="str">
        <x:v>No</x:v>
      </x:c>
      <x:c r="V96" s="44"/>
      <x:c r="W96" s="43" t="str"/>
      <x:c r="X96" s="43" t="str"/>
      <x:c r="Y96" s="43" t="str"/>
      <x:c r="Z96" s="43" t="str">
        <x:v>https://www.get-information-schools.service.gov.uk/Downloads</x:v>
      </x:c>
    </x:row>
    <x:row r="97">
      <x:c r="A97" s="43" t="str">
        <x:v>UK independent</x:v>
      </x:c>
      <x:c r="B97" s="43" t="str">
        <x:v>120333</x:v>
      </x:c>
      <x:c r="C97" s="43" t="n">
        <x:f>IF(K97="Boarding school",30,0)+IF(J97&gt;=18,20,0)+IF(I97&lt;=11,10,0)+IF(L97="Has a sixth form",15,0)+IF(M97&gt;=200,10,0)+IF(N97&lt;&gt;"",10,0)</x:f>
        <x:v>95</x:v>
      </x:c>
      <x:c r="D97" s="43" t="str">
        <x:f>IF(C97&gt;=85,"A",IF(C97&gt;=65,"B","C"))</x:f>
        <x:v>A</x:v>
      </x:c>
      <x:c r="E97" s="43" t="str">
        <x:v>Loughborough High School</x:v>
      </x:c>
      <x:c r="F97" s="43" t="str"/>
      <x:c r="G97" s="43" t="str"/>
      <x:c r="H97" s="43" t="str">
        <x:v>LE11 2DU</x:v>
      </x:c>
      <x:c r="I97" s="43" t="n">
        <x:v>11</x:v>
      </x:c>
      <x:c r="J97" s="43" t="n">
        <x:v>19</x:v>
      </x:c>
      <x:c r="K97" s="43" t="str">
        <x:v>Boarding school</x:v>
      </x:c>
      <x:c r="L97" s="43" t="str">
        <x:v>Has a sixth form</x:v>
      </x:c>
      <x:c r="M97" s="43" t="n">
        <x:v>564</x:v>
      </x:c>
      <x:c r="N97" s="43" t="str">
        <x:v>https://lborohigh.org/</x:v>
      </x:c>
      <x:c r="O97" s="43" t="str">
        <x:v>01509212348</x:v>
      </x:c>
      <x:c r="P97" s="43" t="str"/>
      <x:c r="Q97" s="43" t="str"/>
      <x:c r="R97" s="43" t="str">
        <x:v>Queued for contact research</x:v>
      </x:c>
      <x:c r="S97" s="43" t="str">
        <x:v>Not reviewed</x:v>
      </x:c>
      <x:c r="T97" s="43" t="str">
        <x:v>Hold</x:v>
      </x:c>
      <x:c r="U97" s="43" t="str">
        <x:v>No</x:v>
      </x:c>
      <x:c r="V97" s="44"/>
      <x:c r="W97" s="43" t="str"/>
      <x:c r="X97" s="43" t="str"/>
      <x:c r="Y97" s="43" t="str"/>
      <x:c r="Z97" s="43" t="str">
        <x:v>https://www.get-information-schools.service.gov.uk/Downloads</x:v>
      </x:c>
    </x:row>
    <x:row r="98">
      <x:c r="A98" s="43" t="str">
        <x:v>UK independent</x:v>
      </x:c>
      <x:c r="B98" s="43" t="str">
        <x:v>124883</x:v>
      </x:c>
      <x:c r="C98" s="43" t="n">
        <x:f>IF(K98="Boarding school",30,0)+IF(J98&gt;=18,20,0)+IF(I98&lt;=11,10,0)+IF(L98="Has a sixth form",15,0)+IF(M98&gt;=200,10,0)+IF(N98&lt;&gt;"",10,0)</x:f>
        <x:v>95</x:v>
      </x:c>
      <x:c r="D98" s="43" t="str">
        <x:f>IF(C98&gt;=85,"A",IF(C98&gt;=65,"B","C"))</x:f>
        <x:v>A</x:v>
      </x:c>
      <x:c r="E98" s="43" t="str">
        <x:v>St Joseph's College</x:v>
      </x:c>
      <x:c r="F98" s="43" t="str">
        <x:v>Ipswich</x:v>
      </x:c>
      <x:c r="G98" s="43" t="str">
        <x:v>Suffolk</x:v>
      </x:c>
      <x:c r="H98" s="43" t="str">
        <x:v>IP2 9DR</x:v>
      </x:c>
      <x:c r="I98" s="43" t="n">
        <x:v>2</x:v>
      </x:c>
      <x:c r="J98" s="43" t="n">
        <x:v>19</x:v>
      </x:c>
      <x:c r="K98" s="43" t="str">
        <x:v>Boarding school</x:v>
      </x:c>
      <x:c r="L98" s="43" t="str">
        <x:v>Has a sixth form</x:v>
      </x:c>
      <x:c r="M98" s="43" t="n">
        <x:v>564</x:v>
      </x:c>
      <x:c r="N98" s="43" t="str">
        <x:v>https://www.stjos.co.uk/</x:v>
      </x:c>
      <x:c r="O98" s="43" t="str">
        <x:v>01473690281</x:v>
      </x:c>
      <x:c r="P98" s="43" t="str"/>
      <x:c r="Q98" s="43" t="str"/>
      <x:c r="R98" s="43" t="str">
        <x:v>Queued for contact research</x:v>
      </x:c>
      <x:c r="S98" s="43" t="str">
        <x:v>Not reviewed</x:v>
      </x:c>
      <x:c r="T98" s="43" t="str">
        <x:v>Hold</x:v>
      </x:c>
      <x:c r="U98" s="43" t="str">
        <x:v>No</x:v>
      </x:c>
      <x:c r="V98" s="44"/>
      <x:c r="W98" s="43" t="str"/>
      <x:c r="X98" s="43" t="str"/>
      <x:c r="Y98" s="43" t="str"/>
      <x:c r="Z98" s="43" t="str">
        <x:v>https://www.get-information-schools.service.gov.uk/Downloads</x:v>
      </x:c>
    </x:row>
    <x:row r="99">
      <x:c r="A99" s="43" t="str">
        <x:v>UK independent</x:v>
      </x:c>
      <x:c r="B99" s="43" t="str">
        <x:v>110914</x:v>
      </x:c>
      <x:c r="C99" s="43" t="n">
        <x:f>IF(K99="Boarding school",30,0)+IF(J99&gt;=18,20,0)+IF(I99&lt;=11,10,0)+IF(L99="Has a sixth form",15,0)+IF(M99&gt;=200,10,0)+IF(N99&lt;&gt;"",10,0)</x:f>
        <x:v>95</x:v>
      </x:c>
      <x:c r="D99" s="43" t="str">
        <x:f>IF(C99&gt;=85,"A",IF(C99&gt;=65,"B","C"))</x:f>
        <x:v>A</x:v>
      </x:c>
      <x:c r="E99" s="43" t="str">
        <x:v>The Leys School</x:v>
      </x:c>
      <x:c r="F99" s="43" t="str">
        <x:v>Cambridge</x:v>
      </x:c>
      <x:c r="G99" s="43" t="str">
        <x:v>Cambridgeshire</x:v>
      </x:c>
      <x:c r="H99" s="43" t="str">
        <x:v>CB2 7AD</x:v>
      </x:c>
      <x:c r="I99" s="43" t="n">
        <x:v>11</x:v>
      </x:c>
      <x:c r="J99" s="43" t="n">
        <x:v>19</x:v>
      </x:c>
      <x:c r="K99" s="43" t="str">
        <x:v>Boarding school</x:v>
      </x:c>
      <x:c r="L99" s="43" t="str">
        <x:v>Has a sixth form</x:v>
      </x:c>
      <x:c r="M99" s="43" t="n">
        <x:v>564</x:v>
      </x:c>
      <x:c r="N99" s="43" t="str">
        <x:v>https://www.theleys.net</x:v>
      </x:c>
      <x:c r="O99" s="43" t="str">
        <x:v>01223508900</x:v>
      </x:c>
      <x:c r="P99" s="43" t="str"/>
      <x:c r="Q99" s="43" t="str"/>
      <x:c r="R99" s="43" t="str">
        <x:v>Queued for contact research</x:v>
      </x:c>
      <x:c r="S99" s="43" t="str">
        <x:v>Not reviewed</x:v>
      </x:c>
      <x:c r="T99" s="43" t="str">
        <x:v>Hold</x:v>
      </x:c>
      <x:c r="U99" s="43" t="str">
        <x:v>No</x:v>
      </x:c>
      <x:c r="V99" s="44"/>
      <x:c r="W99" s="43" t="str"/>
      <x:c r="X99" s="43" t="str"/>
      <x:c r="Y99" s="43" t="str"/>
      <x:c r="Z99" s="43" t="str">
        <x:v>https://www.get-information-schools.service.gov.uk/Downloads</x:v>
      </x:c>
    </x:row>
    <x:row r="100">
      <x:c r="A100" s="43" t="str">
        <x:v>UK independent</x:v>
      </x:c>
      <x:c r="B100" s="43" t="str">
        <x:v>110926</x:v>
      </x:c>
      <x:c r="C100" s="43" t="n">
        <x:f>IF(K100="Boarding school",30,0)+IF(J100&gt;=18,20,0)+IF(I100&lt;=11,10,0)+IF(L100="Has a sixth form",15,0)+IF(M100&gt;=200,10,0)+IF(N100&lt;&gt;"",10,0)</x:f>
        <x:v>95</x:v>
      </x:c>
      <x:c r="D100" s="43" t="str">
        <x:f>IF(C100&gt;=85,"A",IF(C100&gt;=65,"B","C"))</x:f>
        <x:v>A</x:v>
      </x:c>
      <x:c r="E100" s="43" t="str">
        <x:v>Wisbech Grammar School</x:v>
      </x:c>
      <x:c r="F100" s="43" t="str">
        <x:v>Cambridgeshire</x:v>
      </x:c>
      <x:c r="G100" s="43" t="str"/>
      <x:c r="H100" s="43" t="str">
        <x:v>PE13 1RH</x:v>
      </x:c>
      <x:c r="I100" s="43" t="n">
        <x:v>2</x:v>
      </x:c>
      <x:c r="J100" s="43" t="n">
        <x:v>19</x:v>
      </x:c>
      <x:c r="K100" s="43" t="str">
        <x:v>Boarding school</x:v>
      </x:c>
      <x:c r="L100" s="43" t="str">
        <x:v>Has a sixth form</x:v>
      </x:c>
      <x:c r="M100" s="43" t="n">
        <x:v>562</x:v>
      </x:c>
      <x:c r="N100" s="43" t="str">
        <x:v>https://wisbechgrammar.com</x:v>
      </x:c>
      <x:c r="O100" s="43" t="str">
        <x:v>01945583631</x:v>
      </x:c>
      <x:c r="P100" s="43" t="str"/>
      <x:c r="Q100" s="43" t="str"/>
      <x:c r="R100" s="43" t="str">
        <x:v>Queued for contact research</x:v>
      </x:c>
      <x:c r="S100" s="43" t="str">
        <x:v>Not reviewed</x:v>
      </x:c>
      <x:c r="T100" s="43" t="str">
        <x:v>Hold</x:v>
      </x:c>
      <x:c r="U100" s="43" t="str">
        <x:v>No</x:v>
      </x:c>
      <x:c r="V100" s="44"/>
      <x:c r="W100" s="43" t="str"/>
      <x:c r="X100" s="43" t="str"/>
      <x:c r="Y100" s="43" t="str"/>
      <x:c r="Z100" s="43" t="str">
        <x:v>https://www.get-information-schools.service.gov.uk/Downloads</x:v>
      </x:c>
    </x:row>
    <x:row r="101">
      <x:c r="A101" s="43" t="str">
        <x:v>UK independent</x:v>
      </x:c>
      <x:c r="B101" s="43" t="str">
        <x:v>113573</x:v>
      </x:c>
      <x:c r="C101" s="43" t="n">
        <x:f>IF(K101="Boarding school",30,0)+IF(J101&gt;=18,20,0)+IF(I101&lt;=11,10,0)+IF(L101="Has a sixth form",15,0)+IF(M101&gt;=200,10,0)+IF(N101&lt;&gt;"",10,0)</x:f>
        <x:v>95</x:v>
      </x:c>
      <x:c r="D101" s="43" t="str">
        <x:f>IF(C101&gt;=85,"A",IF(C101&gt;=65,"B","C"))</x:f>
        <x:v>A</x:v>
      </x:c>
      <x:c r="E101" s="43" t="str">
        <x:v>Mount Kelly</x:v>
      </x:c>
      <x:c r="F101" s="43" t="str">
        <x:v>Tavistock</x:v>
      </x:c>
      <x:c r="G101" s="43" t="str">
        <x:v>Devon</x:v>
      </x:c>
      <x:c r="H101" s="43" t="str">
        <x:v>PL19 0HZ</x:v>
      </x:c>
      <x:c r="I101" s="43" t="n">
        <x:v>4</x:v>
      </x:c>
      <x:c r="J101" s="43" t="n">
        <x:v>18</x:v>
      </x:c>
      <x:c r="K101" s="43" t="str">
        <x:v>Boarding school</x:v>
      </x:c>
      <x:c r="L101" s="43" t="str">
        <x:v>Has a sixth form</x:v>
      </x:c>
      <x:c r="M101" s="43" t="n">
        <x:v>561</x:v>
      </x:c>
      <x:c r="N101" s="43" t="str">
        <x:v>https://www.mountkelly.com</x:v>
      </x:c>
      <x:c r="O101" s="43" t="str">
        <x:v>01822813100</x:v>
      </x:c>
      <x:c r="P101" s="43" t="str"/>
      <x:c r="Q101" s="43" t="str"/>
      <x:c r="R101" s="43" t="str">
        <x:v>Queued for contact research</x:v>
      </x:c>
      <x:c r="S101" s="43" t="str">
        <x:v>Not reviewed</x:v>
      </x:c>
      <x:c r="T101" s="43" t="str">
        <x:v>Hold</x:v>
      </x:c>
      <x:c r="U101" s="43" t="str">
        <x:v>No</x:v>
      </x:c>
      <x:c r="V101" s="44"/>
      <x:c r="W101" s="43" t="str"/>
      <x:c r="X101" s="43" t="str"/>
      <x:c r="Y101" s="43" t="str"/>
      <x:c r="Z101" s="43" t="str">
        <x:v>https://www.get-information-schools.service.gov.uk/Downloads</x:v>
      </x:c>
    </x:row>
    <x:row r="102">
      <x:c r="A102" s="43" t="str">
        <x:v>UK independent</x:v>
      </x:c>
      <x:c r="B102" s="43" t="str">
        <x:v>114336</x:v>
      </x:c>
      <x:c r="C102" s="43" t="n">
        <x:f>IF(K102="Boarding school",30,0)+IF(J102&gt;=18,20,0)+IF(I102&lt;=11,10,0)+IF(L102="Has a sixth form",15,0)+IF(M102&gt;=200,10,0)+IF(N102&lt;&gt;"",10,0)</x:f>
        <x:v>95</x:v>
      </x:c>
      <x:c r="D102" s="43" t="str">
        <x:f>IF(C102&gt;=85,"A",IF(C102&gt;=65,"B","C"))</x:f>
        <x:v>A</x:v>
      </x:c>
      <x:c r="E102" s="43" t="str">
        <x:v>Barnard Castle School</x:v>
      </x:c>
      <x:c r="F102" s="43" t="str">
        <x:v>Barnard Castle</x:v>
      </x:c>
      <x:c r="G102" s="43" t="str">
        <x:v>County Durham</x:v>
      </x:c>
      <x:c r="H102" s="43" t="str">
        <x:v>DL12 8UN</x:v>
      </x:c>
      <x:c r="I102" s="43" t="n">
        <x:v>4</x:v>
      </x:c>
      <x:c r="J102" s="43" t="n">
        <x:v>19</x:v>
      </x:c>
      <x:c r="K102" s="43" t="str">
        <x:v>Boarding school</x:v>
      </x:c>
      <x:c r="L102" s="43" t="str">
        <x:v>Has a sixth form</x:v>
      </x:c>
      <x:c r="M102" s="43" t="n">
        <x:v>558</x:v>
      </x:c>
      <x:c r="N102" s="43" t="str">
        <x:v>https://www.barnardcastleschool.org.uk/</x:v>
      </x:c>
      <x:c r="O102" s="43" t="str">
        <x:v>01833690222</x:v>
      </x:c>
      <x:c r="P102" s="43" t="str"/>
      <x:c r="Q102" s="43" t="str"/>
      <x:c r="R102" s="43" t="str">
        <x:v>Queued for contact research</x:v>
      </x:c>
      <x:c r="S102" s="43" t="str">
        <x:v>Not reviewed</x:v>
      </x:c>
      <x:c r="T102" s="43" t="str">
        <x:v>Hold</x:v>
      </x:c>
      <x:c r="U102" s="43" t="str">
        <x:v>No</x:v>
      </x:c>
      <x:c r="V102" s="44"/>
      <x:c r="W102" s="43" t="str"/>
      <x:c r="X102" s="43" t="str"/>
      <x:c r="Y102" s="43" t="str"/>
      <x:c r="Z102" s="43" t="str">
        <x:v>https://www.get-information-schools.service.gov.uk/Downloads</x:v>
      </x:c>
    </x:row>
    <x:row r="103">
      <x:c r="A103" s="43" t="str">
        <x:v>UK independent</x:v>
      </x:c>
      <x:c r="B103" s="43" t="str">
        <x:v>125338</x:v>
      </x:c>
      <x:c r="C103" s="43" t="n">
        <x:f>IF(K103="Boarding school",30,0)+IF(J103&gt;=18,20,0)+IF(I103&lt;=11,10,0)+IF(L103="Has a sixth form",15,0)+IF(M103&gt;=200,10,0)+IF(N103&lt;&gt;"",10,0)</x:f>
        <x:v>95</x:v>
      </x:c>
      <x:c r="D103" s="43" t="str">
        <x:f>IF(C103&gt;=85,"A",IF(C103&gt;=65,"B","C"))</x:f>
        <x:v>A</x:v>
      </x:c>
      <x:c r="E103" s="43" t="str">
        <x:v>Frensham Heights School</x:v>
      </x:c>
      <x:c r="F103" s="43" t="str">
        <x:v>Farnham</x:v>
      </x:c>
      <x:c r="G103" s="43" t="str">
        <x:v>Surrey</x:v>
      </x:c>
      <x:c r="H103" s="43" t="str">
        <x:v>GU10 4EA</x:v>
      </x:c>
      <x:c r="I103" s="43" t="n">
        <x:v>3</x:v>
      </x:c>
      <x:c r="J103" s="43" t="n">
        <x:v>18</x:v>
      </x:c>
      <x:c r="K103" s="43" t="str">
        <x:v>Boarding school</x:v>
      </x:c>
      <x:c r="L103" s="43" t="str">
        <x:v>Has a sixth form</x:v>
      </x:c>
      <x:c r="M103" s="43" t="n">
        <x:v>528</x:v>
      </x:c>
      <x:c r="N103" s="43" t="str">
        <x:v>https://www.frensham.org</x:v>
      </x:c>
      <x:c r="O103" s="43" t="str">
        <x:v>01252792561</x:v>
      </x:c>
      <x:c r="P103" s="43" t="str"/>
      <x:c r="Q103" s="43" t="str"/>
      <x:c r="R103" s="43" t="str">
        <x:v>Queued for contact research</x:v>
      </x:c>
      <x:c r="S103" s="43" t="str">
        <x:v>Not reviewed</x:v>
      </x:c>
      <x:c r="T103" s="43" t="str">
        <x:v>Hold</x:v>
      </x:c>
      <x:c r="U103" s="43" t="str">
        <x:v>No</x:v>
      </x:c>
      <x:c r="V103" s="44"/>
      <x:c r="W103" s="43" t="str"/>
      <x:c r="X103" s="43" t="str"/>
      <x:c r="Y103" s="43" t="str"/>
      <x:c r="Z103" s="43" t="str">
        <x:v>https://www.get-information-schools.service.gov.uk/Downloads</x:v>
      </x:c>
    </x:row>
    <x:row r="104">
      <x:c r="A104" s="43" t="str">
        <x:v>UK independent</x:v>
      </x:c>
      <x:c r="B104" s="43" t="str">
        <x:v>125369</x:v>
      </x:c>
      <x:c r="C104" s="43" t="n">
        <x:f>IF(K104="Boarding school",30,0)+IF(J104&gt;=18,20,0)+IF(I104&lt;=11,10,0)+IF(L104="Has a sixth form",15,0)+IF(M104&gt;=200,10,0)+IF(N104&lt;&gt;"",10,0)</x:f>
        <x:v>95</x:v>
      </x:c>
      <x:c r="D104" s="43" t="str">
        <x:f>IF(C104&gt;=85,"A",IF(C104&gt;=65,"B","C"))</x:f>
        <x:v>A</x:v>
      </x:c>
      <x:c r="E104" s="43" t="str">
        <x:v>Woldingham School</x:v>
      </x:c>
      <x:c r="F104" s="43" t="str">
        <x:v>Caterham</x:v>
      </x:c>
      <x:c r="G104" s="43" t="str">
        <x:v>Surrey</x:v>
      </x:c>
      <x:c r="H104" s="43" t="str">
        <x:v>CR3 7YA</x:v>
      </x:c>
      <x:c r="I104" s="43" t="n">
        <x:v>10</x:v>
      </x:c>
      <x:c r="J104" s="43" t="n">
        <x:v>19</x:v>
      </x:c>
      <x:c r="K104" s="43" t="str">
        <x:v>Boarding school</x:v>
      </x:c>
      <x:c r="L104" s="43" t="str">
        <x:v>Has a sixth form</x:v>
      </x:c>
      <x:c r="M104" s="43" t="n">
        <x:v>528</x:v>
      </x:c>
      <x:c r="N104" s="43" t="str">
        <x:v>https://www.woldinghamschool.co.uk</x:v>
      </x:c>
      <x:c r="O104" s="43" t="str">
        <x:v>01883349431</x:v>
      </x:c>
      <x:c r="P104" s="43" t="str"/>
      <x:c r="Q104" s="43" t="str"/>
      <x:c r="R104" s="43" t="str">
        <x:v>Queued for contact research</x:v>
      </x:c>
      <x:c r="S104" s="43" t="str">
        <x:v>Not reviewed</x:v>
      </x:c>
      <x:c r="T104" s="43" t="str">
        <x:v>Hold</x:v>
      </x:c>
      <x:c r="U104" s="43" t="str">
        <x:v>No</x:v>
      </x:c>
      <x:c r="V104" s="44"/>
      <x:c r="W104" s="43" t="str"/>
      <x:c r="X104" s="43" t="str"/>
      <x:c r="Y104" s="43" t="str"/>
      <x:c r="Z104" s="43" t="str">
        <x:v>https://www.get-information-schools.service.gov.uk/Downloads</x:v>
      </x:c>
    </x:row>
    <x:row r="105">
      <x:c r="A105" s="43" t="str">
        <x:v>UK independent</x:v>
      </x:c>
      <x:c r="B105" s="43" t="str">
        <x:v>109347</x:v>
      </x:c>
      <x:c r="C105" s="43" t="n">
        <x:f>IF(K105="Boarding school",30,0)+IF(J105&gt;=18,20,0)+IF(I105&lt;=11,10,0)+IF(L105="Has a sixth form",15,0)+IF(M105&gt;=200,10,0)+IF(N105&lt;&gt;"",10,0)</x:f>
        <x:v>95</x:v>
      </x:c>
      <x:c r="D105" s="43" t="str">
        <x:f>IF(C105&gt;=85,"A",IF(C105&gt;=65,"B","C"))</x:f>
        <x:v>A</x:v>
      </x:c>
      <x:c r="E105" s="43" t="str">
        <x:v>Prior Park College</x:v>
      </x:c>
      <x:c r="F105" s="43" t="str"/>
      <x:c r="G105" s="43" t="str"/>
      <x:c r="H105" s="43" t="str">
        <x:v>BA2 5AH</x:v>
      </x:c>
      <x:c r="I105" s="43" t="n">
        <x:v>11</x:v>
      </x:c>
      <x:c r="J105" s="43" t="n">
        <x:v>19</x:v>
      </x:c>
      <x:c r="K105" s="43" t="str">
        <x:v>Boarding school</x:v>
      </x:c>
      <x:c r="L105" s="43" t="str">
        <x:v>Has a sixth form</x:v>
      </x:c>
      <x:c r="M105" s="43" t="n">
        <x:v>526</x:v>
      </x:c>
      <x:c r="N105" s="43" t="str">
        <x:v>https://www.priorparkschools.com</x:v>
      </x:c>
      <x:c r="O105" s="43" t="str">
        <x:v>01225835353</x:v>
      </x:c>
      <x:c r="P105" s="43" t="str"/>
      <x:c r="Q105" s="43" t="str"/>
      <x:c r="R105" s="43" t="str">
        <x:v>Queued for contact research</x:v>
      </x:c>
      <x:c r="S105" s="43" t="str">
        <x:v>Not reviewed</x:v>
      </x:c>
      <x:c r="T105" s="43" t="str">
        <x:v>Hold</x:v>
      </x:c>
      <x:c r="U105" s="43" t="str">
        <x:v>No</x:v>
      </x:c>
      <x:c r="V105" s="44"/>
      <x:c r="W105" s="43" t="str"/>
      <x:c r="X105" s="43" t="str"/>
      <x:c r="Y105" s="43" t="str"/>
      <x:c r="Z105" s="43" t="str">
        <x:v>https://www.get-information-schools.service.gov.uk/Downloads</x:v>
      </x:c>
    </x:row>
    <x:row r="106">
      <x:c r="A106" s="43" t="str">
        <x:v>UK independent</x:v>
      </x:c>
      <x:c r="B106" s="43" t="str">
        <x:v>109337</x:v>
      </x:c>
      <x:c r="C106" s="43" t="n">
        <x:f>IF(K106="Boarding school",30,0)+IF(J106&gt;=18,20,0)+IF(I106&lt;=11,10,0)+IF(L106="Has a sixth form",15,0)+IF(M106&gt;=200,10,0)+IF(N106&lt;&gt;"",10,0)</x:f>
        <x:v>95</x:v>
      </x:c>
      <x:c r="D106" s="43" t="str">
        <x:f>IF(C106&gt;=85,"A",IF(C106&gt;=65,"B","C"))</x:f>
        <x:v>A</x:v>
      </x:c>
      <x:c r="E106" s="43" t="str">
        <x:v>Badminton School</x:v>
      </x:c>
      <x:c r="F106" s="43" t="str">
        <x:v>Bristol</x:v>
      </x:c>
      <x:c r="G106" s="43" t="str"/>
      <x:c r="H106" s="43" t="str">
        <x:v>BS9 3BA</x:v>
      </x:c>
      <x:c r="I106" s="43" t="n">
        <x:v>3</x:v>
      </x:c>
      <x:c r="J106" s="43" t="n">
        <x:v>19</x:v>
      </x:c>
      <x:c r="K106" s="43" t="str">
        <x:v>Boarding school</x:v>
      </x:c>
      <x:c r="L106" s="43" t="str">
        <x:v>Has a sixth form</x:v>
      </x:c>
      <x:c r="M106" s="43" t="n">
        <x:v>525</x:v>
      </x:c>
      <x:c r="N106" s="43" t="str">
        <x:v>https://www.badmintonschool.co.uk</x:v>
      </x:c>
      <x:c r="O106" s="43" t="str">
        <x:v>01179055200</x:v>
      </x:c>
      <x:c r="P106" s="43" t="str"/>
      <x:c r="Q106" s="43" t="str"/>
      <x:c r="R106" s="43" t="str">
        <x:v>Queued for contact research</x:v>
      </x:c>
      <x:c r="S106" s="43" t="str">
        <x:v>Not reviewed</x:v>
      </x:c>
      <x:c r="T106" s="43" t="str">
        <x:v>Hold</x:v>
      </x:c>
      <x:c r="U106" s="43" t="str">
        <x:v>No</x:v>
      </x:c>
      <x:c r="V106" s="44"/>
      <x:c r="W106" s="43" t="str"/>
      <x:c r="X106" s="43" t="str"/>
      <x:c r="Y106" s="43" t="str"/>
      <x:c r="Z106" s="43" t="str">
        <x:v>https://www.get-information-schools.service.gov.uk/Downloads</x:v>
      </x:c>
    </x:row>
    <x:row r="107">
      <x:c r="A107" s="43" t="str">
        <x:v>UK independent</x:v>
      </x:c>
      <x:c r="B107" s="43" t="str">
        <x:v>118998</x:v>
      </x:c>
      <x:c r="C107" s="43" t="n">
        <x:f>IF(K107="Boarding school",30,0)+IF(J107&gt;=18,20,0)+IF(I107&lt;=11,10,0)+IF(L107="Has a sixth form",15,0)+IF(M107&gt;=200,10,0)+IF(N107&lt;&gt;"",10,0)</x:f>
        <x:v>95</x:v>
      </x:c>
      <x:c r="D107" s="43" t="str">
        <x:f>IF(C107&gt;=85,"A",IF(C107&gt;=65,"B","C"))</x:f>
        <x:v>A</x:v>
      </x:c>
      <x:c r="E107" s="43" t="str">
        <x:v>St Edmund's School Canterbury</x:v>
      </x:c>
      <x:c r="F107" s="43" t="str">
        <x:v>Canterbury</x:v>
      </x:c>
      <x:c r="G107" s="43" t="str">
        <x:v>Kent</x:v>
      </x:c>
      <x:c r="H107" s="43" t="str">
        <x:v>CT2 8HU</x:v>
      </x:c>
      <x:c r="I107" s="43" t="n">
        <x:v>3</x:v>
      </x:c>
      <x:c r="J107" s="43" t="n">
        <x:v>19</x:v>
      </x:c>
      <x:c r="K107" s="43" t="str">
        <x:v>Boarding school</x:v>
      </x:c>
      <x:c r="L107" s="43" t="str">
        <x:v>Has a sixth form</x:v>
      </x:c>
      <x:c r="M107" s="43" t="n">
        <x:v>523</x:v>
      </x:c>
      <x:c r="N107" s="43" t="str">
        <x:v>http://www.stedmunds.org.uk/</x:v>
      </x:c>
      <x:c r="O107" s="43" t="str">
        <x:v>01227475600</x:v>
      </x:c>
      <x:c r="P107" s="43" t="str"/>
      <x:c r="Q107" s="43" t="str"/>
      <x:c r="R107" s="43" t="str">
        <x:v>Queued for contact research</x:v>
      </x:c>
      <x:c r="S107" s="43" t="str">
        <x:v>Not reviewed</x:v>
      </x:c>
      <x:c r="T107" s="43" t="str">
        <x:v>Hold</x:v>
      </x:c>
      <x:c r="U107" s="43" t="str">
        <x:v>No</x:v>
      </x:c>
      <x:c r="V107" s="44"/>
      <x:c r="W107" s="43" t="str"/>
      <x:c r="X107" s="43" t="str"/>
      <x:c r="Y107" s="43" t="str"/>
      <x:c r="Z107" s="43" t="str">
        <x:v>https://www.get-information-schools.service.gov.uk/Downloads</x:v>
      </x:c>
    </x:row>
    <x:row r="108">
      <x:c r="A108" s="43" t="str">
        <x:v>UK independent</x:v>
      </x:c>
      <x:c r="B108" s="43" t="str">
        <x:v>124884</x:v>
      </x:c>
      <x:c r="C108" s="43" t="n">
        <x:f>IF(K108="Boarding school",30,0)+IF(J108&gt;=18,20,0)+IF(I108&lt;=11,10,0)+IF(L108="Has a sixth form",15,0)+IF(M108&gt;=200,10,0)+IF(N108&lt;&gt;"",10,0)</x:f>
        <x:v>95</x:v>
      </x:c>
      <x:c r="D108" s="43" t="str">
        <x:f>IF(C108&gt;=85,"A",IF(C108&gt;=65,"B","C"))</x:f>
        <x:v>A</x:v>
      </x:c>
      <x:c r="E108" s="43" t="str">
        <x:v>Framlingham College</x:v>
      </x:c>
      <x:c r="F108" s="43" t="str">
        <x:v>Woodbridge</x:v>
      </x:c>
      <x:c r="G108" s="43" t="str">
        <x:v>Suffolk</x:v>
      </x:c>
      <x:c r="H108" s="43" t="str">
        <x:v>IP13 9EY</x:v>
      </x:c>
      <x:c r="I108" s="43" t="n">
        <x:v>2</x:v>
      </x:c>
      <x:c r="J108" s="43" t="n">
        <x:v>18</x:v>
      </x:c>
      <x:c r="K108" s="43" t="str">
        <x:v>Boarding school</x:v>
      </x:c>
      <x:c r="L108" s="43" t="str">
        <x:v>Has a sixth form</x:v>
      </x:c>
      <x:c r="M108" s="43" t="n">
        <x:v>519</x:v>
      </x:c>
      <x:c r="N108" s="43" t="str">
        <x:v>https://www.framlinghamcollege.co.uk/</x:v>
      </x:c>
      <x:c r="O108" s="43" t="str">
        <x:v>01728723789</x:v>
      </x:c>
      <x:c r="P108" s="43" t="str"/>
      <x:c r="Q108" s="43" t="str"/>
      <x:c r="R108" s="43" t="str">
        <x:v>Queued for contact research</x:v>
      </x:c>
      <x:c r="S108" s="43" t="str">
        <x:v>Not reviewed</x:v>
      </x:c>
      <x:c r="T108" s="43" t="str">
        <x:v>Hold</x:v>
      </x:c>
      <x:c r="U108" s="43" t="str">
        <x:v>No</x:v>
      </x:c>
      <x:c r="V108" s="44"/>
      <x:c r="W108" s="43" t="str"/>
      <x:c r="X108" s="43" t="str"/>
      <x:c r="Y108" s="43" t="str"/>
      <x:c r="Z108" s="43" t="str">
        <x:v>https://www.get-information-schools.service.gov.uk/Downloads</x:v>
      </x:c>
    </x:row>
    <x:row r="109">
      <x:c r="A109" s="43" t="str">
        <x:v>UK independent</x:v>
      </x:c>
      <x:c r="B109" s="43" t="str">
        <x:v>114616</x:v>
      </x:c>
      <x:c r="C109" s="43" t="n">
        <x:f>IF(K109="Boarding school",30,0)+IF(J109&gt;=18,20,0)+IF(I109&lt;=11,10,0)+IF(L109="Has a sixth form",15,0)+IF(M109&gt;=200,10,0)+IF(N109&lt;&gt;"",10,0)</x:f>
        <x:v>95</x:v>
      </x:c>
      <x:c r="D109" s="43" t="str">
        <x:f>IF(C109&gt;=85,"A",IF(C109&gt;=65,"B","C"))</x:f>
        <x:v>A</x:v>
      </x:c>
      <x:c r="E109" s="43" t="str">
        <x:v>Roedean School</x:v>
      </x:c>
      <x:c r="F109" s="43" t="str">
        <x:v>Brighton</x:v>
      </x:c>
      <x:c r="G109" s="43" t="str">
        <x:v>East Sussex</x:v>
      </x:c>
      <x:c r="H109" s="43" t="str">
        <x:v>BN2 5RQ</x:v>
      </x:c>
      <x:c r="I109" s="43" t="n">
        <x:v>11</x:v>
      </x:c>
      <x:c r="J109" s="43" t="n">
        <x:v>18</x:v>
      </x:c>
      <x:c r="K109" s="43" t="str">
        <x:v>Boarding school</x:v>
      </x:c>
      <x:c r="L109" s="43" t="str">
        <x:v>Has a sixth form</x:v>
      </x:c>
      <x:c r="M109" s="43" t="n">
        <x:v>519</x:v>
      </x:c>
      <x:c r="N109" s="43" t="str">
        <x:v>http://www.roedean.co.uk</x:v>
      </x:c>
      <x:c r="O109" s="43" t="str">
        <x:v>01273667500</x:v>
      </x:c>
      <x:c r="P109" s="43" t="str"/>
      <x:c r="Q109" s="43" t="str"/>
      <x:c r="R109" s="43" t="str">
        <x:v>Queued for contact research</x:v>
      </x:c>
      <x:c r="S109" s="43" t="str">
        <x:v>Not reviewed</x:v>
      </x:c>
      <x:c r="T109" s="43" t="str">
        <x:v>Hold</x:v>
      </x:c>
      <x:c r="U109" s="43" t="str">
        <x:v>No</x:v>
      </x:c>
      <x:c r="V109" s="44"/>
      <x:c r="W109" s="43" t="str"/>
      <x:c r="X109" s="43" t="str"/>
      <x:c r="Y109" s="43" t="str"/>
      <x:c r="Z109" s="43" t="str">
        <x:v>https://www.get-information-schools.service.gov.uk/Downloads</x:v>
      </x:c>
    </x:row>
    <x:row r="110">
      <x:c r="A110" s="43" t="str">
        <x:v>UK independent</x:v>
      </x:c>
      <x:c r="B110" s="43" t="str">
        <x:v>124888</x:v>
      </x:c>
      <x:c r="C110" s="43" t="n">
        <x:f>IF(K110="Boarding school",30,0)+IF(J110&gt;=18,20,0)+IF(I110&lt;=11,10,0)+IF(L110="Has a sixth form",15,0)+IF(M110&gt;=200,10,0)+IF(N110&lt;&gt;"",10,0)</x:f>
        <x:v>95</x:v>
      </x:c>
      <x:c r="D110" s="43" t="str">
        <x:f>IF(C110&gt;=85,"A",IF(C110&gt;=65,"B","C"))</x:f>
        <x:v>A</x:v>
      </x:c>
      <x:c r="E110" s="43" t="str">
        <x:v>Ipswich High School</x:v>
      </x:c>
      <x:c r="F110" s="43" t="str"/>
      <x:c r="G110" s="43" t="str"/>
      <x:c r="H110" s="43" t="str">
        <x:v>IP9 1AZ</x:v>
      </x:c>
      <x:c r="I110" s="43" t="n">
        <x:v>3</x:v>
      </x:c>
      <x:c r="J110" s="43" t="n">
        <x:v>19</x:v>
      </x:c>
      <x:c r="K110" s="43" t="str">
        <x:v>Boarding school</x:v>
      </x:c>
      <x:c r="L110" s="43" t="str">
        <x:v>Has a sixth form</x:v>
      </x:c>
      <x:c r="M110" s="43" t="n">
        <x:v>514</x:v>
      </x:c>
      <x:c r="N110" s="43" t="str">
        <x:v>https://www.ipswichhighschool.co.uk</x:v>
      </x:c>
      <x:c r="O110" s="43" t="str">
        <x:v>01473780201</x:v>
      </x:c>
      <x:c r="P110" s="43" t="str"/>
      <x:c r="Q110" s="43" t="str"/>
      <x:c r="R110" s="43" t="str">
        <x:v>Queued for contact research</x:v>
      </x:c>
      <x:c r="S110" s="43" t="str">
        <x:v>Not reviewed</x:v>
      </x:c>
      <x:c r="T110" s="43" t="str">
        <x:v>Hold</x:v>
      </x:c>
      <x:c r="U110" s="43" t="str">
        <x:v>No</x:v>
      </x:c>
      <x:c r="V110" s="44"/>
      <x:c r="W110" s="43" t="str"/>
      <x:c r="X110" s="43" t="str"/>
      <x:c r="Y110" s="43" t="str"/>
      <x:c r="Z110" s="43" t="str">
        <x:v>https://www.get-information-schools.service.gov.uk/Downloads</x:v>
      </x:c>
    </x:row>
    <x:row r="111">
      <x:c r="A111" s="43" t="str">
        <x:v>UK independent</x:v>
      </x:c>
      <x:c r="B111" s="43" t="str">
        <x:v>110912</x:v>
      </x:c>
      <x:c r="C111" s="43" t="n">
        <x:f>IF(K111="Boarding school",30,0)+IF(J111&gt;=18,20,0)+IF(I111&lt;=11,10,0)+IF(L111="Has a sixth form",15,0)+IF(M111&gt;=200,10,0)+IF(N111&lt;&gt;"",10,0)</x:f>
        <x:v>95</x:v>
      </x:c>
      <x:c r="D111" s="43" t="str">
        <x:f>IF(C111&gt;=85,"A",IF(C111&gt;=65,"B","C"))</x:f>
        <x:v>A</x:v>
      </x:c>
      <x:c r="E111" s="43" t="str">
        <x:v>St Mary's School</x:v>
      </x:c>
      <x:c r="F111" s="43" t="str">
        <x:v>cambridge</x:v>
      </x:c>
      <x:c r="G111" s="43" t="str">
        <x:v>Cambridgeshire</x:v>
      </x:c>
      <x:c r="H111" s="43" t="str">
        <x:v>CB2 1LY</x:v>
      </x:c>
      <x:c r="I111" s="43" t="n">
        <x:v>3</x:v>
      </x:c>
      <x:c r="J111" s="43" t="n">
        <x:v>19</x:v>
      </x:c>
      <x:c r="K111" s="43" t="str">
        <x:v>Boarding school</x:v>
      </x:c>
      <x:c r="L111" s="43" t="str">
        <x:v>Has a sixth form</x:v>
      </x:c>
      <x:c r="M111" s="43" t="n">
        <x:v>510</x:v>
      </x:c>
      <x:c r="N111" s="43" t="str">
        <x:v>https://www.stmaryscambridge.co.uk</x:v>
      </x:c>
      <x:c r="O111" s="43" t="str">
        <x:v>01223353253</x:v>
      </x:c>
      <x:c r="P111" s="43" t="str"/>
      <x:c r="Q111" s="43" t="str"/>
      <x:c r="R111" s="43" t="str">
        <x:v>Queued for contact research</x:v>
      </x:c>
      <x:c r="S111" s="43" t="str">
        <x:v>Not reviewed</x:v>
      </x:c>
      <x:c r="T111" s="43" t="str">
        <x:v>Hold</x:v>
      </x:c>
      <x:c r="U111" s="43" t="str">
        <x:v>No</x:v>
      </x:c>
      <x:c r="V111" s="44"/>
      <x:c r="W111" s="43" t="str"/>
      <x:c r="X111" s="43" t="str"/>
      <x:c r="Y111" s="43" t="str"/>
      <x:c r="Z111" s="43" t="str">
        <x:v>https://www.get-information-schools.service.gov.uk/Downloads</x:v>
      </x:c>
    </x:row>
    <x:row r="112">
      <x:c r="A112" s="43" t="str">
        <x:v>UK independent</x:v>
      </x:c>
      <x:c r="B112" s="43" t="str">
        <x:v>113579</x:v>
      </x:c>
      <x:c r="C112" s="43" t="n">
        <x:f>IF(K112="Boarding school",30,0)+IF(J112&gt;=18,20,0)+IF(I112&lt;=11,10,0)+IF(L112="Has a sixth form",15,0)+IF(M112&gt;=200,10,0)+IF(N112&lt;&gt;"",10,0)</x:f>
        <x:v>95</x:v>
      </x:c>
      <x:c r="D112" s="43" t="str">
        <x:f>IF(C112&gt;=85,"A",IF(C112&gt;=65,"B","C"))</x:f>
        <x:v>A</x:v>
      </x:c>
      <x:c r="E112" s="43" t="str">
        <x:v>Stover School</x:v>
      </x:c>
      <x:c r="F112" s="43" t="str">
        <x:v>Newton Abbot</x:v>
      </x:c>
      <x:c r="G112" s="43" t="str">
        <x:v>Devon</x:v>
      </x:c>
      <x:c r="H112" s="43" t="str">
        <x:v>TQ12 6QG</x:v>
      </x:c>
      <x:c r="I112" s="43" t="n">
        <x:v>3</x:v>
      </x:c>
      <x:c r="J112" s="43" t="n">
        <x:v>18</x:v>
      </x:c>
      <x:c r="K112" s="43" t="str">
        <x:v>Boarding school</x:v>
      </x:c>
      <x:c r="L112" s="43" t="str">
        <x:v>Has a sixth form</x:v>
      </x:c>
      <x:c r="M112" s="43" t="n">
        <x:v>509</x:v>
      </x:c>
      <x:c r="N112" s="43" t="str">
        <x:v>http://www.stover.co.uk</x:v>
      </x:c>
      <x:c r="O112" s="43" t="str">
        <x:v>01626354505</x:v>
      </x:c>
      <x:c r="P112" s="43" t="str"/>
      <x:c r="Q112" s="43" t="str"/>
      <x:c r="R112" s="43" t="str">
        <x:v>Queued for contact research</x:v>
      </x:c>
      <x:c r="S112" s="43" t="str">
        <x:v>Not reviewed</x:v>
      </x:c>
      <x:c r="T112" s="43" t="str">
        <x:v>Hold</x:v>
      </x:c>
      <x:c r="U112" s="43" t="str">
        <x:v>No</x:v>
      </x:c>
      <x:c r="V112" s="44"/>
      <x:c r="W112" s="43" t="str"/>
      <x:c r="X112" s="43" t="str"/>
      <x:c r="Y112" s="43" t="str"/>
      <x:c r="Z112" s="43" t="str">
        <x:v>https://www.get-information-schools.service.gov.uk/Downloads</x:v>
      </x:c>
    </x:row>
    <x:row r="113">
      <x:c r="A113" s="43" t="str">
        <x:v>UK independent</x:v>
      </x:c>
      <x:c r="B113" s="43" t="str">
        <x:v>119001</x:v>
      </x:c>
      <x:c r="C113" s="43" t="n">
        <x:f>IF(K113="Boarding school",30,0)+IF(J113&gt;=18,20,0)+IF(I113&lt;=11,10,0)+IF(L113="Has a sixth form",15,0)+IF(M113&gt;=200,10,0)+IF(N113&lt;&gt;"",10,0)</x:f>
        <x:v>95</x:v>
      </x:c>
      <x:c r="D113" s="43" t="str">
        <x:f>IF(C113&gt;=85,"A",IF(C113&gt;=65,"B","C"))</x:f>
        <x:v>A</x:v>
      </x:c>
      <x:c r="E113" s="43" t="str">
        <x:v>Kent College (Canterbury)</x:v>
      </x:c>
      <x:c r="F113" s="43" t="str">
        <x:v>Canterbury</x:v>
      </x:c>
      <x:c r="G113" s="43" t="str">
        <x:v>Kent</x:v>
      </x:c>
      <x:c r="H113" s="43" t="str">
        <x:v>CT2 9DT</x:v>
      </x:c>
      <x:c r="I113" s="43" t="n">
        <x:v>11</x:v>
      </x:c>
      <x:c r="J113" s="43" t="n">
        <x:v>19</x:v>
      </x:c>
      <x:c r="K113" s="43" t="str">
        <x:v>Boarding school</x:v>
      </x:c>
      <x:c r="L113" s="43" t="str">
        <x:v>Has a sixth form</x:v>
      </x:c>
      <x:c r="M113" s="43" t="n">
        <x:v>507</x:v>
      </x:c>
      <x:c r="N113" s="43" t="str">
        <x:v>https://www.kentcollege.com</x:v>
      </x:c>
      <x:c r="O113" s="43" t="str">
        <x:v>01227813982</x:v>
      </x:c>
      <x:c r="P113" s="43" t="str"/>
      <x:c r="Q113" s="43" t="str"/>
      <x:c r="R113" s="43" t="str">
        <x:v>Queued for contact research</x:v>
      </x:c>
      <x:c r="S113" s="43" t="str">
        <x:v>Not reviewed</x:v>
      </x:c>
      <x:c r="T113" s="43" t="str">
        <x:v>Hold</x:v>
      </x:c>
      <x:c r="U113" s="43" t="str">
        <x:v>No</x:v>
      </x:c>
      <x:c r="V113" s="44"/>
      <x:c r="W113" s="43" t="str"/>
      <x:c r="X113" s="43" t="str"/>
      <x:c r="Y113" s="43" t="str"/>
      <x:c r="Z113" s="43" t="str">
        <x:v>https://www.get-information-schools.service.gov.uk/Downloads</x:v>
      </x:c>
    </x:row>
    <x:row r="114">
      <x:c r="A114" s="43" t="str">
        <x:v>UK independent</x:v>
      </x:c>
      <x:c r="B114" s="43" t="str">
        <x:v>134769</x:v>
      </x:c>
      <x:c r="C114" s="43" t="n">
        <x:f>IF(K114="Boarding school",30,0)+IF(J114&gt;=18,20,0)+IF(I114&lt;=11,10,0)+IF(L114="Has a sixth form",15,0)+IF(M114&gt;=200,10,0)+IF(N114&lt;&gt;"",10,0)</x:f>
        <x:v>95</x:v>
      </x:c>
      <x:c r="D114" s="43" t="str">
        <x:f>IF(C114&gt;=85,"A",IF(C114&gt;=65,"B","C"))</x:f>
        <x:v>A</x:v>
      </x:c>
      <x:c r="E114" s="43" t="str">
        <x:v>Sherfield School</x:v>
      </x:c>
      <x:c r="F114" s="43" t="str">
        <x:v>Hampshire</x:v>
      </x:c>
      <x:c r="G114" s="43" t="str"/>
      <x:c r="H114" s="43" t="str">
        <x:v>RG27 0HU</x:v>
      </x:c>
      <x:c r="I114" s="43" t="n">
        <x:v>0</x:v>
      </x:c>
      <x:c r="J114" s="43" t="n">
        <x:v>19</x:v>
      </x:c>
      <x:c r="K114" s="43" t="str">
        <x:v>Boarding school</x:v>
      </x:c>
      <x:c r="L114" s="43" t="str">
        <x:v>Has a sixth form</x:v>
      </x:c>
      <x:c r="M114" s="43" t="n">
        <x:v>505</x:v>
      </x:c>
      <x:c r="N114" s="43" t="str">
        <x:v>https://www.sherfieldschool.co.uk</x:v>
      </x:c>
      <x:c r="O114" s="43" t="str">
        <x:v>01256884800</x:v>
      </x:c>
      <x:c r="P114" s="43" t="str"/>
      <x:c r="Q114" s="43" t="str"/>
      <x:c r="R114" s="43" t="str">
        <x:v>Queued for contact research</x:v>
      </x:c>
      <x:c r="S114" s="43" t="str">
        <x:v>Not reviewed</x:v>
      </x:c>
      <x:c r="T114" s="43" t="str">
        <x:v>Hold</x:v>
      </x:c>
      <x:c r="U114" s="43" t="str">
        <x:v>No</x:v>
      </x:c>
      <x:c r="V114" s="44"/>
      <x:c r="W114" s="43" t="str"/>
      <x:c r="X114" s="43" t="str"/>
      <x:c r="Y114" s="43" t="str"/>
      <x:c r="Z114" s="43" t="str">
        <x:v>https://www.get-information-schools.service.gov.uk/Downloads</x:v>
      </x:c>
    </x:row>
    <x:row r="115">
      <x:c r="A115" s="43" t="str">
        <x:v>UK independent</x:v>
      </x:c>
      <x:c r="B115" s="43" t="str">
        <x:v>113606</x:v>
      </x:c>
      <x:c r="C115" s="43" t="n">
        <x:f>IF(K115="Boarding school",30,0)+IF(J115&gt;=18,20,0)+IF(I115&lt;=11,10,0)+IF(L115="Has a sixth form",15,0)+IF(M115&gt;=200,10,0)+IF(N115&lt;&gt;"",10,0)</x:f>
        <x:v>95</x:v>
      </x:c>
      <x:c r="D115" s="43" t="str">
        <x:f>IF(C115&gt;=85,"A",IF(C115&gt;=65,"B","C"))</x:f>
        <x:v>A</x:v>
      </x:c>
      <x:c r="E115" s="43" t="str">
        <x:v>West Buckland School</x:v>
      </x:c>
      <x:c r="F115" s="43" t="str">
        <x:v>Barnstaple</x:v>
      </x:c>
      <x:c r="G115" s="43" t="str"/>
      <x:c r="H115" s="43" t="str">
        <x:v>EX32 0SX</x:v>
      </x:c>
      <x:c r="I115" s="43" t="n">
        <x:v>3</x:v>
      </x:c>
      <x:c r="J115" s="43" t="n">
        <x:v>18</x:v>
      </x:c>
      <x:c r="K115" s="43" t="str">
        <x:v>Boarding school</x:v>
      </x:c>
      <x:c r="L115" s="43" t="str">
        <x:v>Has a sixth form</x:v>
      </x:c>
      <x:c r="M115" s="43" t="n">
        <x:v>499</x:v>
      </x:c>
      <x:c r="N115" s="43" t="str">
        <x:v>http://www.westbuckland.com</x:v>
      </x:c>
      <x:c r="O115" s="43" t="str">
        <x:v>01598760000</x:v>
      </x:c>
      <x:c r="P115" s="43" t="str"/>
      <x:c r="Q115" s="43" t="str"/>
      <x:c r="R115" s="43" t="str">
        <x:v>Queued for contact research</x:v>
      </x:c>
      <x:c r="S115" s="43" t="str">
        <x:v>Not reviewed</x:v>
      </x:c>
      <x:c r="T115" s="43" t="str">
        <x:v>Hold</x:v>
      </x:c>
      <x:c r="U115" s="43" t="str">
        <x:v>No</x:v>
      </x:c>
      <x:c r="V115" s="44"/>
      <x:c r="W115" s="43" t="str"/>
      <x:c r="X115" s="43" t="str"/>
      <x:c r="Y115" s="43" t="str"/>
      <x:c r="Z115" s="43" t="str">
        <x:v>https://www.get-information-schools.service.gov.uk/Downloads</x:v>
      </x:c>
    </x:row>
    <x:row r="116">
      <x:c r="A116" s="43" t="str">
        <x:v>UK independent</x:v>
      </x:c>
      <x:c r="B116" s="43" t="str">
        <x:v>124889</x:v>
      </x:c>
      <x:c r="C116" s="43" t="n">
        <x:f>IF(K116="Boarding school",30,0)+IF(J116&gt;=18,20,0)+IF(I116&lt;=11,10,0)+IF(L116="Has a sixth form",15,0)+IF(M116&gt;=200,10,0)+IF(N116&lt;&gt;"",10,0)</x:f>
        <x:v>95</x:v>
      </x:c>
      <x:c r="D116" s="43" t="str">
        <x:f>IF(C116&gt;=85,"A",IF(C116&gt;=65,"B","C"))</x:f>
        <x:v>A</x:v>
      </x:c>
      <x:c r="E116" s="43" t="str">
        <x:v>Royal Hospital School</x:v>
      </x:c>
      <x:c r="F116" s="43" t="str">
        <x:v>Ipswich</x:v>
      </x:c>
      <x:c r="G116" s="43" t="str">
        <x:v>Suffolk</x:v>
      </x:c>
      <x:c r="H116" s="43" t="str">
        <x:v>IP9 2RX</x:v>
      </x:c>
      <x:c r="I116" s="43" t="n">
        <x:v>11</x:v>
      </x:c>
      <x:c r="J116" s="43" t="n">
        <x:v>18</x:v>
      </x:c>
      <x:c r="K116" s="43" t="str">
        <x:v>Boarding school</x:v>
      </x:c>
      <x:c r="L116" s="43" t="str">
        <x:v>Has a sixth form</x:v>
      </x:c>
      <x:c r="M116" s="43" t="n">
        <x:v>495</x:v>
      </x:c>
      <x:c r="N116" s="43" t="str">
        <x:v>https://www.royalhospitalschool.org</x:v>
      </x:c>
      <x:c r="O116" s="43" t="str">
        <x:v>01473326200</x:v>
      </x:c>
      <x:c r="P116" s="43" t="str"/>
      <x:c r="Q116" s="43" t="str"/>
      <x:c r="R116" s="43" t="str">
        <x:v>Queued for contact research</x:v>
      </x:c>
      <x:c r="S116" s="43" t="str">
        <x:v>Not reviewed</x:v>
      </x:c>
      <x:c r="T116" s="43" t="str">
        <x:v>Hold</x:v>
      </x:c>
      <x:c r="U116" s="43" t="str">
        <x:v>No</x:v>
      </x:c>
      <x:c r="V116" s="44"/>
      <x:c r="W116" s="43" t="str"/>
      <x:c r="X116" s="43" t="str"/>
      <x:c r="Y116" s="43" t="str"/>
      <x:c r="Z116" s="43" t="str">
        <x:v>https://www.get-information-schools.service.gov.uk/Downloads</x:v>
      </x:c>
    </x:row>
    <x:row r="117">
      <x:c r="A117" s="43" t="str">
        <x:v>UK independent</x:v>
      </x:c>
      <x:c r="B117" s="43" t="str">
        <x:v>117612</x:v>
      </x:c>
      <x:c r="C117" s="43" t="n">
        <x:f>IF(K117="Boarding school",30,0)+IF(J117&gt;=18,20,0)+IF(I117&lt;=11,10,0)+IF(L117="Has a sixth form",15,0)+IF(M117&gt;=200,10,0)+IF(N117&lt;&gt;"",10,0)</x:f>
        <x:v>95</x:v>
      </x:c>
      <x:c r="D117" s="43" t="str">
        <x:f>IF(C117&gt;=85,"A",IF(C117&gt;=65,"B","C"))</x:f>
        <x:v>A</x:v>
      </x:c>
      <x:c r="E117" s="43" t="str">
        <x:v>St Christopher School</x:v>
      </x:c>
      <x:c r="F117" s="43" t="str">
        <x:v>Letchworth Garden City</x:v>
      </x:c>
      <x:c r="G117" s="43" t="str">
        <x:v>Hertfordshire</x:v>
      </x:c>
      <x:c r="H117" s="43" t="str">
        <x:v>SG6 3JZ</x:v>
      </x:c>
      <x:c r="I117" s="43" t="n">
        <x:v>2</x:v>
      </x:c>
      <x:c r="J117" s="43" t="n">
        <x:v>18</x:v>
      </x:c>
      <x:c r="K117" s="43" t="str">
        <x:v>Boarding school</x:v>
      </x:c>
      <x:c r="L117" s="43" t="str">
        <x:v>Has a sixth form</x:v>
      </x:c>
      <x:c r="M117" s="43" t="n">
        <x:v>492</x:v>
      </x:c>
      <x:c r="N117" s="43" t="str">
        <x:v>https://www.stchris.co.uk</x:v>
      </x:c>
      <x:c r="O117" s="43" t="str">
        <x:v>01462650850</x:v>
      </x:c>
      <x:c r="P117" s="43" t="str"/>
      <x:c r="Q117" s="43" t="str"/>
      <x:c r="R117" s="43" t="str">
        <x:v>Queued for contact research</x:v>
      </x:c>
      <x:c r="S117" s="43" t="str">
        <x:v>Not reviewed</x:v>
      </x:c>
      <x:c r="T117" s="43" t="str">
        <x:v>Hold</x:v>
      </x:c>
      <x:c r="U117" s="43" t="str">
        <x:v>No</x:v>
      </x:c>
      <x:c r="V117" s="44"/>
      <x:c r="W117" s="43" t="str"/>
      <x:c r="X117" s="43" t="str"/>
      <x:c r="Y117" s="43" t="str"/>
      <x:c r="Z117" s="43" t="str">
        <x:v>https://www.get-information-schools.service.gov.uk/Downloads</x:v>
      </x:c>
    </x:row>
    <x:row r="118">
      <x:c r="A118" s="43" t="str">
        <x:v>UK independent</x:v>
      </x:c>
      <x:c r="B118" s="43" t="str">
        <x:v>113609</x:v>
      </x:c>
      <x:c r="C118" s="43" t="n">
        <x:f>IF(K118="Boarding school",30,0)+IF(J118&gt;=18,20,0)+IF(I118&lt;=11,10,0)+IF(L118="Has a sixth form",15,0)+IF(M118&gt;=200,10,0)+IF(N118&lt;&gt;"",10,0)</x:f>
        <x:v>95</x:v>
      </x:c>
      <x:c r="D118" s="43" t="str">
        <x:f>IF(C118&gt;=85,"A",IF(C118&gt;=65,"B","C"))</x:f>
        <x:v>A</x:v>
      </x:c>
      <x:c r="E118" s="43" t="str">
        <x:v>Plymouth College</x:v>
      </x:c>
      <x:c r="F118" s="43" t="str"/>
      <x:c r="G118" s="43" t="str"/>
      <x:c r="H118" s="43" t="str">
        <x:v>PL4 6RN</x:v>
      </x:c>
      <x:c r="I118" s="43" t="n">
        <x:v>2</x:v>
      </x:c>
      <x:c r="J118" s="43" t="n">
        <x:v>19</x:v>
      </x:c>
      <x:c r="K118" s="43" t="str">
        <x:v>Boarding school</x:v>
      </x:c>
      <x:c r="L118" s="43" t="str">
        <x:v>Has a sixth form</x:v>
      </x:c>
      <x:c r="M118" s="43" t="n">
        <x:v>487</x:v>
      </x:c>
      <x:c r="N118" s="43" t="str">
        <x:v>https://www.plymouthcollege.com</x:v>
      </x:c>
      <x:c r="O118" s="43" t="str">
        <x:v>01752505100</x:v>
      </x:c>
      <x:c r="P118" s="43" t="str"/>
      <x:c r="Q118" s="43" t="str"/>
      <x:c r="R118" s="43" t="str">
        <x:v>Queued for contact research</x:v>
      </x:c>
      <x:c r="S118" s="43" t="str">
        <x:v>Not reviewed</x:v>
      </x:c>
      <x:c r="T118" s="43" t="str">
        <x:v>Hold</x:v>
      </x:c>
      <x:c r="U118" s="43" t="str">
        <x:v>No</x:v>
      </x:c>
      <x:c r="V118" s="44"/>
      <x:c r="W118" s="43" t="str"/>
      <x:c r="X118" s="43" t="str"/>
      <x:c r="Y118" s="43" t="str"/>
      <x:c r="Z118" s="43" t="str">
        <x:v>https://www.get-information-schools.service.gov.uk/Downloads</x:v>
      </x:c>
    </x:row>
    <x:row r="119">
      <x:c r="A119" s="43" t="str">
        <x:v>UK independent</x:v>
      </x:c>
      <x:c r="B119" s="43" t="str">
        <x:v>109348</x:v>
      </x:c>
      <x:c r="C119" s="43" t="n">
        <x:f>IF(K119="Boarding school",30,0)+IF(J119&gt;=18,20,0)+IF(I119&lt;=11,10,0)+IF(L119="Has a sixth form",15,0)+IF(M119&gt;=200,10,0)+IF(N119&lt;&gt;"",10,0)</x:f>
        <x:v>95</x:v>
      </x:c>
      <x:c r="D119" s="43" t="str">
        <x:f>IF(C119&gt;=85,"A",IF(C119&gt;=65,"B","C"))</x:f>
        <x:v>A</x:v>
      </x:c>
      <x:c r="E119" s="43" t="str">
        <x:v>Royal High School GDST</x:v>
      </x:c>
      <x:c r="F119" s="43" t="str"/>
      <x:c r="G119" s="43" t="str"/>
      <x:c r="H119" s="43" t="str">
        <x:v>BA1 5SZ</x:v>
      </x:c>
      <x:c r="I119" s="43" t="n">
        <x:v>3</x:v>
      </x:c>
      <x:c r="J119" s="43" t="n">
        <x:v>19</x:v>
      </x:c>
      <x:c r="K119" s="43" t="str">
        <x:v>Boarding school</x:v>
      </x:c>
      <x:c r="L119" s="43" t="str">
        <x:v>Has a sixth form</x:v>
      </x:c>
      <x:c r="M119" s="43" t="n">
        <x:v>484</x:v>
      </x:c>
      <x:c r="N119" s="43" t="str">
        <x:v>https://www.royalhighbath.gdst.net</x:v>
      </x:c>
      <x:c r="O119" s="43" t="str">
        <x:v>01225313877</x:v>
      </x:c>
      <x:c r="P119" s="43" t="str"/>
      <x:c r="Q119" s="43" t="str"/>
      <x:c r="R119" s="43" t="str">
        <x:v>Queued for contact research</x:v>
      </x:c>
      <x:c r="S119" s="43" t="str">
        <x:v>Not reviewed</x:v>
      </x:c>
      <x:c r="T119" s="43" t="str">
        <x:v>Hold</x:v>
      </x:c>
      <x:c r="U119" s="43" t="str">
        <x:v>No</x:v>
      </x:c>
      <x:c r="V119" s="44"/>
      <x:c r="W119" s="43" t="str"/>
      <x:c r="X119" s="43" t="str"/>
      <x:c r="Y119" s="43" t="str"/>
      <x:c r="Z119" s="43" t="str">
        <x:v>https://www.get-information-schools.service.gov.uk/Downloads</x:v>
      </x:c>
    </x:row>
    <x:row r="120">
      <x:c r="A120" s="43" t="str">
        <x:v>UK independent</x:v>
      </x:c>
      <x:c r="B120" s="43" t="str">
        <x:v>118939</x:v>
      </x:c>
      <x:c r="C120" s="43" t="n">
        <x:f>IF(K120="Boarding school",30,0)+IF(J120&gt;=18,20,0)+IF(I120&lt;=11,10,0)+IF(L120="Has a sixth form",15,0)+IF(M120&gt;=200,10,0)+IF(N120&lt;&gt;"",10,0)</x:f>
        <x:v>95</x:v>
      </x:c>
      <x:c r="D120" s="43" t="str">
        <x:f>IF(C120&gt;=85,"A",IF(C120&gt;=65,"B","C"))</x:f>
        <x:v>A</x:v>
      </x:c>
      <x:c r="E120" s="43" t="str">
        <x:v>Benenden School</x:v>
      </x:c>
      <x:c r="F120" s="43" t="str">
        <x:v>Cranbrook</x:v>
      </x:c>
      <x:c r="G120" s="43" t="str">
        <x:v>Kent</x:v>
      </x:c>
      <x:c r="H120" s="43" t="str">
        <x:v>TN17 4AA</x:v>
      </x:c>
      <x:c r="I120" s="43" t="n">
        <x:v>10</x:v>
      </x:c>
      <x:c r="J120" s="43" t="n">
        <x:v>19</x:v>
      </x:c>
      <x:c r="K120" s="43" t="str">
        <x:v>Boarding school</x:v>
      </x:c>
      <x:c r="L120" s="43" t="str">
        <x:v>Has a sixth form</x:v>
      </x:c>
      <x:c r="M120" s="43" t="n">
        <x:v>480</x:v>
      </x:c>
      <x:c r="N120" s="43" t="str">
        <x:v>http://www.benenden.school</x:v>
      </x:c>
      <x:c r="O120" s="43" t="str">
        <x:v>01580240592</x:v>
      </x:c>
      <x:c r="P120" s="43" t="str"/>
      <x:c r="Q120" s="43" t="str"/>
      <x:c r="R120" s="43" t="str">
        <x:v>Queued for contact research</x:v>
      </x:c>
      <x:c r="S120" s="43" t="str">
        <x:v>Not reviewed</x:v>
      </x:c>
      <x:c r="T120" s="43" t="str">
        <x:v>Hold</x:v>
      </x:c>
      <x:c r="U120" s="43" t="str">
        <x:v>No</x:v>
      </x:c>
      <x:c r="V120" s="44"/>
      <x:c r="W120" s="43" t="str"/>
      <x:c r="X120" s="43" t="str"/>
      <x:c r="Y120" s="43" t="str"/>
      <x:c r="Z120" s="43" t="str">
        <x:v>https://www.get-information-schools.service.gov.uk/Downloads</x:v>
      </x:c>
    </x:row>
    <x:row r="121">
      <x:c r="A121" s="43" t="str">
        <x:v>UK independent</x:v>
      </x:c>
      <x:c r="B121" s="43" t="str">
        <x:v>125402</x:v>
      </x:c>
      <x:c r="C121" s="43" t="n">
        <x:f>IF(K121="Boarding school",30,0)+IF(J121&gt;=18,20,0)+IF(I121&lt;=11,10,0)+IF(L121="Has a sixth form",15,0)+IF(M121&gt;=200,10,0)+IF(N121&lt;&gt;"",10,0)</x:f>
        <x:v>95</x:v>
      </x:c>
      <x:c r="D121" s="43" t="str">
        <x:f>IF(C121&gt;=85,"A",IF(C121&gt;=65,"B","C"))</x:f>
        <x:v>A</x:v>
      </x:c>
      <x:c r="E121" s="43" t="str">
        <x:v>St Teresa's School</x:v>
      </x:c>
      <x:c r="F121" s="43" t="str">
        <x:v>Dorking</x:v>
      </x:c>
      <x:c r="G121" s="43" t="str">
        <x:v>Surrey</x:v>
      </x:c>
      <x:c r="H121" s="43" t="str">
        <x:v>RH5 6ST</x:v>
      </x:c>
      <x:c r="I121" s="43" t="n">
        <x:v>4</x:v>
      </x:c>
      <x:c r="J121" s="43" t="n">
        <x:v>18</x:v>
      </x:c>
      <x:c r="K121" s="43" t="str">
        <x:v>Boarding school</x:v>
      </x:c>
      <x:c r="L121" s="43" t="str">
        <x:v>Has a sixth form</x:v>
      </x:c>
      <x:c r="M121" s="43" t="n">
        <x:v>477</x:v>
      </x:c>
      <x:c r="N121" s="43" t="str">
        <x:v>https://www.st-teresas.com</x:v>
      </x:c>
      <x:c r="O121" s="43" t="str">
        <x:v>01372452037</x:v>
      </x:c>
      <x:c r="P121" s="43" t="str"/>
      <x:c r="Q121" s="43" t="str"/>
      <x:c r="R121" s="43" t="str">
        <x:v>Queued for contact research</x:v>
      </x:c>
      <x:c r="S121" s="43" t="str">
        <x:v>Not reviewed</x:v>
      </x:c>
      <x:c r="T121" s="43" t="str">
        <x:v>Hold</x:v>
      </x:c>
      <x:c r="U121" s="43" t="str">
        <x:v>No</x:v>
      </x:c>
      <x:c r="V121" s="44"/>
      <x:c r="W121" s="43" t="str"/>
      <x:c r="X121" s="43" t="str"/>
      <x:c r="Y121" s="43" t="str"/>
      <x:c r="Z121" s="43" t="str">
        <x:v>https://www.get-information-schools.service.gov.uk/Downloads</x:v>
      </x:c>
    </x:row>
    <x:row r="122">
      <x:c r="A122" s="43" t="str">
        <x:v>UK independent</x:v>
      </x:c>
      <x:c r="B122" s="43" t="str">
        <x:v>114622</x:v>
      </x:c>
      <x:c r="C122" s="43" t="n">
        <x:f>IF(K122="Boarding school",30,0)+IF(J122&gt;=18,20,0)+IF(I122&lt;=11,10,0)+IF(L122="Has a sixth form",15,0)+IF(M122&gt;=200,10,0)+IF(N122&lt;&gt;"",10,0)</x:f>
        <x:v>95</x:v>
      </x:c>
      <x:c r="D122" s="43" t="str">
        <x:f>IF(C122&gt;=85,"A",IF(C122&gt;=65,"B","C"))</x:f>
        <x:v>A</x:v>
      </x:c>
      <x:c r="E122" s="43" t="str">
        <x:v>Battle Abbey School</x:v>
      </x:c>
      <x:c r="F122" s="43" t="str">
        <x:v>East Sussex</x:v>
      </x:c>
      <x:c r="G122" s="43" t="str">
        <x:v>East Sussex</x:v>
      </x:c>
      <x:c r="H122" s="43" t="str">
        <x:v>TN33 0AD</x:v>
      </x:c>
      <x:c r="I122" s="43" t="n">
        <x:v>0</x:v>
      </x:c>
      <x:c r="J122" s="43" t="n">
        <x:v>18</x:v>
      </x:c>
      <x:c r="K122" s="43" t="str">
        <x:v>Boarding school</x:v>
      </x:c>
      <x:c r="L122" s="43" t="str">
        <x:v>Has a sixth form</x:v>
      </x:c>
      <x:c r="M122" s="43" t="n">
        <x:v>459</x:v>
      </x:c>
      <x:c r="N122" s="43" t="str">
        <x:v>http://www.battleabbeyschool.com</x:v>
      </x:c>
      <x:c r="O122" s="43" t="str">
        <x:v>01424772385</x:v>
      </x:c>
      <x:c r="P122" s="43" t="str"/>
      <x:c r="Q122" s="43" t="str"/>
      <x:c r="R122" s="43" t="str">
        <x:v>Queued for contact research</x:v>
      </x:c>
      <x:c r="S122" s="43" t="str">
        <x:v>Not reviewed</x:v>
      </x:c>
      <x:c r="T122" s="43" t="str">
        <x:v>Hold</x:v>
      </x:c>
      <x:c r="U122" s="43" t="str">
        <x:v>No</x:v>
      </x:c>
      <x:c r="V122" s="44"/>
      <x:c r="W122" s="43" t="str"/>
      <x:c r="X122" s="43" t="str"/>
      <x:c r="Y122" s="43" t="str"/>
      <x:c r="Z122" s="43" t="str">
        <x:v>https://www.get-information-schools.service.gov.uk/Downloads</x:v>
      </x:c>
    </x:row>
    <x:row r="123">
      <x:c r="A123" s="43" t="str">
        <x:v>UK independent</x:v>
      </x:c>
      <x:c r="B123" s="43" t="str">
        <x:v>123613</x:v>
      </x:c>
      <x:c r="C123" s="43" t="n">
        <x:f>IF(K123="Boarding school",30,0)+IF(J123&gt;=18,20,0)+IF(I123&lt;=11,10,0)+IF(L123="Has a sixth form",15,0)+IF(M123&gt;=200,10,0)+IF(N123&lt;&gt;"",10,0)</x:f>
        <x:v>95</x:v>
      </x:c>
      <x:c r="D123" s="43" t="str">
        <x:f>IF(C123&gt;=85,"A",IF(C123&gt;=65,"B","C"))</x:f>
        <x:v>A</x:v>
      </x:c>
      <x:c r="E123" s="43" t="str">
        <x:v>Oswestry School</x:v>
      </x:c>
      <x:c r="F123" s="43" t="str">
        <x:v>Oswestry</x:v>
      </x:c>
      <x:c r="G123" s="43" t="str">
        <x:v>Shropshire</x:v>
      </x:c>
      <x:c r="H123" s="43" t="str">
        <x:v>SY11 2TL</x:v>
      </x:c>
      <x:c r="I123" s="43" t="n">
        <x:v>4</x:v>
      </x:c>
      <x:c r="J123" s="43" t="n">
        <x:v>19</x:v>
      </x:c>
      <x:c r="K123" s="43" t="str">
        <x:v>Boarding school</x:v>
      </x:c>
      <x:c r="L123" s="43" t="str">
        <x:v>Has a sixth form</x:v>
      </x:c>
      <x:c r="M123" s="43" t="n">
        <x:v>458</x:v>
      </x:c>
      <x:c r="N123" s="43" t="str">
        <x:v>https://www.oswestryschool.com</x:v>
      </x:c>
      <x:c r="O123" s="43" t="str">
        <x:v>01691655711</x:v>
      </x:c>
      <x:c r="P123" s="43" t="str"/>
      <x:c r="Q123" s="43" t="str"/>
      <x:c r="R123" s="43" t="str">
        <x:v>Queued for contact research</x:v>
      </x:c>
      <x:c r="S123" s="43" t="str">
        <x:v>Not reviewed</x:v>
      </x:c>
      <x:c r="T123" s="43" t="str">
        <x:v>Hold</x:v>
      </x:c>
      <x:c r="U123" s="43" t="str">
        <x:v>No</x:v>
      </x:c>
      <x:c r="V123" s="44"/>
      <x:c r="W123" s="43" t="str"/>
      <x:c r="X123" s="43" t="str"/>
      <x:c r="Y123" s="43" t="str"/>
      <x:c r="Z123" s="43" t="str">
        <x:v>https://www.get-information-schools.service.gov.uk/Downloads</x:v>
      </x:c>
    </x:row>
    <x:row r="124">
      <x:c r="A124" s="43" t="str">
        <x:v>UK independent</x:v>
      </x:c>
      <x:c r="B124" s="43" t="str">
        <x:v>113919</x:v>
      </x:c>
      <x:c r="C124" s="43" t="n">
        <x:f>IF(K124="Boarding school",30,0)+IF(J124&gt;=18,20,0)+IF(I124&lt;=11,10,0)+IF(L124="Has a sixth form",15,0)+IF(M124&gt;=200,10,0)+IF(N124&lt;&gt;"",10,0)</x:f>
        <x:v>95</x:v>
      </x:c>
      <x:c r="D124" s="43" t="str">
        <x:f>IF(C124&gt;=85,"A",IF(C124&gt;=65,"B","C"))</x:f>
        <x:v>A</x:v>
      </x:c>
      <x:c r="E124" s="43" t="str">
        <x:v>Sherborne School for Girls</x:v>
      </x:c>
      <x:c r="F124" s="43" t="str">
        <x:v>Sherborne</x:v>
      </x:c>
      <x:c r="G124" s="43" t="str">
        <x:v>Dorset</x:v>
      </x:c>
      <x:c r="H124" s="43" t="str">
        <x:v>DT9 3QN</x:v>
      </x:c>
      <x:c r="I124" s="43" t="n">
        <x:v>11</x:v>
      </x:c>
      <x:c r="J124" s="43" t="n">
        <x:v>19</x:v>
      </x:c>
      <x:c r="K124" s="43" t="str">
        <x:v>Boarding school</x:v>
      </x:c>
      <x:c r="L124" s="43" t="str">
        <x:v>Has a sixth form</x:v>
      </x:c>
      <x:c r="M124" s="43" t="n">
        <x:v>456</x:v>
      </x:c>
      <x:c r="N124" s="43" t="str">
        <x:v>http://www.sherborne.com</x:v>
      </x:c>
      <x:c r="O124" s="43" t="str">
        <x:v>01935812245</x:v>
      </x:c>
      <x:c r="P124" s="43" t="str"/>
      <x:c r="Q124" s="43" t="str"/>
      <x:c r="R124" s="43" t="str">
        <x:v>Queued for contact research</x:v>
      </x:c>
      <x:c r="S124" s="43" t="str">
        <x:v>Not reviewed</x:v>
      </x:c>
      <x:c r="T124" s="43" t="str">
        <x:v>Hold</x:v>
      </x:c>
      <x:c r="U124" s="43" t="str">
        <x:v>No</x:v>
      </x:c>
      <x:c r="V124" s="44"/>
      <x:c r="W124" s="43" t="str"/>
      <x:c r="X124" s="43" t="str"/>
      <x:c r="Y124" s="43" t="str"/>
      <x:c r="Z124" s="43" t="str">
        <x:v>https://www.get-information-schools.service.gov.uk/Downloads</x:v>
      </x:c>
    </x:row>
    <x:row r="125">
      <x:c r="A125" s="43" t="str">
        <x:v>UK independent</x:v>
      </x:c>
      <x:c r="B125" s="43" t="str">
        <x:v>113604</x:v>
      </x:c>
      <x:c r="C125" s="43" t="n">
        <x:f>IF(K125="Boarding school",30,0)+IF(J125&gt;=18,20,0)+IF(I125&lt;=11,10,0)+IF(L125="Has a sixth form",15,0)+IF(M125&gt;=200,10,0)+IF(N125&lt;&gt;"",10,0)</x:f>
        <x:v>95</x:v>
      </x:c>
      <x:c r="D125" s="43" t="str">
        <x:f>IF(C125&gt;=85,"A",IF(C125&gt;=65,"B","C"))</x:f>
        <x:v>A</x:v>
      </x:c>
      <x:c r="E125" s="43" t="str">
        <x:v>Kingsley School Devon</x:v>
      </x:c>
      <x:c r="F125" s="43" t="str">
        <x:v>Bideford</x:v>
      </x:c>
      <x:c r="G125" s="43" t="str">
        <x:v>Devon</x:v>
      </x:c>
      <x:c r="H125" s="43" t="str">
        <x:v>EX39 3LY</x:v>
      </x:c>
      <x:c r="I125" s="43" t="n">
        <x:v>2</x:v>
      </x:c>
      <x:c r="J125" s="43" t="n">
        <x:v>19</x:v>
      </x:c>
      <x:c r="K125" s="43" t="str">
        <x:v>Boarding school</x:v>
      </x:c>
      <x:c r="L125" s="43" t="str">
        <x:v>Has a sixth form</x:v>
      </x:c>
      <x:c r="M125" s="43" t="n">
        <x:v>447</x:v>
      </x:c>
      <x:c r="N125" s="43" t="str">
        <x:v>https://www.kingsleydevon.com</x:v>
      </x:c>
      <x:c r="O125" s="43" t="str">
        <x:v>01237426200</x:v>
      </x:c>
      <x:c r="P125" s="43" t="str"/>
      <x:c r="Q125" s="43" t="str"/>
      <x:c r="R125" s="43" t="str">
        <x:v>Queued for contact research</x:v>
      </x:c>
      <x:c r="S125" s="43" t="str">
        <x:v>Not reviewed</x:v>
      </x:c>
      <x:c r="T125" s="43" t="str">
        <x:v>Hold</x:v>
      </x:c>
      <x:c r="U125" s="43" t="str">
        <x:v>No</x:v>
      </x:c>
      <x:c r="V125" s="44"/>
      <x:c r="W125" s="43" t="str"/>
      <x:c r="X125" s="43" t="str"/>
      <x:c r="Y125" s="43" t="str"/>
      <x:c r="Z125" s="43" t="str">
        <x:v>https://www.get-information-schools.service.gov.uk/Downloads</x:v>
      </x:c>
    </x:row>
    <x:row r="126">
      <x:c r="A126" s="43" t="str">
        <x:v>UK independent</x:v>
      </x:c>
      <x:c r="B126" s="43" t="str">
        <x:v>115788</x:v>
      </x:c>
      <x:c r="C126" s="43" t="n">
        <x:f>IF(K126="Boarding school",30,0)+IF(J126&gt;=18,20,0)+IF(I126&lt;=11,10,0)+IF(L126="Has a sixth form",15,0)+IF(M126&gt;=200,10,0)+IF(N126&lt;&gt;"",10,0)</x:f>
        <x:v>95</x:v>
      </x:c>
      <x:c r="D126" s="43" t="str">
        <x:f>IF(C126&gt;=85,"A",IF(C126&gt;=65,"B","C"))</x:f>
        <x:v>A</x:v>
      </x:c>
      <x:c r="E126" s="43" t="str">
        <x:v>Wycliffe College</x:v>
      </x:c>
      <x:c r="F126" s="43" t="str">
        <x:v>Stonehouse</x:v>
      </x:c>
      <x:c r="G126" s="43" t="str">
        <x:v>Gloucestershire</x:v>
      </x:c>
      <x:c r="H126" s="43" t="str">
        <x:v>GL10 2JQ</x:v>
      </x:c>
      <x:c r="I126" s="43" t="n">
        <x:v>3</x:v>
      </x:c>
      <x:c r="J126" s="43" t="n">
        <x:v>19</x:v>
      </x:c>
      <x:c r="K126" s="43" t="str">
        <x:v>Boarding school</x:v>
      </x:c>
      <x:c r="L126" s="43" t="str">
        <x:v>Has a sixth form</x:v>
      </x:c>
      <x:c r="M126" s="43" t="n">
        <x:v>447</x:v>
      </x:c>
      <x:c r="N126" s="43" t="str">
        <x:v>http://www.wycliffe.co.uk</x:v>
      </x:c>
      <x:c r="O126" s="43" t="str">
        <x:v>01453822432</x:v>
      </x:c>
      <x:c r="P126" s="43" t="str"/>
      <x:c r="Q126" s="43" t="str"/>
      <x:c r="R126" s="43" t="str">
        <x:v>Queued for contact research</x:v>
      </x:c>
      <x:c r="S126" s="43" t="str">
        <x:v>Not reviewed</x:v>
      </x:c>
      <x:c r="T126" s="43" t="str">
        <x:v>Hold</x:v>
      </x:c>
      <x:c r="U126" s="43" t="str">
        <x:v>No</x:v>
      </x:c>
      <x:c r="V126" s="44"/>
      <x:c r="W126" s="43" t="str"/>
      <x:c r="X126" s="43" t="str"/>
      <x:c r="Y126" s="43" t="str"/>
      <x:c r="Z126" s="43" t="str">
        <x:v>https://www.get-information-schools.service.gov.uk/Downloads</x:v>
      </x:c>
    </x:row>
    <x:row r="127">
      <x:c r="A127" s="43" t="str">
        <x:v>UK independent</x:v>
      </x:c>
      <x:c r="B127" s="43" t="str">
        <x:v>121741</x:v>
      </x:c>
      <x:c r="C127" s="43" t="n">
        <x:f>IF(K127="Boarding school",30,0)+IF(J127&gt;=18,20,0)+IF(I127&lt;=11,10,0)+IF(L127="Has a sixth form",15,0)+IF(M127&gt;=200,10,0)+IF(N127&lt;&gt;"",10,0)</x:f>
        <x:v>95</x:v>
      </x:c>
      <x:c r="D127" s="43" t="str">
        <x:f>IF(C127&gt;=85,"A",IF(C127&gt;=65,"B","C"))</x:f>
        <x:v>A</x:v>
      </x:c>
      <x:c r="E127" s="43" t="str">
        <x:v>Duchy College</x:v>
      </x:c>
      <x:c r="F127" s="43" t="str">
        <x:v>Harrogate</x:v>
      </x:c>
      <x:c r="G127" s="43" t="str"/>
      <x:c r="H127" s="43" t="str">
        <x:v>HG1 2QG</x:v>
      </x:c>
      <x:c r="I127" s="43" t="n">
        <x:v>2</x:v>
      </x:c>
      <x:c r="J127" s="43" t="n">
        <x:v>18</x:v>
      </x:c>
      <x:c r="K127" s="43" t="str">
        <x:v>Boarding school</x:v>
      </x:c>
      <x:c r="L127" s="43" t="str">
        <x:v>Has a sixth form</x:v>
      </x:c>
      <x:c r="M127" s="43" t="n">
        <x:v>436</x:v>
      </x:c>
      <x:c r="N127" s="43" t="str">
        <x:v>https://www.hlc.org.uk</x:v>
      </x:c>
      <x:c r="O127" s="43" t="str">
        <x:v>01423504543</x:v>
      </x:c>
      <x:c r="P127" s="43" t="str"/>
      <x:c r="Q127" s="43" t="str"/>
      <x:c r="R127" s="43" t="str">
        <x:v>Queued for contact research</x:v>
      </x:c>
      <x:c r="S127" s="43" t="str">
        <x:v>Not reviewed</x:v>
      </x:c>
      <x:c r="T127" s="43" t="str">
        <x:v>Hold</x:v>
      </x:c>
      <x:c r="U127" s="43" t="str">
        <x:v>No</x:v>
      </x:c>
      <x:c r="V127" s="44"/>
      <x:c r="W127" s="43" t="str"/>
      <x:c r="X127" s="43" t="str"/>
      <x:c r="Y127" s="43" t="str"/>
      <x:c r="Z127" s="43" t="str">
        <x:v>https://www.get-information-schools.service.gov.uk/Downloads</x:v>
      </x:c>
    </x:row>
    <x:row r="128">
      <x:c r="A128" s="43" t="str">
        <x:v>UK independent</x:v>
      </x:c>
      <x:c r="B128" s="43" t="str">
        <x:v>126512</x:v>
      </x:c>
      <x:c r="C128" s="43" t="n">
        <x:f>IF(K128="Boarding school",30,0)+IF(J128&gt;=18,20,0)+IF(I128&lt;=11,10,0)+IF(L128="Has a sixth form",15,0)+IF(M128&gt;=200,10,0)+IF(N128&lt;&gt;"",10,0)</x:f>
        <x:v>95</x:v>
      </x:c>
      <x:c r="D128" s="43" t="str">
        <x:f>IF(C128&gt;=85,"A",IF(C128&gt;=65,"B","C"))</x:f>
        <x:v>A</x:v>
      </x:c>
      <x:c r="E128" s="43" t="str">
        <x:v>Stonar School</x:v>
      </x:c>
      <x:c r="F128" s="43" t="str">
        <x:v>Wiltshire</x:v>
      </x:c>
      <x:c r="G128" s="43" t="str"/>
      <x:c r="H128" s="43" t="str">
        <x:v>SN12 8NT</x:v>
      </x:c>
      <x:c r="I128" s="43" t="n">
        <x:v>2</x:v>
      </x:c>
      <x:c r="J128" s="43" t="n">
        <x:v>18</x:v>
      </x:c>
      <x:c r="K128" s="43" t="str">
        <x:v>Boarding school</x:v>
      </x:c>
      <x:c r="L128" s="43" t="str">
        <x:v>Has a sixth form</x:v>
      </x:c>
      <x:c r="M128" s="43" t="n">
        <x:v>434</x:v>
      </x:c>
      <x:c r="N128" s="43" t="str">
        <x:v>https://www.stonarschool.com</x:v>
      </x:c>
      <x:c r="O128" s="43" t="str">
        <x:v>01225701740</x:v>
      </x:c>
      <x:c r="P128" s="43" t="str"/>
      <x:c r="Q128" s="43" t="str"/>
      <x:c r="R128" s="43" t="str">
        <x:v>Queued for contact research</x:v>
      </x:c>
      <x:c r="S128" s="43" t="str">
        <x:v>Not reviewed</x:v>
      </x:c>
      <x:c r="T128" s="43" t="str">
        <x:v>Hold</x:v>
      </x:c>
      <x:c r="U128" s="43" t="str">
        <x:v>No</x:v>
      </x:c>
      <x:c r="V128" s="44"/>
      <x:c r="W128" s="43" t="str"/>
      <x:c r="X128" s="43" t="str"/>
      <x:c r="Y128" s="43" t="str"/>
      <x:c r="Z128" s="43" t="str">
        <x:v>https://www.get-information-schools.service.gov.uk/Downloads</x:v>
      </x:c>
    </x:row>
    <x:row r="129">
      <x:c r="A129" s="43" t="str">
        <x:v>UK independent</x:v>
      </x:c>
      <x:c r="B129" s="43" t="str">
        <x:v>126522</x:v>
      </x:c>
      <x:c r="C129" s="43" t="n">
        <x:f>IF(K129="Boarding school",30,0)+IF(J129&gt;=18,20,0)+IF(I129&lt;=11,10,0)+IF(L129="Has a sixth form",15,0)+IF(M129&gt;=200,10,0)+IF(N129&lt;&gt;"",10,0)</x:f>
        <x:v>95</x:v>
      </x:c>
      <x:c r="D129" s="43" t="str">
        <x:f>IF(C129&gt;=85,"A",IF(C129&gt;=65,"B","C"))</x:f>
        <x:v>A</x:v>
      </x:c>
      <x:c r="E129" s="43" t="str">
        <x:v>Warminster School</x:v>
      </x:c>
      <x:c r="F129" s="43" t="str">
        <x:v>Warminster</x:v>
      </x:c>
      <x:c r="G129" s="43" t="str">
        <x:v>Wiltshire</x:v>
      </x:c>
      <x:c r="H129" s="43" t="str">
        <x:v>BA12 8PJ</x:v>
      </x:c>
      <x:c r="I129" s="43" t="n">
        <x:v>2</x:v>
      </x:c>
      <x:c r="J129" s="43" t="n">
        <x:v>19</x:v>
      </x:c>
      <x:c r="K129" s="43" t="str">
        <x:v>Boarding school</x:v>
      </x:c>
      <x:c r="L129" s="43" t="str">
        <x:v>Has a sixth form</x:v>
      </x:c>
      <x:c r="M129" s="43" t="n">
        <x:v>433</x:v>
      </x:c>
      <x:c r="N129" s="43" t="str">
        <x:v>https://www.warminsterschool.org.uk</x:v>
      </x:c>
      <x:c r="O129" s="43" t="str">
        <x:v>01985210100</x:v>
      </x:c>
      <x:c r="P129" s="43" t="str"/>
      <x:c r="Q129" s="43" t="str"/>
      <x:c r="R129" s="43" t="str">
        <x:v>Queued for contact research</x:v>
      </x:c>
      <x:c r="S129" s="43" t="str">
        <x:v>Not reviewed</x:v>
      </x:c>
      <x:c r="T129" s="43" t="str">
        <x:v>Hold</x:v>
      </x:c>
      <x:c r="U129" s="43" t="str">
        <x:v>No</x:v>
      </x:c>
      <x:c r="V129" s="44"/>
      <x:c r="W129" s="43" t="str"/>
      <x:c r="X129" s="43" t="str"/>
      <x:c r="Y129" s="43" t="str"/>
      <x:c r="Z129" s="43" t="str">
        <x:v>https://www.get-information-schools.service.gov.uk/Downloads</x:v>
      </x:c>
    </x:row>
    <x:row r="130">
      <x:c r="A130" s="43" t="str">
        <x:v>UK independent</x:v>
      </x:c>
      <x:c r="B130" s="43" t="str">
        <x:v>123600</x:v>
      </x:c>
      <x:c r="C130" s="43" t="n">
        <x:f>IF(K130="Boarding school",30,0)+IF(J130&gt;=18,20,0)+IF(I130&lt;=11,10,0)+IF(L130="Has a sixth form",15,0)+IF(M130&gt;=200,10,0)+IF(N130&lt;&gt;"",10,0)</x:f>
        <x:v>95</x:v>
      </x:c>
      <x:c r="D130" s="43" t="str">
        <x:f>IF(C130&gt;=85,"A",IF(C130&gt;=65,"B","C"))</x:f>
        <x:v>A</x:v>
      </x:c>
      <x:c r="E130" s="43" t="str">
        <x:v>Ellesmere College</x:v>
      </x:c>
      <x:c r="F130" s="43" t="str">
        <x:v>Ellesmere</x:v>
      </x:c>
      <x:c r="G130" s="43" t="str">
        <x:v>Shropshire</x:v>
      </x:c>
      <x:c r="H130" s="43" t="str">
        <x:v>SY12 9AB</x:v>
      </x:c>
      <x:c r="I130" s="43" t="n">
        <x:v>7</x:v>
      </x:c>
      <x:c r="J130" s="43" t="n">
        <x:v>19</x:v>
      </x:c>
      <x:c r="K130" s="43" t="str">
        <x:v>Boarding school</x:v>
      </x:c>
      <x:c r="L130" s="43" t="str">
        <x:v>Has a sixth form</x:v>
      </x:c>
      <x:c r="M130" s="43" t="n">
        <x:v>432</x:v>
      </x:c>
      <x:c r="N130" s="43" t="str">
        <x:v>http://www.ellesmere.com</x:v>
      </x:c>
      <x:c r="O130" s="43" t="str">
        <x:v>01691622321</x:v>
      </x:c>
      <x:c r="P130" s="43" t="str"/>
      <x:c r="Q130" s="43" t="str"/>
      <x:c r="R130" s="43" t="str">
        <x:v>Queued for contact research</x:v>
      </x:c>
      <x:c r="S130" s="43" t="str">
        <x:v>Not reviewed</x:v>
      </x:c>
      <x:c r="T130" s="43" t="str">
        <x:v>Hold</x:v>
      </x:c>
      <x:c r="U130" s="43" t="str">
        <x:v>No</x:v>
      </x:c>
      <x:c r="V130" s="44"/>
      <x:c r="W130" s="43" t="str"/>
      <x:c r="X130" s="43" t="str"/>
      <x:c r="Y130" s="43" t="str"/>
      <x:c r="Z130" s="43" t="str">
        <x:v>https://www.get-information-schools.service.gov.uk/Downloads</x:v>
      </x:c>
    </x:row>
    <x:row r="131">
      <x:c r="A131" s="43" t="str">
        <x:v>UK independent</x:v>
      </x:c>
      <x:c r="B131" s="43" t="str">
        <x:v>104407</x:v>
      </x:c>
      <x:c r="C131" s="43" t="n">
        <x:f>IF(K131="Boarding school",30,0)+IF(J131&gt;=18,20,0)+IF(I131&lt;=11,10,0)+IF(L131="Has a sixth form",15,0)+IF(M131&gt;=200,10,0)+IF(N131&lt;&gt;"",10,0)</x:f>
        <x:v>95</x:v>
      </x:c>
      <x:c r="D131" s="43" t="str">
        <x:f>IF(C131&gt;=85,"A",IF(C131&gt;=65,"B","C"))</x:f>
        <x:v>A</x:v>
      </x:c>
      <x:c r="E131" s="43" t="str">
        <x:v>Tettenhall College Incorporated</x:v>
      </x:c>
      <x:c r="F131" s="43" t="str">
        <x:v>Wolverhampton</x:v>
      </x:c>
      <x:c r="G131" s="43" t="str">
        <x:v>West Midlands</x:v>
      </x:c>
      <x:c r="H131" s="43" t="str">
        <x:v>WV6 8QX</x:v>
      </x:c>
      <x:c r="I131" s="43" t="n">
        <x:v>2</x:v>
      </x:c>
      <x:c r="J131" s="43" t="n">
        <x:v>18</x:v>
      </x:c>
      <x:c r="K131" s="43" t="str">
        <x:v>Boarding school</x:v>
      </x:c>
      <x:c r="L131" s="43" t="str">
        <x:v>Has a sixth form</x:v>
      </x:c>
      <x:c r="M131" s="43" t="n">
        <x:v>431</x:v>
      </x:c>
      <x:c r="N131" s="43" t="str">
        <x:v>https://www.tettenhallcollege.co.uk</x:v>
      </x:c>
      <x:c r="O131" s="43" t="str">
        <x:v>01902751119</x:v>
      </x:c>
      <x:c r="P131" s="43" t="str"/>
      <x:c r="Q131" s="43" t="str"/>
      <x:c r="R131" s="43" t="str">
        <x:v>Queued for contact research</x:v>
      </x:c>
      <x:c r="S131" s="43" t="str">
        <x:v>Not reviewed</x:v>
      </x:c>
      <x:c r="T131" s="43" t="str">
        <x:v>Hold</x:v>
      </x:c>
      <x:c r="U131" s="43" t="str">
        <x:v>No</x:v>
      </x:c>
      <x:c r="V131" s="44"/>
      <x:c r="W131" s="43" t="str"/>
      <x:c r="X131" s="43" t="str"/>
      <x:c r="Y131" s="43" t="str"/>
      <x:c r="Z131" s="43" t="str">
        <x:v>https://www.get-information-schools.service.gov.uk/Downloads</x:v>
      </x:c>
    </x:row>
    <x:row r="132">
      <x:c r="A132" s="43" t="str">
        <x:v>UK independent</x:v>
      </x:c>
      <x:c r="B132" s="43" t="str">
        <x:v>108300</x:v>
      </x:c>
      <x:c r="C132" s="43" t="n">
        <x:f>IF(K132="Boarding school",30,0)+IF(J132&gt;=18,20,0)+IF(I132&lt;=11,10,0)+IF(L132="Has a sixth form",15,0)+IF(M132&gt;=200,10,0)+IF(N132&lt;&gt;"",10,0)</x:f>
        <x:v>95</x:v>
      </x:c>
      <x:c r="D132" s="43" t="str">
        <x:f>IF(C132&gt;=85,"A",IF(C132&gt;=65,"B","C"))</x:f>
        <x:v>A</x:v>
      </x:c>
      <x:c r="E132" s="43" t="str">
        <x:v>Ackworth School</x:v>
      </x:c>
      <x:c r="F132" s="43" t="str">
        <x:v>West Yorkshire</x:v>
      </x:c>
      <x:c r="G132" s="43" t="str">
        <x:v>West Yorkshire</x:v>
      </x:c>
      <x:c r="H132" s="43" t="str">
        <x:v>WF7 7LT</x:v>
      </x:c>
      <x:c r="I132" s="43" t="n">
        <x:v>2</x:v>
      </x:c>
      <x:c r="J132" s="43" t="n">
        <x:v>19</x:v>
      </x:c>
      <x:c r="K132" s="43" t="str">
        <x:v>Boarding school</x:v>
      </x:c>
      <x:c r="L132" s="43" t="str">
        <x:v>Has a sixth form</x:v>
      </x:c>
      <x:c r="M132" s="43" t="n">
        <x:v>429</x:v>
      </x:c>
      <x:c r="N132" s="43" t="str">
        <x:v>https://www.ackworthschool.com</x:v>
      </x:c>
      <x:c r="O132" s="43" t="str">
        <x:v>01977233600</x:v>
      </x:c>
      <x:c r="P132" s="43" t="str"/>
      <x:c r="Q132" s="43" t="str"/>
      <x:c r="R132" s="43" t="str">
        <x:v>Queued for contact research</x:v>
      </x:c>
      <x:c r="S132" s="43" t="str">
        <x:v>Not reviewed</x:v>
      </x:c>
      <x:c r="T132" s="43" t="str">
        <x:v>Hold</x:v>
      </x:c>
      <x:c r="U132" s="43" t="str">
        <x:v>No</x:v>
      </x:c>
      <x:c r="V132" s="44"/>
      <x:c r="W132" s="43" t="str"/>
      <x:c r="X132" s="43" t="str"/>
      <x:c r="Y132" s="43" t="str"/>
      <x:c r="Z132" s="43" t="str">
        <x:v>https://www.get-information-schools.service.gov.uk/Downloads</x:v>
      </x:c>
    </x:row>
    <x:row r="133">
      <x:c r="A133" s="43" t="str">
        <x:v>UK independent</x:v>
      </x:c>
      <x:c r="B133" s="43" t="str">
        <x:v>113945</x:v>
      </x:c>
      <x:c r="C133" s="43" t="n">
        <x:f>IF(K133="Boarding school",30,0)+IF(J133&gt;=18,20,0)+IF(I133&lt;=11,10,0)+IF(L133="Has a sixth form",15,0)+IF(M133&gt;=200,10,0)+IF(N133&lt;&gt;"",10,0)</x:f>
        <x:v>95</x:v>
      </x:c>
      <x:c r="D133" s="43" t="str">
        <x:f>IF(C133&gt;=85,"A",IF(C133&gt;=65,"B","C"))</x:f>
        <x:v>A</x:v>
      </x:c>
      <x:c r="E133" s="43" t="str">
        <x:v>Talbot Heath School</x:v>
      </x:c>
      <x:c r="F133" s="43" t="str">
        <x:v>Bournemouth</x:v>
      </x:c>
      <x:c r="G133" s="43" t="str">
        <x:v>Dorset</x:v>
      </x:c>
      <x:c r="H133" s="43" t="str">
        <x:v>BH4 9NJ</x:v>
      </x:c>
      <x:c r="I133" s="43" t="n">
        <x:v>2</x:v>
      </x:c>
      <x:c r="J133" s="43" t="n">
        <x:v>19</x:v>
      </x:c>
      <x:c r="K133" s="43" t="str">
        <x:v>Boarding school</x:v>
      </x:c>
      <x:c r="L133" s="43" t="str">
        <x:v>Has a sixth form</x:v>
      </x:c>
      <x:c r="M133" s="43" t="n">
        <x:v>427</x:v>
      </x:c>
      <x:c r="N133" s="43" t="str">
        <x:v>http://www.talbotheath.org</x:v>
      </x:c>
      <x:c r="O133" s="43" t="str">
        <x:v>01202761881</x:v>
      </x:c>
      <x:c r="P133" s="43" t="str"/>
      <x:c r="Q133" s="43" t="str"/>
      <x:c r="R133" s="43" t="str">
        <x:v>Queued for contact research</x:v>
      </x:c>
      <x:c r="S133" s="43" t="str">
        <x:v>Not reviewed</x:v>
      </x:c>
      <x:c r="T133" s="43" t="str">
        <x:v>Hold</x:v>
      </x:c>
      <x:c r="U133" s="43" t="str">
        <x:v>No</x:v>
      </x:c>
      <x:c r="V133" s="44"/>
      <x:c r="W133" s="43" t="str"/>
      <x:c r="X133" s="43" t="str"/>
      <x:c r="Y133" s="43" t="str"/>
      <x:c r="Z133" s="43" t="str">
        <x:v>https://www.get-information-schools.service.gov.uk/Downloads</x:v>
      </x:c>
    </x:row>
    <x:row r="134">
      <x:c r="A134" s="43" t="str">
        <x:v>UK independent</x:v>
      </x:c>
      <x:c r="B134" s="43" t="str">
        <x:v>117609</x:v>
      </x:c>
      <x:c r="C134" s="43" t="n">
        <x:f>IF(K134="Boarding school",30,0)+IF(J134&gt;=18,20,0)+IF(I134&lt;=11,10,0)+IF(L134="Has a sixth form",15,0)+IF(M134&gt;=200,10,0)+IF(N134&lt;&gt;"",10,0)</x:f>
        <x:v>95</x:v>
      </x:c>
      <x:c r="D134" s="43" t="str">
        <x:f>IF(C134&gt;=85,"A",IF(C134&gt;=65,"B","C"))</x:f>
        <x:v>A</x:v>
      </x:c>
      <x:c r="E134" s="43" t="str">
        <x:v>Queenswood School</x:v>
      </x:c>
      <x:c r="F134" s="43" t="str">
        <x:v>Hatfield</x:v>
      </x:c>
      <x:c r="G134" s="43" t="str">
        <x:v>Hertfordshire</x:v>
      </x:c>
      <x:c r="H134" s="43" t="str">
        <x:v>AL9 6NS</x:v>
      </x:c>
      <x:c r="I134" s="43" t="n">
        <x:v>11</x:v>
      </x:c>
      <x:c r="J134" s="43" t="n">
        <x:v>18</x:v>
      </x:c>
      <x:c r="K134" s="43" t="str">
        <x:v>Boarding school</x:v>
      </x:c>
      <x:c r="L134" s="43" t="str">
        <x:v>Has a sixth form</x:v>
      </x:c>
      <x:c r="M134" s="43" t="n">
        <x:v>426</x:v>
      </x:c>
      <x:c r="N134" s="43" t="str">
        <x:v>https://www.queenswood.org</x:v>
      </x:c>
      <x:c r="O134" s="43" t="str">
        <x:v>01707602500</x:v>
      </x:c>
      <x:c r="P134" s="43" t="str"/>
      <x:c r="Q134" s="43" t="str"/>
      <x:c r="R134" s="43" t="str">
        <x:v>Queued for contact research</x:v>
      </x:c>
      <x:c r="S134" s="43" t="str">
        <x:v>Not reviewed</x:v>
      </x:c>
      <x:c r="T134" s="43" t="str">
        <x:v>Hold</x:v>
      </x:c>
      <x:c r="U134" s="43" t="str">
        <x:v>No</x:v>
      </x:c>
      <x:c r="V134" s="44"/>
      <x:c r="W134" s="43" t="str"/>
      <x:c r="X134" s="43" t="str"/>
      <x:c r="Y134" s="43" t="str"/>
      <x:c r="Z134" s="43" t="str">
        <x:v>https://www.get-information-schools.service.gov.uk/Downloads</x:v>
      </x:c>
    </x:row>
    <x:row r="135">
      <x:c r="A135" s="43" t="str">
        <x:v>UK independent</x:v>
      </x:c>
      <x:c r="B135" s="43" t="str">
        <x:v>114640</x:v>
      </x:c>
      <x:c r="C135" s="43" t="n">
        <x:f>IF(K135="Boarding school",30,0)+IF(J135&gt;=18,20,0)+IF(I135&lt;=11,10,0)+IF(L135="Has a sixth form",15,0)+IF(M135&gt;=200,10,0)+IF(N135&lt;&gt;"",10,0)</x:f>
        <x:v>95</x:v>
      </x:c>
      <x:c r="D135" s="43" t="str">
        <x:f>IF(C135&gt;=85,"A",IF(C135&gt;=65,"B","C"))</x:f>
        <x:v>A</x:v>
      </x:c>
      <x:c r="E135" s="43" t="str">
        <x:v>Claremont School</x:v>
      </x:c>
      <x:c r="F135" s="43" t="str">
        <x:v>St Leonards-on-Sea</x:v>
      </x:c>
      <x:c r="G135" s="43" t="str">
        <x:v>East Sussex</x:v>
      </x:c>
      <x:c r="H135" s="43" t="str">
        <x:v>TN37 7PW</x:v>
      </x:c>
      <x:c r="I135" s="43" t="n">
        <x:v>1</x:v>
      </x:c>
      <x:c r="J135" s="43" t="n">
        <x:v>19</x:v>
      </x:c>
      <x:c r="K135" s="43" t="str">
        <x:v>Boarding school</x:v>
      </x:c>
      <x:c r="L135" s="43" t="str">
        <x:v>Has a sixth form</x:v>
      </x:c>
      <x:c r="M135" s="43" t="n">
        <x:v>418</x:v>
      </x:c>
      <x:c r="N135" s="43" t="str">
        <x:v>http://www.claremontschool.co.uk/</x:v>
      </x:c>
      <x:c r="O135" s="43" t="str">
        <x:v>01424751555</x:v>
      </x:c>
      <x:c r="P135" s="43" t="str"/>
      <x:c r="Q135" s="43" t="str"/>
      <x:c r="R135" s="43" t="str">
        <x:v>Queued for contact research</x:v>
      </x:c>
      <x:c r="S135" s="43" t="str">
        <x:v>Not reviewed</x:v>
      </x:c>
      <x:c r="T135" s="43" t="str">
        <x:v>Hold</x:v>
      </x:c>
      <x:c r="U135" s="43" t="str">
        <x:v>No</x:v>
      </x:c>
      <x:c r="V135" s="44"/>
      <x:c r="W135" s="43" t="str"/>
      <x:c r="X135" s="43" t="str"/>
      <x:c r="Y135" s="43" t="str"/>
      <x:c r="Z135" s="43" t="str">
        <x:v>https://www.get-information-schools.service.gov.uk/Downloads</x:v>
      </x:c>
    </x:row>
    <x:row r="136">
      <x:c r="A136" s="43" t="str">
        <x:v>UK independent</x:v>
      </x:c>
      <x:c r="B136" s="43" t="str">
        <x:v>113912</x:v>
      </x:c>
      <x:c r="C136" s="43" t="n">
        <x:f>IF(K136="Boarding school",30,0)+IF(J136&gt;=18,20,0)+IF(I136&lt;=11,10,0)+IF(L136="Has a sixth form",15,0)+IF(M136&gt;=200,10,0)+IF(N136&lt;&gt;"",10,0)</x:f>
        <x:v>95</x:v>
      </x:c>
      <x:c r="D136" s="43" t="str">
        <x:f>IF(C136&gt;=85,"A",IF(C136&gt;=65,"B","C"))</x:f>
        <x:v>A</x:v>
      </x:c>
      <x:c r="E136" s="43" t="str">
        <x:v>Clayesmore School</x:v>
      </x:c>
      <x:c r="F136" s="43" t="str">
        <x:v>Blandford Forum</x:v>
      </x:c>
      <x:c r="G136" s="43" t="str">
        <x:v>Dorset</x:v>
      </x:c>
      <x:c r="H136" s="43" t="str">
        <x:v>DT11 8LL</x:v>
      </x:c>
      <x:c r="I136" s="43" t="n">
        <x:v>2</x:v>
      </x:c>
      <x:c r="J136" s="43" t="n">
        <x:v>19</x:v>
      </x:c>
      <x:c r="K136" s="43" t="str">
        <x:v>Boarding school</x:v>
      </x:c>
      <x:c r="L136" s="43" t="str">
        <x:v>Has a sixth form</x:v>
      </x:c>
      <x:c r="M136" s="43" t="n">
        <x:v>414</x:v>
      </x:c>
      <x:c r="N136" s="43" t="str">
        <x:v>http://www.clayesmore.com</x:v>
      </x:c>
      <x:c r="O136" s="43" t="str">
        <x:v>01747813111</x:v>
      </x:c>
      <x:c r="P136" s="43" t="str"/>
      <x:c r="Q136" s="43" t="str"/>
      <x:c r="R136" s="43" t="str">
        <x:v>Queued for contact research</x:v>
      </x:c>
      <x:c r="S136" s="43" t="str">
        <x:v>Not reviewed</x:v>
      </x:c>
      <x:c r="T136" s="43" t="str">
        <x:v>Hold</x:v>
      </x:c>
      <x:c r="U136" s="43" t="str">
        <x:v>No</x:v>
      </x:c>
      <x:c r="V136" s="44"/>
      <x:c r="W136" s="43" t="str"/>
      <x:c r="X136" s="43" t="str"/>
      <x:c r="Y136" s="43" t="str"/>
      <x:c r="Z136" s="43" t="str">
        <x:v>https://www.get-information-schools.service.gov.uk/Downloads</x:v>
      </x:c>
    </x:row>
    <x:row r="137">
      <x:c r="A137" s="43" t="str">
        <x:v>UK independent</x:v>
      </x:c>
      <x:c r="B137" s="43" t="str">
        <x:v>126126</x:v>
      </x:c>
      <x:c r="C137" s="43" t="n">
        <x:f>IF(K137="Boarding school",30,0)+IF(J137&gt;=18,20,0)+IF(I137&lt;=11,10,0)+IF(L137="Has a sixth form",15,0)+IF(M137&gt;=200,10,0)+IF(N137&lt;&gt;"",10,0)</x:f>
        <x:v>95</x:v>
      </x:c>
      <x:c r="D137" s="43" t="str">
        <x:f>IF(C137&gt;=85,"A",IF(C137&gt;=65,"B","C"))</x:f>
        <x:v>A</x:v>
      </x:c>
      <x:c r="E137" s="43" t="str">
        <x:v>Farlington School</x:v>
      </x:c>
      <x:c r="F137" s="43" t="str">
        <x:v>Horsham</x:v>
      </x:c>
      <x:c r="G137" s="43" t="str">
        <x:v>West Sussex</x:v>
      </x:c>
      <x:c r="H137" s="43" t="str">
        <x:v>RH12 3PN</x:v>
      </x:c>
      <x:c r="I137" s="43" t="n">
        <x:v>4</x:v>
      </x:c>
      <x:c r="J137" s="43" t="n">
        <x:v>18</x:v>
      </x:c>
      <x:c r="K137" s="43" t="str">
        <x:v>Boarding school</x:v>
      </x:c>
      <x:c r="L137" s="43" t="str">
        <x:v>Has a sixth form</x:v>
      </x:c>
      <x:c r="M137" s="43" t="n">
        <x:v>414</x:v>
      </x:c>
      <x:c r="N137" s="43" t="str">
        <x:v>https://www.farlingtonschool.com</x:v>
      </x:c>
      <x:c r="O137" s="43" t="str">
        <x:v>01403254967</x:v>
      </x:c>
      <x:c r="P137" s="43" t="str"/>
      <x:c r="Q137" s="43" t="str"/>
      <x:c r="R137" s="43" t="str">
        <x:v>Queued for contact research</x:v>
      </x:c>
      <x:c r="S137" s="43" t="str">
        <x:v>Not reviewed</x:v>
      </x:c>
      <x:c r="T137" s="43" t="str">
        <x:v>Hold</x:v>
      </x:c>
      <x:c r="U137" s="43" t="str">
        <x:v>No</x:v>
      </x:c>
      <x:c r="V137" s="44"/>
      <x:c r="W137" s="43" t="str"/>
      <x:c r="X137" s="43" t="str"/>
      <x:c r="Y137" s="43" t="str"/>
      <x:c r="Z137" s="43" t="str">
        <x:v>https://www.get-information-schools.service.gov.uk/Downloads</x:v>
      </x:c>
    </x:row>
    <x:row r="138">
      <x:c r="A138" s="43" t="str">
        <x:v>UK independent</x:v>
      </x:c>
      <x:c r="B138" s="43" t="str">
        <x:v>120724</x:v>
      </x:c>
      <x:c r="C138" s="43" t="n">
        <x:f>IF(K138="Boarding school",30,0)+IF(J138&gt;=18,20,0)+IF(I138&lt;=11,10,0)+IF(L138="Has a sixth form",15,0)+IF(M138&gt;=200,10,0)+IF(N138&lt;&gt;"",10,0)</x:f>
        <x:v>95</x:v>
      </x:c>
      <x:c r="D138" s="43" t="str">
        <x:f>IF(C138&gt;=85,"A",IF(C138&gt;=65,"B","C"))</x:f>
        <x:v>A</x:v>
      </x:c>
      <x:c r="E138" s="43" t="str">
        <x:v>Lincoln Minster School</x:v>
      </x:c>
      <x:c r="F138" s="43" t="str">
        <x:v>Lincoln</x:v>
      </x:c>
      <x:c r="G138" s="43" t="str">
        <x:v>Lincolnshire</x:v>
      </x:c>
      <x:c r="H138" s="43" t="str">
        <x:v>LN2 5RW</x:v>
      </x:c>
      <x:c r="I138" s="43" t="n">
        <x:v>3</x:v>
      </x:c>
      <x:c r="J138" s="43" t="n">
        <x:v>18</x:v>
      </x:c>
      <x:c r="K138" s="43" t="str">
        <x:v>Boarding school</x:v>
      </x:c>
      <x:c r="L138" s="43" t="str">
        <x:v>Has a sixth form</x:v>
      </x:c>
      <x:c r="M138" s="43" t="n">
        <x:v>408</x:v>
      </x:c>
      <x:c r="N138" s="43" t="str">
        <x:v>http://www.lincolnminsterschool.co.uk/</x:v>
      </x:c>
      <x:c r="O138" s="43" t="str">
        <x:v>01522551300</x:v>
      </x:c>
      <x:c r="P138" s="43" t="str"/>
      <x:c r="Q138" s="43" t="str"/>
      <x:c r="R138" s="43" t="str">
        <x:v>Queued for contact research</x:v>
      </x:c>
      <x:c r="S138" s="43" t="str">
        <x:v>Not reviewed</x:v>
      </x:c>
      <x:c r="T138" s="43" t="str">
        <x:v>Hold</x:v>
      </x:c>
      <x:c r="U138" s="43" t="str">
        <x:v>No</x:v>
      </x:c>
      <x:c r="V138" s="44"/>
      <x:c r="W138" s="43" t="str"/>
      <x:c r="X138" s="43" t="str"/>
      <x:c r="Y138" s="43" t="str"/>
      <x:c r="Z138" s="43" t="str">
        <x:v>https://www.get-information-schools.service.gov.uk/Downloads</x:v>
      </x:c>
    </x:row>
    <x:row r="139">
      <x:c r="A139" s="43" t="str">
        <x:v>UK independent</x:v>
      </x:c>
      <x:c r="B139" s="43" t="str">
        <x:v>119006</x:v>
      </x:c>
      <x:c r="C139" s="43" t="n">
        <x:f>IF(K139="Boarding school",30,0)+IF(J139&gt;=18,20,0)+IF(I139&lt;=11,10,0)+IF(L139="Has a sixth form",15,0)+IF(M139&gt;=200,10,0)+IF(N139&lt;&gt;"",10,0)</x:f>
        <x:v>95</x:v>
      </x:c>
      <x:c r="D139" s="43" t="str">
        <x:f>IF(C139&gt;=85,"A",IF(C139&gt;=65,"B","C"))</x:f>
        <x:v>A</x:v>
      </x:c>
      <x:c r="E139" s="43" t="str">
        <x:v>Rochester Independent College</x:v>
      </x:c>
      <x:c r="F139" s="43" t="str">
        <x:v>Rochester</x:v>
      </x:c>
      <x:c r="G139" s="43" t="str">
        <x:v>Kent</x:v>
      </x:c>
      <x:c r="H139" s="43" t="str">
        <x:v>ME1 1HY</x:v>
      </x:c>
      <x:c r="I139" s="43" t="n">
        <x:v>11</x:v>
      </x:c>
      <x:c r="J139" s="43" t="n">
        <x:v>21</x:v>
      </x:c>
      <x:c r="K139" s="43" t="str">
        <x:v>Boarding school</x:v>
      </x:c>
      <x:c r="L139" s="43" t="str">
        <x:v>Has a sixth form</x:v>
      </x:c>
      <x:c r="M139" s="43" t="n">
        <x:v>401</x:v>
      </x:c>
      <x:c r="N139" s="43" t="str">
        <x:v>https://www.rochester-college.org.uk</x:v>
      </x:c>
      <x:c r="O139" s="43" t="str">
        <x:v>01634828115</x:v>
      </x:c>
      <x:c r="P139" s="43" t="str"/>
      <x:c r="Q139" s="43" t="str"/>
      <x:c r="R139" s="43" t="str">
        <x:v>Queued for contact research</x:v>
      </x:c>
      <x:c r="S139" s="43" t="str">
        <x:v>Not reviewed</x:v>
      </x:c>
      <x:c r="T139" s="43" t="str">
        <x:v>Hold</x:v>
      </x:c>
      <x:c r="U139" s="43" t="str">
        <x:v>No</x:v>
      </x:c>
      <x:c r="V139" s="44"/>
      <x:c r="W139" s="43" t="str"/>
      <x:c r="X139" s="43" t="str"/>
      <x:c r="Y139" s="43" t="str"/>
      <x:c r="Z139" s="43" t="str">
        <x:v>https://www.get-information-schools.service.gov.uk/Downloads</x:v>
      </x:c>
    </x:row>
    <x:row r="140">
      <x:c r="A140" s="43" t="str">
        <x:v>UK independent</x:v>
      </x:c>
      <x:c r="B140" s="43" t="str">
        <x:v>110120</x:v>
      </x:c>
      <x:c r="C140" s="43" t="n">
        <x:f>IF(K140="Boarding school",30,0)+IF(J140&gt;=18,20,0)+IF(I140&lt;=11,10,0)+IF(L140="Has a sixth form",15,0)+IF(M140&gt;=200,10,0)+IF(N140&lt;&gt;"",10,0)</x:f>
        <x:v>95</x:v>
      </x:c>
      <x:c r="D140" s="43" t="str">
        <x:f>IF(C140&gt;=85,"A",IF(C140&gt;=65,"B","C"))</x:f>
        <x:v>A</x:v>
      </x:c>
      <x:c r="E140" s="43" t="str">
        <x:v>St Mary's School Ascot</x:v>
      </x:c>
      <x:c r="F140" s="43" t="str">
        <x:v>Ascot</x:v>
      </x:c>
      <x:c r="G140" s="43" t="str">
        <x:v>Berkshire</x:v>
      </x:c>
      <x:c r="H140" s="43" t="str">
        <x:v>SL5 9JF</x:v>
      </x:c>
      <x:c r="I140" s="43" t="n">
        <x:v>11</x:v>
      </x:c>
      <x:c r="J140" s="43" t="n">
        <x:v>18</x:v>
      </x:c>
      <x:c r="K140" s="43" t="str">
        <x:v>Boarding school</x:v>
      </x:c>
      <x:c r="L140" s="43" t="str">
        <x:v>Has a sixth form</x:v>
      </x:c>
      <x:c r="M140" s="43" t="n">
        <x:v>401</x:v>
      </x:c>
      <x:c r="N140" s="43" t="str">
        <x:v>https://www.st-marys-ascot.co.uk</x:v>
      </x:c>
      <x:c r="O140" s="43" t="str">
        <x:v>01344296611</x:v>
      </x:c>
      <x:c r="P140" s="43" t="str"/>
      <x:c r="Q140" s="43" t="str"/>
      <x:c r="R140" s="43" t="str">
        <x:v>Queued for contact research</x:v>
      </x:c>
      <x:c r="S140" s="43" t="str">
        <x:v>Not reviewed</x:v>
      </x:c>
      <x:c r="T140" s="43" t="str">
        <x:v>Hold</x:v>
      </x:c>
      <x:c r="U140" s="43" t="str">
        <x:v>No</x:v>
      </x:c>
      <x:c r="V140" s="44"/>
      <x:c r="W140" s="43" t="str"/>
      <x:c r="X140" s="43" t="str"/>
      <x:c r="Y140" s="43" t="str"/>
      <x:c r="Z140" s="43" t="str">
        <x:v>https://www.get-information-schools.service.gov.uk/Downloads</x:v>
      </x:c>
    </x:row>
    <x:row r="141">
      <x:c r="A141" s="43" t="str">
        <x:v>UK independent</x:v>
      </x:c>
      <x:c r="B141" s="43" t="str">
        <x:v>110132</x:v>
      </x:c>
      <x:c r="C141" s="43" t="n">
        <x:f>IF(K141="Boarding school",30,0)+IF(J141&gt;=18,20,0)+IF(I141&lt;=11,10,0)+IF(L141="Has a sixth form",15,0)+IF(M141&gt;=200,10,0)+IF(N141&lt;&gt;"",10,0)</x:f>
        <x:v>95</x:v>
      </x:c>
      <x:c r="D141" s="43" t="str">
        <x:f>IF(C141&gt;=85,"A",IF(C141&gt;=65,"B","C"))</x:f>
        <x:v>A</x:v>
      </x:c>
      <x:c r="E141" s="43" t="str">
        <x:v>Pangbourne College</x:v>
      </x:c>
      <x:c r="F141" s="43" t="str">
        <x:v>Reading</x:v>
      </x:c>
      <x:c r="G141" s="43" t="str">
        <x:v>Berkshire</x:v>
      </x:c>
      <x:c r="H141" s="43" t="str">
        <x:v>RG8 8LA</x:v>
      </x:c>
      <x:c r="I141" s="43" t="n">
        <x:v>11</x:v>
      </x:c>
      <x:c r="J141" s="43" t="n">
        <x:v>19</x:v>
      </x:c>
      <x:c r="K141" s="43" t="str">
        <x:v>Boarding school</x:v>
      </x:c>
      <x:c r="L141" s="43" t="str">
        <x:v>Has a sixth form</x:v>
      </x:c>
      <x:c r="M141" s="43" t="n">
        <x:v>393</x:v>
      </x:c>
      <x:c r="N141" s="43" t="str">
        <x:v>http://www.pangbourne.com/</x:v>
      </x:c>
      <x:c r="O141" s="43" t="str">
        <x:v>01189842101</x:v>
      </x:c>
      <x:c r="P141" s="43" t="str"/>
      <x:c r="Q141" s="43" t="str"/>
      <x:c r="R141" s="43" t="str">
        <x:v>Queued for contact research</x:v>
      </x:c>
      <x:c r="S141" s="43" t="str">
        <x:v>Not reviewed</x:v>
      </x:c>
      <x:c r="T141" s="43" t="str">
        <x:v>Hold</x:v>
      </x:c>
      <x:c r="U141" s="43" t="str">
        <x:v>No</x:v>
      </x:c>
      <x:c r="V141" s="44"/>
      <x:c r="W141" s="43" t="str"/>
      <x:c r="X141" s="43" t="str"/>
      <x:c r="Y141" s="43" t="str"/>
      <x:c r="Z141" s="43" t="str">
        <x:v>https://www.get-information-schools.service.gov.uk/Downloads</x:v>
      </x:c>
    </x:row>
    <x:row r="142">
      <x:c r="A142" s="43" t="str">
        <x:v>UK independent</x:v>
      </x:c>
      <x:c r="B142" s="43" t="str">
        <x:v>123278</x:v>
      </x:c>
      <x:c r="C142" s="43" t="n">
        <x:f>IF(K142="Boarding school",30,0)+IF(J142&gt;=18,20,0)+IF(I142&lt;=11,10,0)+IF(L142="Has a sixth form",15,0)+IF(M142&gt;=200,10,0)+IF(N142&lt;&gt;"",10,0)</x:f>
        <x:v>95</x:v>
      </x:c>
      <x:c r="D142" s="43" t="str">
        <x:f>IF(C142&gt;=85,"A",IF(C142&gt;=65,"B","C"))</x:f>
        <x:v>A</x:v>
      </x:c>
      <x:c r="E142" s="43" t="str">
        <x:v>Sibford School</x:v>
      </x:c>
      <x:c r="F142" s="43" t="str">
        <x:v>Banbury</x:v>
      </x:c>
      <x:c r="G142" s="43" t="str">
        <x:v>Oxfordshire</x:v>
      </x:c>
      <x:c r="H142" s="43" t="str">
        <x:v>OX15 5QL</x:v>
      </x:c>
      <x:c r="I142" s="43" t="n">
        <x:v>3</x:v>
      </x:c>
      <x:c r="J142" s="43" t="n">
        <x:v>18</x:v>
      </x:c>
      <x:c r="K142" s="43" t="str">
        <x:v>Boarding school</x:v>
      </x:c>
      <x:c r="L142" s="43" t="str">
        <x:v>Has a sixth form</x:v>
      </x:c>
      <x:c r="M142" s="43" t="n">
        <x:v>382</x:v>
      </x:c>
      <x:c r="N142" s="43" t="str">
        <x:v>http://www.sibfordschool.co.uk</x:v>
      </x:c>
      <x:c r="O142" s="43" t="str">
        <x:v>01295781200</x:v>
      </x:c>
      <x:c r="P142" s="43" t="str"/>
      <x:c r="Q142" s="43" t="str"/>
      <x:c r="R142" s="43" t="str">
        <x:v>Queued for contact research</x:v>
      </x:c>
      <x:c r="S142" s="43" t="str">
        <x:v>Not reviewed</x:v>
      </x:c>
      <x:c r="T142" s="43" t="str">
        <x:v>Hold</x:v>
      </x:c>
      <x:c r="U142" s="43" t="str">
        <x:v>No</x:v>
      </x:c>
      <x:c r="V142" s="44"/>
      <x:c r="W142" s="43" t="str"/>
      <x:c r="X142" s="43" t="str"/>
      <x:c r="Y142" s="43" t="str"/>
      <x:c r="Z142" s="43" t="str">
        <x:v>https://www.get-information-schools.service.gov.uk/Downloads</x:v>
      </x:c>
    </x:row>
    <x:row r="143">
      <x:c r="A143" s="43" t="str">
        <x:v>UK independent</x:v>
      </x:c>
      <x:c r="B143" s="43" t="str">
        <x:v>121740</x:v>
      </x:c>
      <x:c r="C143" s="43" t="n">
        <x:f>IF(K143="Boarding school",30,0)+IF(J143&gt;=18,20,0)+IF(I143&lt;=11,10,0)+IF(L143="Has a sixth form",15,0)+IF(M143&gt;=200,10,0)+IF(N143&lt;&gt;"",10,0)</x:f>
        <x:v>95</x:v>
      </x:c>
      <x:c r="D143" s="43" t="str">
        <x:f>IF(C143&gt;=85,"A",IF(C143&gt;=65,"B","C"))</x:f>
        <x:v>A</x:v>
      </x:c>
      <x:c r="E143" s="43" t="str">
        <x:v>Giggleswick School</x:v>
      </x:c>
      <x:c r="F143" s="43" t="str">
        <x:v>Settle</x:v>
      </x:c>
      <x:c r="G143" s="43" t="str">
        <x:v>North Yorkshire</x:v>
      </x:c>
      <x:c r="H143" s="43" t="str">
        <x:v>BD24 0DE</x:v>
      </x:c>
      <x:c r="I143" s="43" t="n">
        <x:v>2</x:v>
      </x:c>
      <x:c r="J143" s="43" t="n">
        <x:v>19</x:v>
      </x:c>
      <x:c r="K143" s="43" t="str">
        <x:v>Boarding school</x:v>
      </x:c>
      <x:c r="L143" s="43" t="str">
        <x:v>Has a sixth form</x:v>
      </x:c>
      <x:c r="M143" s="43" t="n">
        <x:v>372</x:v>
      </x:c>
      <x:c r="N143" s="43" t="str">
        <x:v>https://www.giggleswick.org.uk</x:v>
      </x:c>
      <x:c r="O143" s="43" t="str">
        <x:v>01729893000</x:v>
      </x:c>
      <x:c r="P143" s="43" t="str"/>
      <x:c r="Q143" s="43" t="str"/>
      <x:c r="R143" s="43" t="str">
        <x:v>Queued for contact research</x:v>
      </x:c>
      <x:c r="S143" s="43" t="str">
        <x:v>Not reviewed</x:v>
      </x:c>
      <x:c r="T143" s="43" t="str">
        <x:v>Hold</x:v>
      </x:c>
      <x:c r="U143" s="43" t="str">
        <x:v>No</x:v>
      </x:c>
      <x:c r="V143" s="44"/>
      <x:c r="W143" s="43" t="str"/>
      <x:c r="X143" s="43" t="str"/>
      <x:c r="Y143" s="43" t="str"/>
      <x:c r="Z143" s="43" t="str">
        <x:v>https://www.get-information-schools.service.gov.uk/Downloads</x:v>
      </x:c>
    </x:row>
    <x:row r="144">
      <x:c r="A144" s="43" t="str">
        <x:v>UK independent</x:v>
      </x:c>
      <x:c r="B144" s="43" t="str">
        <x:v>110136</x:v>
      </x:c>
      <x:c r="C144" s="43" t="n">
        <x:f>IF(K144="Boarding school",30,0)+IF(J144&gt;=18,20,0)+IF(I144&lt;=11,10,0)+IF(L144="Has a sixth form",15,0)+IF(M144&gt;=200,10,0)+IF(N144&lt;&gt;"",10,0)</x:f>
        <x:v>95</x:v>
      </x:c>
      <x:c r="D144" s="43" t="str">
        <x:f>IF(C144&gt;=85,"A",IF(C144&gt;=65,"B","C"))</x:f>
        <x:v>A</x:v>
      </x:c>
      <x:c r="E144" s="43" t="str">
        <x:v>Luckley House School</x:v>
      </x:c>
      <x:c r="F144" s="43" t="str"/>
      <x:c r="G144" s="43" t="str"/>
      <x:c r="H144" s="43" t="str">
        <x:v>RG40 3EU</x:v>
      </x:c>
      <x:c r="I144" s="43" t="n">
        <x:v>11</x:v>
      </x:c>
      <x:c r="J144" s="43" t="n">
        <x:v>19</x:v>
      </x:c>
      <x:c r="K144" s="43" t="str">
        <x:v>Boarding school</x:v>
      </x:c>
      <x:c r="L144" s="43" t="str">
        <x:v>Has a sixth form</x:v>
      </x:c>
      <x:c r="M144" s="43" t="n">
        <x:v>372</x:v>
      </x:c>
      <x:c r="N144" s="43" t="str">
        <x:v>https://www.luckleyhouseschool.org</x:v>
      </x:c>
      <x:c r="O144" s="43" t="str">
        <x:v>01189784175</x:v>
      </x:c>
      <x:c r="P144" s="43" t="str"/>
      <x:c r="Q144" s="43" t="str"/>
      <x:c r="R144" s="43" t="str">
        <x:v>Queued for contact research</x:v>
      </x:c>
      <x:c r="S144" s="43" t="str">
        <x:v>Not reviewed</x:v>
      </x:c>
      <x:c r="T144" s="43" t="str">
        <x:v>Hold</x:v>
      </x:c>
      <x:c r="U144" s="43" t="str">
        <x:v>No</x:v>
      </x:c>
      <x:c r="V144" s="44"/>
      <x:c r="W144" s="43" t="str"/>
      <x:c r="X144" s="43" t="str"/>
      <x:c r="Y144" s="43" t="str"/>
      <x:c r="Z144" s="43" t="str">
        <x:v>https://www.get-information-schools.service.gov.uk/Downloads</x:v>
      </x:c>
    </x:row>
    <x:row r="145">
      <x:c r="A145" s="43" t="str">
        <x:v>UK independent</x:v>
      </x:c>
      <x:c r="B145" s="43" t="str">
        <x:v>112077</x:v>
      </x:c>
      <x:c r="C145" s="43" t="n">
        <x:f>IF(K145="Boarding school",30,0)+IF(J145&gt;=18,20,0)+IF(I145&lt;=11,10,0)+IF(L145="Has a sixth form",15,0)+IF(M145&gt;=200,10,0)+IF(N145&lt;&gt;"",10,0)</x:f>
        <x:v>95</x:v>
      </x:c>
      <x:c r="D145" s="43" t="str">
        <x:f>IF(C145&gt;=85,"A",IF(C145&gt;=65,"B","C"))</x:f>
        <x:v>A</x:v>
      </x:c>
      <x:c r="E145" s="43" t="str">
        <x:v>Truro High School</x:v>
      </x:c>
      <x:c r="F145" s="43" t="str">
        <x:v>Truro</x:v>
      </x:c>
      <x:c r="G145" s="43" t="str">
        <x:v>Cornwall</x:v>
      </x:c>
      <x:c r="H145" s="43" t="str">
        <x:v>TR1 2HU</x:v>
      </x:c>
      <x:c r="I145" s="43" t="n">
        <x:v>3</x:v>
      </x:c>
      <x:c r="J145" s="43" t="n">
        <x:v>18</x:v>
      </x:c>
      <x:c r="K145" s="43" t="str">
        <x:v>Boarding school</x:v>
      </x:c>
      <x:c r="L145" s="43" t="str">
        <x:v>Has a sixth form</x:v>
      </x:c>
      <x:c r="M145" s="43" t="n">
        <x:v>368</x:v>
      </x:c>
      <x:c r="N145" s="43" t="str">
        <x:v>https://www.trurohigh.co.uk</x:v>
      </x:c>
      <x:c r="O145" s="43" t="str">
        <x:v>01872272830</x:v>
      </x:c>
      <x:c r="P145" s="43" t="str"/>
      <x:c r="Q145" s="43" t="str"/>
      <x:c r="R145" s="43" t="str">
        <x:v>Queued for contact research</x:v>
      </x:c>
      <x:c r="S145" s="43" t="str">
        <x:v>Not reviewed</x:v>
      </x:c>
      <x:c r="T145" s="43" t="str">
        <x:v>Hold</x:v>
      </x:c>
      <x:c r="U145" s="43" t="str">
        <x:v>No</x:v>
      </x:c>
      <x:c r="V145" s="44"/>
      <x:c r="W145" s="43" t="str"/>
      <x:c r="X145" s="43" t="str"/>
      <x:c r="Y145" s="43" t="str"/>
      <x:c r="Z145" s="43" t="str">
        <x:v>https://www.get-information-schools.service.gov.uk/Downloads</x:v>
      </x:c>
    </x:row>
    <x:row r="146">
      <x:c r="A146" s="43" t="str">
        <x:v>UK independent</x:v>
      </x:c>
      <x:c r="B146" s="43" t="str">
        <x:v>107583</x:v>
      </x:c>
      <x:c r="C146" s="43" t="n">
        <x:f>IF(K146="Boarding school",30,0)+IF(J146&gt;=18,20,0)+IF(I146&lt;=11,10,0)+IF(L146="Has a sixth form",15,0)+IF(M146&gt;=200,10,0)+IF(N146&lt;&gt;"",10,0)</x:f>
        <x:v>95</x:v>
      </x:c>
      <x:c r="D146" s="43" t="str">
        <x:f>IF(C146&gt;=85,"A",IF(C146&gt;=65,"B","C"))</x:f>
        <x:v>A</x:v>
      </x:c>
      <x:c r="E146" s="43" t="str">
        <x:v>Rishworth School</x:v>
      </x:c>
      <x:c r="F146" s="43" t="str">
        <x:v>Sowerby Bridge</x:v>
      </x:c>
      <x:c r="G146" s="43" t="str">
        <x:v>West Yorkshire</x:v>
      </x:c>
      <x:c r="H146" s="43" t="str">
        <x:v>HX6 4QA</x:v>
      </x:c>
      <x:c r="I146" s="43" t="n">
        <x:v>10</x:v>
      </x:c>
      <x:c r="J146" s="43" t="n">
        <x:v>19</x:v>
      </x:c>
      <x:c r="K146" s="43" t="str">
        <x:v>Boarding school</x:v>
      </x:c>
      <x:c r="L146" s="43" t="str">
        <x:v>Has a sixth form</x:v>
      </x:c>
      <x:c r="M146" s="43" t="n">
        <x:v>361</x:v>
      </x:c>
      <x:c r="N146" s="43" t="str">
        <x:v>https://www.rishworth-school.co.uk</x:v>
      </x:c>
      <x:c r="O146" s="43" t="str">
        <x:v>01422822217</x:v>
      </x:c>
      <x:c r="P146" s="43" t="str"/>
      <x:c r="Q146" s="43" t="str"/>
      <x:c r="R146" s="43" t="str">
        <x:v>Queued for contact research</x:v>
      </x:c>
      <x:c r="S146" s="43" t="str">
        <x:v>Not reviewed</x:v>
      </x:c>
      <x:c r="T146" s="43" t="str">
        <x:v>Hold</x:v>
      </x:c>
      <x:c r="U146" s="43" t="str">
        <x:v>No</x:v>
      </x:c>
      <x:c r="V146" s="44"/>
      <x:c r="W146" s="43" t="str"/>
      <x:c r="X146" s="43" t="str"/>
      <x:c r="Y146" s="43" t="str"/>
      <x:c r="Z146" s="43" t="str">
        <x:v>https://www.get-information-schools.service.gov.uk/Downloads</x:v>
      </x:c>
    </x:row>
    <x:row r="147">
      <x:c r="A147" s="43" t="str">
        <x:v>UK independent</x:v>
      </x:c>
      <x:c r="B147" s="43" t="str">
        <x:v>121224</x:v>
      </x:c>
      <x:c r="C147" s="43" t="n">
        <x:f>IF(K147="Boarding school",30,0)+IF(J147&gt;=18,20,0)+IF(I147&lt;=11,10,0)+IF(L147="Has a sixth form",15,0)+IF(M147&gt;=200,10,0)+IF(N147&lt;&gt;"",10,0)</x:f>
        <x:v>95</x:v>
      </x:c>
      <x:c r="D147" s="43" t="str">
        <x:f>IF(C147&gt;=85,"A",IF(C147&gt;=65,"B","C"))</x:f>
        <x:v>A</x:v>
      </x:c>
      <x:c r="E147" s="43" t="str">
        <x:v>Langley School</x:v>
      </x:c>
      <x:c r="F147" s="43" t="str">
        <x:v>Norfolk</x:v>
      </x:c>
      <x:c r="G147" s="43" t="str"/>
      <x:c r="H147" s="43" t="str">
        <x:v>NR14 6BJ</x:v>
      </x:c>
      <x:c r="I147" s="43" t="n">
        <x:v>11</x:v>
      </x:c>
      <x:c r="J147" s="43" t="n">
        <x:v>18</x:v>
      </x:c>
      <x:c r="K147" s="43" t="str">
        <x:v>Boarding school</x:v>
      </x:c>
      <x:c r="L147" s="43" t="str">
        <x:v>Has a sixth form</x:v>
      </x:c>
      <x:c r="M147" s="43" t="n">
        <x:v>356</x:v>
      </x:c>
      <x:c r="N147" s="43" t="str">
        <x:v>https://www.langleyschool.co.uk</x:v>
      </x:c>
      <x:c r="O147" s="43" t="str">
        <x:v>01508520210</x:v>
      </x:c>
      <x:c r="P147" s="43" t="str"/>
      <x:c r="Q147" s="43" t="str"/>
      <x:c r="R147" s="43" t="str">
        <x:v>Queued for contact research</x:v>
      </x:c>
      <x:c r="S147" s="43" t="str">
        <x:v>Not reviewed</x:v>
      </x:c>
      <x:c r="T147" s="43" t="str">
        <x:v>Hold</x:v>
      </x:c>
      <x:c r="U147" s="43" t="str">
        <x:v>No</x:v>
      </x:c>
      <x:c r="V147" s="44"/>
      <x:c r="W147" s="43" t="str"/>
      <x:c r="X147" s="43" t="str"/>
      <x:c r="Y147" s="43" t="str"/>
      <x:c r="Z147" s="43" t="str">
        <x:v>https://www.get-information-schools.service.gov.uk/Downloads</x:v>
      </x:c>
    </x:row>
    <x:row r="148">
      <x:c r="A148" s="43" t="str">
        <x:v>UK independent</x:v>
      </x:c>
      <x:c r="B148" s="43" t="str">
        <x:v>131389</x:v>
      </x:c>
      <x:c r="C148" s="43" t="n">
        <x:f>IF(K148="Boarding school",30,0)+IF(J148&gt;=18,20,0)+IF(I148&lt;=11,10,0)+IF(L148="Has a sixth form",15,0)+IF(M148&gt;=200,10,0)+IF(N148&lt;&gt;"",10,0)</x:f>
        <x:v>95</x:v>
      </x:c>
      <x:c r="D148" s="43" t="str">
        <x:f>IF(C148&gt;=85,"A",IF(C148&gt;=65,"B","C"))</x:f>
        <x:v>A</x:v>
      </x:c>
      <x:c r="E148" s="43" t="str">
        <x:v>Jamiatul-Ilm Wal-Huda UK School</x:v>
      </x:c>
      <x:c r="F148" s="43" t="str">
        <x:v>Blackburn</x:v>
      </x:c>
      <x:c r="G148" s="43" t="str">
        <x:v>Lancashire</x:v>
      </x:c>
      <x:c r="H148" s="43" t="str">
        <x:v>BB1 5JT</x:v>
      </x:c>
      <x:c r="I148" s="43" t="n">
        <x:v>11</x:v>
      </x:c>
      <x:c r="J148" s="43" t="n">
        <x:v>25</x:v>
      </x:c>
      <x:c r="K148" s="43" t="str">
        <x:v>Boarding school</x:v>
      </x:c>
      <x:c r="L148" s="43" t="str">
        <x:v>Has a sixth form</x:v>
      </x:c>
      <x:c r="M148" s="43" t="n">
        <x:v>354</x:v>
      </x:c>
      <x:c r="N148" s="43" t="str">
        <x:v>https://www.jamiah.co.uk</x:v>
      </x:c>
      <x:c r="O148" s="43" t="str">
        <x:v>01254673105</x:v>
      </x:c>
      <x:c r="P148" s="43" t="str"/>
      <x:c r="Q148" s="43" t="str"/>
      <x:c r="R148" s="43" t="str">
        <x:v>Queued for contact research</x:v>
      </x:c>
      <x:c r="S148" s="43" t="str">
        <x:v>Not reviewed</x:v>
      </x:c>
      <x:c r="T148" s="43" t="str">
        <x:v>Hold</x:v>
      </x:c>
      <x:c r="U148" s="43" t="str">
        <x:v>No</x:v>
      </x:c>
      <x:c r="V148" s="44"/>
      <x:c r="W148" s="43" t="str"/>
      <x:c r="X148" s="43" t="str"/>
      <x:c r="Y148" s="43" t="str"/>
      <x:c r="Z148" s="43" t="str">
        <x:v>https://www.get-information-schools.service.gov.uk/Downloads</x:v>
      </x:c>
    </x:row>
    <x:row r="149">
      <x:c r="A149" s="43" t="str">
        <x:v>UK independent</x:v>
      </x:c>
      <x:c r="B149" s="43" t="str">
        <x:v>113937</x:v>
      </x:c>
      <x:c r="C149" s="43" t="n">
        <x:f>IF(K149="Boarding school",30,0)+IF(J149&gt;=18,20,0)+IF(I149&lt;=11,10,0)+IF(L149="Has a sixth form",15,0)+IF(M149&gt;=200,10,0)+IF(N149&lt;&gt;"",10,0)</x:f>
        <x:v>95</x:v>
      </x:c>
      <x:c r="D149" s="43" t="str">
        <x:f>IF(C149&gt;=85,"A",IF(C149&gt;=65,"B","C"))</x:f>
        <x:v>A</x:v>
      </x:c>
      <x:c r="E149" s="43" t="str">
        <x:v>Bournemouth Collegiate School</x:v>
      </x:c>
      <x:c r="F149" s="43" t="str">
        <x:v>Bournemouth</x:v>
      </x:c>
      <x:c r="G149" s="43" t="str">
        <x:v>Dorset</x:v>
      </x:c>
      <x:c r="H149" s="43" t="str">
        <x:v>BH5 2DY</x:v>
      </x:c>
      <x:c r="I149" s="43" t="n">
        <x:v>11</x:v>
      </x:c>
      <x:c r="J149" s="43" t="n">
        <x:v>19</x:v>
      </x:c>
      <x:c r="K149" s="43" t="str">
        <x:v>Boarding school</x:v>
      </x:c>
      <x:c r="L149" s="43" t="str">
        <x:v>Has a sixth form</x:v>
      </x:c>
      <x:c r="M149" s="43" t="n">
        <x:v>353</x:v>
      </x:c>
      <x:c r="N149" s="43" t="str">
        <x:v>https://www.bournemouthcollegiateschool.co.uk</x:v>
      </x:c>
      <x:c r="O149" s="43" t="str">
        <x:v>01202436550</x:v>
      </x:c>
      <x:c r="P149" s="43" t="str"/>
      <x:c r="Q149" s="43" t="str"/>
      <x:c r="R149" s="43" t="str">
        <x:v>Queued for contact research</x:v>
      </x:c>
      <x:c r="S149" s="43" t="str">
        <x:v>Not reviewed</x:v>
      </x:c>
      <x:c r="T149" s="43" t="str">
        <x:v>Hold</x:v>
      </x:c>
      <x:c r="U149" s="43" t="str">
        <x:v>No</x:v>
      </x:c>
      <x:c r="V149" s="44"/>
      <x:c r="W149" s="43" t="str"/>
      <x:c r="X149" s="43" t="str"/>
      <x:c r="Y149" s="43" t="str"/>
      <x:c r="Z149" s="43" t="str">
        <x:v>https://www.get-information-schools.service.gov.uk/Downloads</x:v>
      </x:c>
    </x:row>
    <x:row r="150">
      <x:c r="A150" s="43" t="str">
        <x:v>UK independent</x:v>
      </x:c>
      <x:c r="B150" s="43" t="str">
        <x:v>118946</x:v>
      </x:c>
      <x:c r="C150" s="43" t="n">
        <x:f>IF(K150="Boarding school",30,0)+IF(J150&gt;=18,20,0)+IF(I150&lt;=11,10,0)+IF(L150="Has a sixth form",15,0)+IF(M150&gt;=200,10,0)+IF(N150&lt;&gt;"",10,0)</x:f>
        <x:v>95</x:v>
      </x:c>
      <x:c r="D150" s="43" t="str">
        <x:f>IF(C150&gt;=85,"A",IF(C150&gt;=65,"B","C"))</x:f>
        <x:v>A</x:v>
      </x:c>
      <x:c r="E150" s="43" t="str">
        <x:v>Kent College Pembury</x:v>
      </x:c>
      <x:c r="F150" s="43" t="str">
        <x:v>Tunbridge Wells</x:v>
      </x:c>
      <x:c r="G150" s="43" t="str">
        <x:v>Kent</x:v>
      </x:c>
      <x:c r="H150" s="43" t="str">
        <x:v>TN2 4AX</x:v>
      </x:c>
      <x:c r="I150" s="43" t="n">
        <x:v>2</x:v>
      </x:c>
      <x:c r="J150" s="43" t="n">
        <x:v>20</x:v>
      </x:c>
      <x:c r="K150" s="43" t="str">
        <x:v>Boarding school</x:v>
      </x:c>
      <x:c r="L150" s="43" t="str">
        <x:v>Has a sixth form</x:v>
      </x:c>
      <x:c r="M150" s="43" t="n">
        <x:v>352</x:v>
      </x:c>
      <x:c r="N150" s="43" t="str">
        <x:v>http://www.kent-college.co.uk/</x:v>
      </x:c>
      <x:c r="O150" s="43" t="str">
        <x:v>01892822006</x:v>
      </x:c>
      <x:c r="P150" s="43" t="str"/>
      <x:c r="Q150" s="43" t="str"/>
      <x:c r="R150" s="43" t="str">
        <x:v>Queued for contact research</x:v>
      </x:c>
      <x:c r="S150" s="43" t="str">
        <x:v>Not reviewed</x:v>
      </x:c>
      <x:c r="T150" s="43" t="str">
        <x:v>Hold</x:v>
      </x:c>
      <x:c r="U150" s="43" t="str">
        <x:v>No</x:v>
      </x:c>
      <x:c r="V150" s="44"/>
      <x:c r="W150" s="43" t="str"/>
      <x:c r="X150" s="43" t="str"/>
      <x:c r="Y150" s="43" t="str"/>
      <x:c r="Z150" s="43" t="str">
        <x:v>https://www.get-information-schools.service.gov.uk/Downloads</x:v>
      </x:c>
    </x:row>
    <x:row r="151">
      <x:c r="A151" s="43" t="str">
        <x:v>UK independent</x:v>
      </x:c>
      <x:c r="B151" s="43" t="str">
        <x:v>114627</x:v>
      </x:c>
      <x:c r="C151" s="43" t="n">
        <x:f>IF(K151="Boarding school",30,0)+IF(J151&gt;=18,20,0)+IF(I151&lt;=11,10,0)+IF(L151="Has a sixth form",15,0)+IF(M151&gt;=200,10,0)+IF(N151&lt;&gt;"",10,0)</x:f>
        <x:v>95</x:v>
      </x:c>
      <x:c r="D151" s="43" t="str">
        <x:f>IF(C151&gt;=85,"A",IF(C151&gt;=65,"B","C"))</x:f>
        <x:v>A</x:v>
      </x:c>
      <x:c r="E151" s="43" t="str">
        <x:v>Mayfield School</x:v>
      </x:c>
      <x:c r="F151" s="43" t="str">
        <x:v>Mayfield</x:v>
      </x:c>
      <x:c r="G151" s="43" t="str">
        <x:v>East Sussex</x:v>
      </x:c>
      <x:c r="H151" s="43" t="str">
        <x:v>TN20 6PH</x:v>
      </x:c>
      <x:c r="I151" s="43" t="n">
        <x:v>11</x:v>
      </x:c>
      <x:c r="J151" s="43" t="n">
        <x:v>18</x:v>
      </x:c>
      <x:c r="K151" s="43" t="str">
        <x:v>Boarding school</x:v>
      </x:c>
      <x:c r="L151" s="43" t="str">
        <x:v>Has a sixth form</x:v>
      </x:c>
      <x:c r="M151" s="43" t="n">
        <x:v>349</x:v>
      </x:c>
      <x:c r="N151" s="43" t="str">
        <x:v>https://www.mayfieldgirls.org/</x:v>
      </x:c>
      <x:c r="O151" s="43" t="str">
        <x:v>01435874600</x:v>
      </x:c>
      <x:c r="P151" s="43" t="str"/>
      <x:c r="Q151" s="43" t="str"/>
      <x:c r="R151" s="43" t="str">
        <x:v>Queued for contact research</x:v>
      </x:c>
      <x:c r="S151" s="43" t="str">
        <x:v>Not reviewed</x:v>
      </x:c>
      <x:c r="T151" s="43" t="str">
        <x:v>Hold</x:v>
      </x:c>
      <x:c r="U151" s="43" t="str">
        <x:v>No</x:v>
      </x:c>
      <x:c r="V151" s="44"/>
      <x:c r="W151" s="43" t="str"/>
      <x:c r="X151" s="43" t="str"/>
      <x:c r="Y151" s="43" t="str"/>
      <x:c r="Z151" s="43" t="str">
        <x:v>https://www.get-information-schools.service.gov.uk/Downloads</x:v>
      </x:c>
    </x:row>
    <x:row r="152">
      <x:c r="A152" s="43" t="str">
        <x:v>UK independent</x:v>
      </x:c>
      <x:c r="B152" s="43" t="str">
        <x:v>117618</x:v>
      </x:c>
      <x:c r="C152" s="43" t="n">
        <x:f>IF(K152="Boarding school",30,0)+IF(J152&gt;=18,20,0)+IF(I152&lt;=11,10,0)+IF(L152="Has a sixth form",15,0)+IF(M152&gt;=200,10,0)+IF(N152&lt;&gt;"",10,0)</x:f>
        <x:v>95</x:v>
      </x:c>
      <x:c r="D152" s="43" t="str">
        <x:f>IF(C152&gt;=85,"A",IF(C152&gt;=65,"B","C"))</x:f>
        <x:v>A</x:v>
      </x:c>
      <x:c r="E152" s="43" t="str">
        <x:v>Tring Park School for the Performing Arts</x:v>
      </x:c>
      <x:c r="F152" s="43" t="str">
        <x:v>Tring</x:v>
      </x:c>
      <x:c r="G152" s="43" t="str">
        <x:v>Hertfordshire</x:v>
      </x:c>
      <x:c r="H152" s="43" t="str">
        <x:v>HP23 5LX</x:v>
      </x:c>
      <x:c r="I152" s="43" t="n">
        <x:v>7</x:v>
      </x:c>
      <x:c r="J152" s="43" t="n">
        <x:v>19</x:v>
      </x:c>
      <x:c r="K152" s="43" t="str">
        <x:v>Boarding school</x:v>
      </x:c>
      <x:c r="L152" s="43" t="str">
        <x:v>Has a sixth form</x:v>
      </x:c>
      <x:c r="M152" s="43" t="n">
        <x:v>336</x:v>
      </x:c>
      <x:c r="N152" s="43" t="str">
        <x:v>https://www.tringpark.com/</x:v>
      </x:c>
      <x:c r="O152" s="43" t="str">
        <x:v>01442824255</x:v>
      </x:c>
      <x:c r="P152" s="43" t="str"/>
      <x:c r="Q152" s="43" t="str"/>
      <x:c r="R152" s="43" t="str">
        <x:v>Queued for contact research</x:v>
      </x:c>
      <x:c r="S152" s="43" t="str">
        <x:v>Not reviewed</x:v>
      </x:c>
      <x:c r="T152" s="43" t="str">
        <x:v>Hold</x:v>
      </x:c>
      <x:c r="U152" s="43" t="str">
        <x:v>No</x:v>
      </x:c>
      <x:c r="V152" s="44"/>
      <x:c r="W152" s="43" t="str"/>
      <x:c r="X152" s="43" t="str"/>
      <x:c r="Y152" s="43" t="str"/>
      <x:c r="Z152" s="43" t="str">
        <x:v>https://www.get-information-schools.service.gov.uk/Downloads</x:v>
      </x:c>
    </x:row>
    <x:row r="153">
      <x:c r="A153" s="43" t="str">
        <x:v>UK independent</x:v>
      </x:c>
      <x:c r="B153" s="43" t="str">
        <x:v>123604</x:v>
      </x:c>
      <x:c r="C153" s="43" t="n">
        <x:f>IF(K153="Boarding school",30,0)+IF(J153&gt;=18,20,0)+IF(I153&lt;=11,10,0)+IF(L153="Has a sixth form",15,0)+IF(M153&gt;=200,10,0)+IF(N153&lt;&gt;"",10,0)</x:f>
        <x:v>95</x:v>
      </x:c>
      <x:c r="D153" s="43" t="str">
        <x:f>IF(C153&gt;=85,"A",IF(C153&gt;=65,"B","C"))</x:f>
        <x:v>A</x:v>
      </x:c>
      <x:c r="E153" s="43" t="str">
        <x:v>Moreton Hall School</x:v>
      </x:c>
      <x:c r="F153" s="43" t="str">
        <x:v>Oswestry</x:v>
      </x:c>
      <x:c r="G153" s="43" t="str">
        <x:v>Shropshire</x:v>
      </x:c>
      <x:c r="H153" s="43" t="str">
        <x:v>SY11 3EW</x:v>
      </x:c>
      <x:c r="I153" s="43" t="n">
        <x:v>1</x:v>
      </x:c>
      <x:c r="J153" s="43" t="n">
        <x:v>18</x:v>
      </x:c>
      <x:c r="K153" s="43" t="str">
        <x:v>Boarding school</x:v>
      </x:c>
      <x:c r="L153" s="43" t="str">
        <x:v>Has a sixth form</x:v>
      </x:c>
      <x:c r="M153" s="43" t="n">
        <x:v>333</x:v>
      </x:c>
      <x:c r="N153" s="43" t="str">
        <x:v>https://www.moretonhall.org</x:v>
      </x:c>
      <x:c r="O153" s="43" t="str">
        <x:v>01691773671</x:v>
      </x:c>
      <x:c r="P153" s="43" t="str"/>
      <x:c r="Q153" s="43" t="str"/>
      <x:c r="R153" s="43" t="str">
        <x:v>Queued for contact research</x:v>
      </x:c>
      <x:c r="S153" s="43" t="str">
        <x:v>Not reviewed</x:v>
      </x:c>
      <x:c r="T153" s="43" t="str">
        <x:v>Hold</x:v>
      </x:c>
      <x:c r="U153" s="43" t="str">
        <x:v>No</x:v>
      </x:c>
      <x:c r="V153" s="44"/>
      <x:c r="W153" s="43" t="str"/>
      <x:c r="X153" s="43" t="str"/>
      <x:c r="Y153" s="43" t="str"/>
      <x:c r="Z153" s="43" t="str">
        <x:v>https://www.get-information-schools.service.gov.uk/Downloads</x:v>
      </x:c>
    </x:row>
    <x:row r="154">
      <x:c r="A154" s="43" t="str">
        <x:v>UK independent</x:v>
      </x:c>
      <x:c r="B154" s="43" t="str">
        <x:v>105588</x:v>
      </x:c>
      <x:c r="C154" s="43" t="n">
        <x:f>IF(K154="Boarding school",30,0)+IF(J154&gt;=18,20,0)+IF(I154&lt;=11,10,0)+IF(L154="Has a sixth form",15,0)+IF(M154&gt;=200,10,0)+IF(N154&lt;&gt;"",10,0)</x:f>
        <x:v>95</x:v>
      </x:c>
      <x:c r="D154" s="43" t="str">
        <x:f>IF(C154&gt;=85,"A",IF(C154&gt;=65,"B","C"))</x:f>
        <x:v>A</x:v>
      </x:c>
      <x:c r="E154" s="43" t="str">
        <x:v>Chetham's School of Music</x:v>
      </x:c>
      <x:c r="F154" s="43" t="str"/>
      <x:c r="G154" s="43" t="str"/>
      <x:c r="H154" s="43" t="str">
        <x:v>M3 1SB</x:v>
      </x:c>
      <x:c r="I154" s="43" t="n">
        <x:v>8</x:v>
      </x:c>
      <x:c r="J154" s="43" t="n">
        <x:v>19</x:v>
      </x:c>
      <x:c r="K154" s="43" t="str">
        <x:v>Boarding school</x:v>
      </x:c>
      <x:c r="L154" s="43" t="str">
        <x:v>Has a sixth form</x:v>
      </x:c>
      <x:c r="M154" s="43" t="n">
        <x:v>331</x:v>
      </x:c>
      <x:c r="N154" s="43" t="str">
        <x:v>https://www.chethamsschoolofmusic.com</x:v>
      </x:c>
      <x:c r="O154" s="43" t="str">
        <x:v>01618349644</x:v>
      </x:c>
      <x:c r="P154" s="43" t="str"/>
      <x:c r="Q154" s="43" t="str"/>
      <x:c r="R154" s="43" t="str">
        <x:v>Queued for contact research</x:v>
      </x:c>
      <x:c r="S154" s="43" t="str">
        <x:v>Not reviewed</x:v>
      </x:c>
      <x:c r="T154" s="43" t="str">
        <x:v>Hold</x:v>
      </x:c>
      <x:c r="U154" s="43" t="str">
        <x:v>No</x:v>
      </x:c>
      <x:c r="V154" s="44"/>
      <x:c r="W154" s="43" t="str"/>
      <x:c r="X154" s="43" t="str"/>
      <x:c r="Y154" s="43" t="str"/>
      <x:c r="Z154" s="43" t="str">
        <x:v>https://www.get-information-schools.service.gov.uk/Downloads</x:v>
      </x:c>
    </x:row>
    <x:row r="155">
      <x:c r="A155" s="43" t="str">
        <x:v>UK independent</x:v>
      </x:c>
      <x:c r="B155" s="43" t="str">
        <x:v>110109</x:v>
      </x:c>
      <x:c r="C155" s="43" t="n">
        <x:f>IF(K155="Boarding school",30,0)+IF(J155&gt;=18,20,0)+IF(I155&lt;=11,10,0)+IF(L155="Has a sixth form",15,0)+IF(M155&gt;=200,10,0)+IF(N155&lt;&gt;"",10,0)</x:f>
        <x:v>95</x:v>
      </x:c>
      <x:c r="D155" s="43" t="str">
        <x:f>IF(C155&gt;=85,"A",IF(C155&gt;=65,"B","C"))</x:f>
        <x:v>A</x:v>
      </x:c>
      <x:c r="E155" s="43" t="str">
        <x:v>Queen Anne's School</x:v>
      </x:c>
      <x:c r="F155" s="43" t="str">
        <x:v>Reading</x:v>
      </x:c>
      <x:c r="G155" s="43" t="str">
        <x:v>Berkshire</x:v>
      </x:c>
      <x:c r="H155" s="43" t="str">
        <x:v>RG4 6DX</x:v>
      </x:c>
      <x:c r="I155" s="43" t="n">
        <x:v>11</x:v>
      </x:c>
      <x:c r="J155" s="43" t="n">
        <x:v>19</x:v>
      </x:c>
      <x:c r="K155" s="43" t="str">
        <x:v>Boarding school</x:v>
      </x:c>
      <x:c r="L155" s="43" t="str">
        <x:v>Has a sixth form</x:v>
      </x:c>
      <x:c r="M155" s="43" t="n">
        <x:v>327</x:v>
      </x:c>
      <x:c r="N155" s="43" t="str">
        <x:v>https://www.qas.org.uk</x:v>
      </x:c>
      <x:c r="O155" s="43" t="str">
        <x:v>01189187300</x:v>
      </x:c>
      <x:c r="P155" s="43" t="str"/>
      <x:c r="Q155" s="43" t="str"/>
      <x:c r="R155" s="43" t="str">
        <x:v>Queued for contact research</x:v>
      </x:c>
      <x:c r="S155" s="43" t="str">
        <x:v>Not reviewed</x:v>
      </x:c>
      <x:c r="T155" s="43" t="str">
        <x:v>Hold</x:v>
      </x:c>
      <x:c r="U155" s="43" t="str">
        <x:v>No</x:v>
      </x:c>
      <x:c r="V155" s="44"/>
      <x:c r="W155" s="43" t="str"/>
      <x:c r="X155" s="43" t="str"/>
      <x:c r="Y155" s="43" t="str"/>
      <x:c r="Z155" s="43" t="str">
        <x:v>https://www.get-information-schools.service.gov.uk/Downloads</x:v>
      </x:c>
    </x:row>
    <x:row r="156">
      <x:c r="A156" s="43" t="str">
        <x:v>UK independent</x:v>
      </x:c>
      <x:c r="B156" s="43" t="str">
        <x:v>110549</x:v>
      </x:c>
      <x:c r="C156" s="43" t="n">
        <x:f>IF(K156="Boarding school",30,0)+IF(J156&gt;=18,20,0)+IF(I156&lt;=11,10,0)+IF(L156="Has a sixth form",15,0)+IF(M156&gt;=200,10,0)+IF(N156&lt;&gt;"",10,0)</x:f>
        <x:v>95</x:v>
      </x:c>
      <x:c r="D156" s="43" t="str">
        <x:f>IF(C156&gt;=85,"A",IF(C156&gt;=65,"B","C"))</x:f>
        <x:v>A</x:v>
      </x:c>
      <x:c r="E156" s="43" t="str">
        <x:v>Thornton College</x:v>
      </x:c>
      <x:c r="F156" s="43" t="str">
        <x:v>Milton Keynes</x:v>
      </x:c>
      <x:c r="G156" s="43" t="str">
        <x:v>Buckinghamshire</x:v>
      </x:c>
      <x:c r="H156" s="43" t="str">
        <x:v>MK17 0HJ</x:v>
      </x:c>
      <x:c r="I156" s="43" t="n">
        <x:v>3</x:v>
      </x:c>
      <x:c r="J156" s="43" t="n">
        <x:v>19</x:v>
      </x:c>
      <x:c r="K156" s="43" t="str">
        <x:v>Boarding school</x:v>
      </x:c>
      <x:c r="L156" s="43" t="str">
        <x:v>Has a sixth form</x:v>
      </x:c>
      <x:c r="M156" s="43" t="n">
        <x:v>315</x:v>
      </x:c>
      <x:c r="N156" s="43" t="str">
        <x:v>https://www.thorntoncollege.com</x:v>
      </x:c>
      <x:c r="O156" s="43" t="str">
        <x:v>01280812610</x:v>
      </x:c>
      <x:c r="P156" s="43" t="str"/>
      <x:c r="Q156" s="43" t="str"/>
      <x:c r="R156" s="43" t="str">
        <x:v>Queued for contact research</x:v>
      </x:c>
      <x:c r="S156" s="43" t="str">
        <x:v>Not reviewed</x:v>
      </x:c>
      <x:c r="T156" s="43" t="str">
        <x:v>Hold</x:v>
      </x:c>
      <x:c r="U156" s="43" t="str">
        <x:v>No</x:v>
      </x:c>
      <x:c r="V156" s="44"/>
      <x:c r="W156" s="43" t="str"/>
      <x:c r="X156" s="43" t="str"/>
      <x:c r="Y156" s="43" t="str"/>
      <x:c r="Z156" s="43" t="str">
        <x:v>https://www.get-information-schools.service.gov.uk/Downloads</x:v>
      </x:c>
    </x:row>
    <x:row r="157">
      <x:c r="A157" s="43" t="str">
        <x:v>UK independent</x:v>
      </x:c>
      <x:c r="B157" s="43" t="str">
        <x:v>118978</x:v>
      </x:c>
      <x:c r="C157" s="43" t="n">
        <x:f>IF(K157="Boarding school",30,0)+IF(J157&gt;=18,20,0)+IF(I157&lt;=11,10,0)+IF(L157="Has a sixth form",15,0)+IF(M157&gt;=200,10,0)+IF(N157&lt;&gt;"",10,0)</x:f>
        <x:v>95</x:v>
      </x:c>
      <x:c r="D157" s="43" t="str">
        <x:f>IF(C157&gt;=85,"A",IF(C157&gt;=65,"B","C"))</x:f>
        <x:v>A</x:v>
      </x:c>
      <x:c r="E157" s="43" t="str">
        <x:v>Bethany School</x:v>
      </x:c>
      <x:c r="F157" s="43" t="str">
        <x:v>Cranbrook</x:v>
      </x:c>
      <x:c r="G157" s="43" t="str">
        <x:v>Kent</x:v>
      </x:c>
      <x:c r="H157" s="43" t="str">
        <x:v>TN17 1LB</x:v>
      </x:c>
      <x:c r="I157" s="43" t="n">
        <x:v>11</x:v>
      </x:c>
      <x:c r="J157" s="43" t="n">
        <x:v>18</x:v>
      </x:c>
      <x:c r="K157" s="43" t="str">
        <x:v>Boarding school</x:v>
      </x:c>
      <x:c r="L157" s="43" t="str">
        <x:v>Has a sixth form</x:v>
      </x:c>
      <x:c r="M157" s="43" t="n">
        <x:v>309</x:v>
      </x:c>
      <x:c r="N157" s="43" t="str">
        <x:v>http://www.bethanyschool.org.uk</x:v>
      </x:c>
      <x:c r="O157" s="43" t="str">
        <x:v>01580211273</x:v>
      </x:c>
      <x:c r="P157" s="43" t="str"/>
      <x:c r="Q157" s="43" t="str"/>
      <x:c r="R157" s="43" t="str">
        <x:v>Queued for contact research</x:v>
      </x:c>
      <x:c r="S157" s="43" t="str">
        <x:v>Not reviewed</x:v>
      </x:c>
      <x:c r="T157" s="43" t="str">
        <x:v>Hold</x:v>
      </x:c>
      <x:c r="U157" s="43" t="str">
        <x:v>No</x:v>
      </x:c>
      <x:c r="V157" s="44"/>
      <x:c r="W157" s="43" t="str"/>
      <x:c r="X157" s="43" t="str"/>
      <x:c r="Y157" s="43" t="str"/>
      <x:c r="Z157" s="43" t="str">
        <x:v>https://www.get-information-schools.service.gov.uk/Downloads</x:v>
      </x:c>
    </x:row>
    <x:row r="158">
      <x:c r="A158" s="43" t="str">
        <x:v>UK independent</x:v>
      </x:c>
      <x:c r="B158" s="43" t="str">
        <x:v>149569</x:v>
      </x:c>
      <x:c r="C158" s="43" t="n">
        <x:f>IF(K158="Boarding school",30,0)+IF(J158&gt;=18,20,0)+IF(I158&lt;=11,10,0)+IF(L158="Has a sixth form",15,0)+IF(M158&gt;=200,10,0)+IF(N158&lt;&gt;"",10,0)</x:f>
        <x:v>95</x:v>
      </x:c>
      <x:c r="D158" s="43" t="str">
        <x:f>IF(C158&gt;=85,"A",IF(C158&gt;=65,"B","C"))</x:f>
        <x:v>A</x:v>
      </x:c>
      <x:c r="E158" s="43" t="str">
        <x:v>Thomas's College</x:v>
      </x:c>
      <x:c r="F158" s="43" t="str">
        <x:v>Richmond</x:v>
      </x:c>
      <x:c r="G158" s="43" t="str"/>
      <x:c r="H158" s="43" t="str">
        <x:v>TW10 6JW</x:v>
      </x:c>
      <x:c r="I158" s="43" t="n">
        <x:v>11</x:v>
      </x:c>
      <x:c r="J158" s="43" t="n">
        <x:v>18</x:v>
      </x:c>
      <x:c r="K158" s="43" t="str">
        <x:v>Boarding school</x:v>
      </x:c>
      <x:c r="L158" s="43" t="str">
        <x:v>Has a sixth form</x:v>
      </x:c>
      <x:c r="M158" s="43" t="n">
        <x:v>304</x:v>
      </x:c>
      <x:c r="N158" s="43" t="str">
        <x:v>https://www.thomas-s.co.uk/thomass-college/</x:v>
      </x:c>
      <x:c r="O158" s="43" t="str">
        <x:v>02079780901</x:v>
      </x:c>
      <x:c r="P158" s="43" t="str"/>
      <x:c r="Q158" s="43" t="str"/>
      <x:c r="R158" s="43" t="str">
        <x:v>Queued for contact research</x:v>
      </x:c>
      <x:c r="S158" s="43" t="str">
        <x:v>Not reviewed</x:v>
      </x:c>
      <x:c r="T158" s="43" t="str">
        <x:v>Hold</x:v>
      </x:c>
      <x:c r="U158" s="43" t="str">
        <x:v>No</x:v>
      </x:c>
      <x:c r="V158" s="44"/>
      <x:c r="W158" s="43" t="str"/>
      <x:c r="X158" s="43" t="str"/>
      <x:c r="Y158" s="43" t="str"/>
      <x:c r="Z158" s="43" t="str">
        <x:v>https://www.get-information-schools.service.gov.uk/Downloads</x:v>
      </x:c>
    </x:row>
    <x:row r="159">
      <x:c r="A159" s="43" t="str">
        <x:v>UK independent</x:v>
      </x:c>
      <x:c r="B159" s="43" t="str">
        <x:v>118949</x:v>
      </x:c>
      <x:c r="C159" s="43" t="n">
        <x:f>IF(K159="Boarding school",30,0)+IF(J159&gt;=18,20,0)+IF(I159&lt;=11,10,0)+IF(L159="Has a sixth form",15,0)+IF(M159&gt;=200,10,0)+IF(N159&lt;&gt;"",10,0)</x:f>
        <x:v>95</x:v>
      </x:c>
      <x:c r="D159" s="43" t="str">
        <x:f>IF(C159&gt;=85,"A",IF(C159&gt;=65,"B","C"))</x:f>
        <x:v>A</x:v>
      </x:c>
      <x:c r="E159" s="43" t="str">
        <x:v>Beechwood School</x:v>
      </x:c>
      <x:c r="F159" s="43" t="str">
        <x:v>Tunbridge Wells</x:v>
      </x:c>
      <x:c r="G159" s="43" t="str">
        <x:v>Kent</x:v>
      </x:c>
      <x:c r="H159" s="43" t="str">
        <x:v>TN2 3QD</x:v>
      </x:c>
      <x:c r="I159" s="43" t="n">
        <x:v>2</x:v>
      </x:c>
      <x:c r="J159" s="43" t="n">
        <x:v>19</x:v>
      </x:c>
      <x:c r="K159" s="43" t="str">
        <x:v>Boarding school</x:v>
      </x:c>
      <x:c r="L159" s="43" t="str">
        <x:v>Has a sixth form</x:v>
      </x:c>
      <x:c r="M159" s="43" t="n">
        <x:v>303</x:v>
      </x:c>
      <x:c r="N159" s="43" t="str">
        <x:v>http://www.beechwood.org.uk</x:v>
      </x:c>
      <x:c r="O159" s="43" t="str">
        <x:v>01892532747</x:v>
      </x:c>
      <x:c r="P159" s="43" t="str"/>
      <x:c r="Q159" s="43" t="str"/>
      <x:c r="R159" s="43" t="str">
        <x:v>Queued for contact research</x:v>
      </x:c>
      <x:c r="S159" s="43" t="str">
        <x:v>Not reviewed</x:v>
      </x:c>
      <x:c r="T159" s="43" t="str">
        <x:v>Hold</x:v>
      </x:c>
      <x:c r="U159" s="43" t="str">
        <x:v>No</x:v>
      </x:c>
      <x:c r="V159" s="44"/>
      <x:c r="W159" s="43" t="str"/>
      <x:c r="X159" s="43" t="str"/>
      <x:c r="Y159" s="43" t="str"/>
      <x:c r="Z159" s="43" t="str">
        <x:v>https://www.get-information-schools.service.gov.uk/Downloads</x:v>
      </x:c>
    </x:row>
    <x:row r="160">
      <x:c r="A160" s="43" t="str">
        <x:v>UK independent</x:v>
      </x:c>
      <x:c r="B160" s="43" t="str">
        <x:v>125388</x:v>
      </x:c>
      <x:c r="C160" s="43" t="n">
        <x:f>IF(K160="Boarding school",30,0)+IF(J160&gt;=18,20,0)+IF(I160&lt;=11,10,0)+IF(L160="Has a sixth form",15,0)+IF(M160&gt;=200,10,0)+IF(N160&lt;&gt;"",10,0)</x:f>
        <x:v>95</x:v>
      </x:c>
      <x:c r="D160" s="43" t="str">
        <x:f>IF(C160&gt;=85,"A",IF(C160&gt;=65,"B","C"))</x:f>
        <x:v>A</x:v>
      </x:c>
      <x:c r="E160" s="43" t="str">
        <x:v>RGS Surrey Hills</x:v>
      </x:c>
      <x:c r="F160" s="43" t="str">
        <x:v>Dorking</x:v>
      </x:c>
      <x:c r="G160" s="43" t="str">
        <x:v>Surrey</x:v>
      </x:c>
      <x:c r="H160" s="43" t="str">
        <x:v>RH5 6EA</x:v>
      </x:c>
      <x:c r="I160" s="43" t="n">
        <x:v>11</x:v>
      </x:c>
      <x:c r="J160" s="43" t="n">
        <x:v>18</x:v>
      </x:c>
      <x:c r="K160" s="43" t="str">
        <x:v>Boarding school</x:v>
      </x:c>
      <x:c r="L160" s="43" t="str">
        <x:v>Has a sixth form</x:v>
      </x:c>
      <x:c r="M160" s="43" t="n">
        <x:v>303</x:v>
      </x:c>
      <x:c r="N160" s="43" t="str">
        <x:v>https://rgs-surreyhills.org/</x:v>
      </x:c>
      <x:c r="O160" s="43" t="str">
        <x:v>01372373382</x:v>
      </x:c>
      <x:c r="P160" s="43" t="str"/>
      <x:c r="Q160" s="43" t="str"/>
      <x:c r="R160" s="43" t="str">
        <x:v>Queued for contact research</x:v>
      </x:c>
      <x:c r="S160" s="43" t="str">
        <x:v>Not reviewed</x:v>
      </x:c>
      <x:c r="T160" s="43" t="str">
        <x:v>Hold</x:v>
      </x:c>
      <x:c r="U160" s="43" t="str">
        <x:v>No</x:v>
      </x:c>
      <x:c r="V160" s="44"/>
      <x:c r="W160" s="43" t="str"/>
      <x:c r="X160" s="43" t="str"/>
      <x:c r="Y160" s="43" t="str"/>
      <x:c r="Z160" s="43" t="str">
        <x:v>https://www.get-information-schools.service.gov.uk/Downloads</x:v>
      </x:c>
    </x:row>
    <x:row r="161">
      <x:c r="A161" s="43" t="str">
        <x:v>UK independent</x:v>
      </x:c>
      <x:c r="B161" s="43" t="str">
        <x:v>122376</x:v>
      </x:c>
      <x:c r="C161" s="43" t="n">
        <x:f>IF(K161="Boarding school",30,0)+IF(J161&gt;=18,20,0)+IF(I161&lt;=11,10,0)+IF(L161="Has a sixth form",15,0)+IF(M161&gt;=200,10,0)+IF(N161&lt;&gt;"",10,0)</x:f>
        <x:v>95</x:v>
      </x:c>
      <x:c r="D161" s="43" t="str">
        <x:f>IF(C161&gt;=85,"A",IF(C161&gt;=65,"B","C"))</x:f>
        <x:v>A</x:v>
      </x:c>
      <x:c r="E161" s="43" t="str">
        <x:v>Longridge Towers School</x:v>
      </x:c>
      <x:c r="F161" s="43" t="str">
        <x:v>Berwick-upon-Tweed</x:v>
      </x:c>
      <x:c r="G161" s="43" t="str">
        <x:v>Northumberland</x:v>
      </x:c>
      <x:c r="H161" s="43" t="str">
        <x:v>TD15 2XQ</x:v>
      </x:c>
      <x:c r="I161" s="43" t="n">
        <x:v>3</x:v>
      </x:c>
      <x:c r="J161" s="43" t="n">
        <x:v>19</x:v>
      </x:c>
      <x:c r="K161" s="43" t="str">
        <x:v>Boarding school</x:v>
      </x:c>
      <x:c r="L161" s="43" t="str">
        <x:v>Has a sixth form</x:v>
      </x:c>
      <x:c r="M161" s="43" t="n">
        <x:v>288</x:v>
      </x:c>
      <x:c r="N161" s="43" t="str">
        <x:v>https://www.lts.org.uk</x:v>
      </x:c>
      <x:c r="O161" s="43" t="str">
        <x:v>01289307584</x:v>
      </x:c>
      <x:c r="P161" s="43" t="str"/>
      <x:c r="Q161" s="43" t="str"/>
      <x:c r="R161" s="43" t="str">
        <x:v>Queued for contact research</x:v>
      </x:c>
      <x:c r="S161" s="43" t="str">
        <x:v>Not reviewed</x:v>
      </x:c>
      <x:c r="T161" s="43" t="str">
        <x:v>Hold</x:v>
      </x:c>
      <x:c r="U161" s="43" t="str">
        <x:v>No</x:v>
      </x:c>
      <x:c r="V161" s="44"/>
      <x:c r="W161" s="43" t="str"/>
      <x:c r="X161" s="43" t="str"/>
      <x:c r="Y161" s="43" t="str"/>
      <x:c r="Z161" s="43" t="str">
        <x:v>https://www.get-information-schools.service.gov.uk/Downloads</x:v>
      </x:c>
    </x:row>
    <x:row r="162">
      <x:c r="A162" s="43" t="str">
        <x:v>UK independent</x:v>
      </x:c>
      <x:c r="B162" s="43" t="str">
        <x:v>123282</x:v>
      </x:c>
      <x:c r="C162" s="43" t="n">
        <x:f>IF(K162="Boarding school",30,0)+IF(J162&gt;=18,20,0)+IF(I162&lt;=11,10,0)+IF(L162="Has a sixth form",15,0)+IF(M162&gt;=200,10,0)+IF(N162&lt;&gt;"",10,0)</x:f>
        <x:v>95</x:v>
      </x:c>
      <x:c r="D162" s="43" t="str">
        <x:f>IF(C162&gt;=85,"A",IF(C162&gt;=65,"B","C"))</x:f>
        <x:v>A</x:v>
      </x:c>
      <x:c r="E162" s="43" t="str">
        <x:v>The Oratory School</x:v>
      </x:c>
      <x:c r="F162" s="43" t="str"/>
      <x:c r="G162" s="43" t="str"/>
      <x:c r="H162" s="43" t="str">
        <x:v>RG8 0PJ</x:v>
      </x:c>
      <x:c r="I162" s="43" t="n">
        <x:v>11</x:v>
      </x:c>
      <x:c r="J162" s="43" t="n">
        <x:v>18</x:v>
      </x:c>
      <x:c r="K162" s="43" t="str">
        <x:v>Boarding school</x:v>
      </x:c>
      <x:c r="L162" s="43" t="str">
        <x:v>Has a sixth form</x:v>
      </x:c>
      <x:c r="M162" s="43" t="n">
        <x:v>287</x:v>
      </x:c>
      <x:c r="N162" s="43" t="str">
        <x:v>https://www.oratory.co.uk</x:v>
      </x:c>
      <x:c r="O162" s="43" t="str">
        <x:v>01491683500</x:v>
      </x:c>
      <x:c r="P162" s="43" t="str"/>
      <x:c r="Q162" s="43" t="str"/>
      <x:c r="R162" s="43" t="str">
        <x:v>Queued for contact research</x:v>
      </x:c>
      <x:c r="S162" s="43" t="str">
        <x:v>Not reviewed</x:v>
      </x:c>
      <x:c r="T162" s="43" t="str">
        <x:v>Hold</x:v>
      </x:c>
      <x:c r="U162" s="43" t="str">
        <x:v>No</x:v>
      </x:c>
      <x:c r="V162" s="44"/>
      <x:c r="W162" s="43" t="str"/>
      <x:c r="X162" s="43" t="str"/>
      <x:c r="Y162" s="43" t="str"/>
      <x:c r="Z162" s="43" t="str">
        <x:v>https://www.get-information-schools.service.gov.uk/Downloads</x:v>
      </x:c>
    </x:row>
    <x:row r="163">
      <x:c r="A163" s="43" t="str">
        <x:v>UK independent</x:v>
      </x:c>
      <x:c r="B163" s="43" t="str">
        <x:v>123277</x:v>
      </x:c>
      <x:c r="C163" s="43" t="n">
        <x:f>IF(K163="Boarding school",30,0)+IF(J163&gt;=18,20,0)+IF(I163&lt;=11,10,0)+IF(L163="Has a sixth form",15,0)+IF(M163&gt;=200,10,0)+IF(N163&lt;&gt;"",10,0)</x:f>
        <x:v>95</x:v>
      </x:c>
      <x:c r="D163" s="43" t="str">
        <x:f>IF(C163&gt;=85,"A",IF(C163&gt;=65,"B","C"))</x:f>
        <x:v>A</x:v>
      </x:c>
      <x:c r="E163" s="43" t="str">
        <x:v>Kingham Hill School</x:v>
      </x:c>
      <x:c r="F163" s="43" t="str">
        <x:v>Chipping Norton</x:v>
      </x:c>
      <x:c r="G163" s="43" t="str">
        <x:v>Oxfordshire</x:v>
      </x:c>
      <x:c r="H163" s="43" t="str">
        <x:v>OX7 6TH</x:v>
      </x:c>
      <x:c r="I163" s="43" t="n">
        <x:v>11</x:v>
      </x:c>
      <x:c r="J163" s="43" t="n">
        <x:v>18</x:v>
      </x:c>
      <x:c r="K163" s="43" t="str">
        <x:v>Boarding school</x:v>
      </x:c>
      <x:c r="L163" s="43" t="str">
        <x:v>Has a sixth form</x:v>
      </x:c>
      <x:c r="M163" s="43" t="n">
        <x:v>286</x:v>
      </x:c>
      <x:c r="N163" s="43" t="str">
        <x:v>https://www.kinghamhill.org.uk</x:v>
      </x:c>
      <x:c r="O163" s="43" t="str">
        <x:v>01608658999</x:v>
      </x:c>
      <x:c r="P163" s="43" t="str"/>
      <x:c r="Q163" s="43" t="str"/>
      <x:c r="R163" s="43" t="str">
        <x:v>Queued for contact research</x:v>
      </x:c>
      <x:c r="S163" s="43" t="str">
        <x:v>Not reviewed</x:v>
      </x:c>
      <x:c r="T163" s="43" t="str">
        <x:v>Hold</x:v>
      </x:c>
      <x:c r="U163" s="43" t="str">
        <x:v>No</x:v>
      </x:c>
      <x:c r="V163" s="44"/>
      <x:c r="W163" s="43" t="str"/>
      <x:c r="X163" s="43" t="str"/>
      <x:c r="Y163" s="43" t="str"/>
      <x:c r="Z163" s="43" t="str">
        <x:v>https://www.get-information-schools.service.gov.uk/Downloads</x:v>
      </x:c>
    </x:row>
    <x:row r="164">
      <x:c r="A164" s="43" t="str">
        <x:v>UK independent</x:v>
      </x:c>
      <x:c r="B164" s="43" t="str">
        <x:v>125322</x:v>
      </x:c>
      <x:c r="C164" s="43" t="n">
        <x:f>IF(K164="Boarding school",30,0)+IF(J164&gt;=18,20,0)+IF(I164&lt;=11,10,0)+IF(L164="Has a sixth form",15,0)+IF(M164&gt;=200,10,0)+IF(N164&lt;&gt;"",10,0)</x:f>
        <x:v>95</x:v>
      </x:c>
      <x:c r="D164" s="43" t="str">
        <x:f>IF(C164&gt;=85,"A",IF(C164&gt;=65,"B","C"))</x:f>
        <x:v>A</x:v>
      </x:c>
      <x:c r="E164" s="43" t="str">
        <x:v>Prior's Field School</x:v>
      </x:c>
      <x:c r="F164" s="43" t="str">
        <x:v>Godalming</x:v>
      </x:c>
      <x:c r="G164" s="43" t="str">
        <x:v>Surrey</x:v>
      </x:c>
      <x:c r="H164" s="43" t="str">
        <x:v>GU7 2RH</x:v>
      </x:c>
      <x:c r="I164" s="43" t="n">
        <x:v>11</x:v>
      </x:c>
      <x:c r="J164" s="43" t="n">
        <x:v>20</x:v>
      </x:c>
      <x:c r="K164" s="43" t="str">
        <x:v>Boarding school</x:v>
      </x:c>
      <x:c r="L164" s="43" t="str">
        <x:v>Has a sixth form</x:v>
      </x:c>
      <x:c r="M164" s="43" t="n">
        <x:v>280</x:v>
      </x:c>
      <x:c r="N164" s="43" t="str">
        <x:v>https://www.priorsfieldschool.com</x:v>
      </x:c>
      <x:c r="O164" s="43" t="str">
        <x:v>01483810551</x:v>
      </x:c>
      <x:c r="P164" s="43" t="str"/>
      <x:c r="Q164" s="43" t="str"/>
      <x:c r="R164" s="43" t="str">
        <x:v>Queued for contact research</x:v>
      </x:c>
      <x:c r="S164" s="43" t="str">
        <x:v>Not reviewed</x:v>
      </x:c>
      <x:c r="T164" s="43" t="str">
        <x:v>Hold</x:v>
      </x:c>
      <x:c r="U164" s="43" t="str">
        <x:v>No</x:v>
      </x:c>
      <x:c r="V164" s="44"/>
      <x:c r="W164" s="43" t="str"/>
      <x:c r="X164" s="43" t="str"/>
      <x:c r="Y164" s="43" t="str"/>
      <x:c r="Z164" s="43" t="str">
        <x:v>https://www.get-information-schools.service.gov.uk/Downloads</x:v>
      </x:c>
    </x:row>
    <x:row r="165">
      <x:c r="A165" s="43" t="str">
        <x:v>UK independent</x:v>
      </x:c>
      <x:c r="B165" s="43" t="str">
        <x:v>118947</x:v>
      </x:c>
      <x:c r="C165" s="43" t="n">
        <x:f>IF(K165="Boarding school",30,0)+IF(J165&gt;=18,20,0)+IF(I165&lt;=11,10,0)+IF(L165="Has a sixth form",15,0)+IF(M165&gt;=200,10,0)+IF(N165&lt;&gt;"",10,0)</x:f>
        <x:v>95</x:v>
      </x:c>
      <x:c r="D165" s="43" t="str">
        <x:f>IF(C165&gt;=85,"A",IF(C165&gt;=65,"B","C"))</x:f>
        <x:v>A</x:v>
      </x:c>
      <x:c r="E165" s="43" t="str">
        <x:v>St Lawrence College</x:v>
      </x:c>
      <x:c r="F165" s="43" t="str">
        <x:v>Ramsgate</x:v>
      </x:c>
      <x:c r="G165" s="43" t="str">
        <x:v>Kent</x:v>
      </x:c>
      <x:c r="H165" s="43" t="str">
        <x:v>CT11 7AE</x:v>
      </x:c>
      <x:c r="I165" s="43" t="n">
        <x:v>10</x:v>
      </x:c>
      <x:c r="J165" s="43" t="n">
        <x:v>18</x:v>
      </x:c>
      <x:c r="K165" s="43" t="str">
        <x:v>Boarding school</x:v>
      </x:c>
      <x:c r="L165" s="43" t="str">
        <x:v>Has a sixth form</x:v>
      </x:c>
      <x:c r="M165" s="43" t="n">
        <x:v>274</x:v>
      </x:c>
      <x:c r="N165" s="43" t="str">
        <x:v>https://www.slcuk.com</x:v>
      </x:c>
      <x:c r="O165" s="43" t="str">
        <x:v>01843572900</x:v>
      </x:c>
      <x:c r="P165" s="43" t="str"/>
      <x:c r="Q165" s="43" t="str"/>
      <x:c r="R165" s="43" t="str">
        <x:v>Queued for contact research</x:v>
      </x:c>
      <x:c r="S165" s="43" t="str">
        <x:v>Not reviewed</x:v>
      </x:c>
      <x:c r="T165" s="43" t="str">
        <x:v>Hold</x:v>
      </x:c>
      <x:c r="U165" s="43" t="str">
        <x:v>No</x:v>
      </x:c>
      <x:c r="V165" s="44"/>
      <x:c r="W165" s="43" t="str"/>
      <x:c r="X165" s="43" t="str"/>
      <x:c r="Y165" s="43" t="str"/>
      <x:c r="Z165" s="43" t="str">
        <x:v>https://www.get-information-schools.service.gov.uk/Downloads</x:v>
      </x:c>
    </x:row>
    <x:row r="166">
      <x:c r="A166" s="43" t="str">
        <x:v>UK independent</x:v>
      </x:c>
      <x:c r="B166" s="43" t="str">
        <x:v>117045</x:v>
      </x:c>
      <x:c r="C166" s="43" t="n">
        <x:f>IF(K166="Boarding school",30,0)+IF(J166&gt;=18,20,0)+IF(I166&lt;=11,10,0)+IF(L166="Has a sixth form",15,0)+IF(M166&gt;=200,10,0)+IF(N166&lt;&gt;"",10,0)</x:f>
        <x:v>95</x:v>
      </x:c>
      <x:c r="D166" s="43" t="str">
        <x:f>IF(C166&gt;=85,"A",IF(C166&gt;=65,"B","C"))</x:f>
        <x:v>A</x:v>
      </x:c>
      <x:c r="E166" s="43" t="str">
        <x:v>Lucton School</x:v>
      </x:c>
      <x:c r="F166" s="43" t="str">
        <x:v>Leominster</x:v>
      </x:c>
      <x:c r="G166" s="43" t="str"/>
      <x:c r="H166" s="43" t="str">
        <x:v>HR6 9PN</x:v>
      </x:c>
      <x:c r="I166" s="43" t="n">
        <x:v>0</x:v>
      </x:c>
      <x:c r="J166" s="43" t="n">
        <x:v>19</x:v>
      </x:c>
      <x:c r="K166" s="43" t="str">
        <x:v>Boarding school</x:v>
      </x:c>
      <x:c r="L166" s="43" t="str">
        <x:v>Has a sixth form</x:v>
      </x:c>
      <x:c r="M166" s="43" t="n">
        <x:v>265</x:v>
      </x:c>
      <x:c r="N166" s="43" t="str">
        <x:v>https://www.luctonschool.org/</x:v>
      </x:c>
      <x:c r="O166" s="43" t="str">
        <x:v>01568782000</x:v>
      </x:c>
      <x:c r="P166" s="43" t="str"/>
      <x:c r="Q166" s="43" t="str"/>
      <x:c r="R166" s="43" t="str">
        <x:v>Queued for contact research</x:v>
      </x:c>
      <x:c r="S166" s="43" t="str">
        <x:v>Not reviewed</x:v>
      </x:c>
      <x:c r="T166" s="43" t="str">
        <x:v>Hold</x:v>
      </x:c>
      <x:c r="U166" s="43" t="str">
        <x:v>No</x:v>
      </x:c>
      <x:c r="V166" s="44"/>
      <x:c r="W166" s="43" t="str"/>
      <x:c r="X166" s="43" t="str"/>
      <x:c r="Y166" s="43" t="str"/>
      <x:c r="Z166" s="43" t="str">
        <x:v>https://www.get-information-schools.service.gov.uk/Downloads</x:v>
      </x:c>
    </x:row>
    <x:row r="167">
      <x:c r="A167" s="43" t="str">
        <x:v>UK independent</x:v>
      </x:c>
      <x:c r="B167" s="43" t="str">
        <x:v>117613</x:v>
      </x:c>
      <x:c r="C167" s="43" t="n">
        <x:f>IF(K167="Boarding school",30,0)+IF(J167&gt;=18,20,0)+IF(I167&lt;=11,10,0)+IF(L167="Has a sixth form",15,0)+IF(M167&gt;=200,10,0)+IF(N167&lt;&gt;"",10,0)</x:f>
        <x:v>95</x:v>
      </x:c>
      <x:c r="D167" s="43" t="str">
        <x:f>IF(C167&gt;=85,"A",IF(C167&gt;=65,"B","C"))</x:f>
        <x:v>A</x:v>
      </x:c>
      <x:c r="E167" s="43" t="str">
        <x:v>St Francis College</x:v>
      </x:c>
      <x:c r="F167" s="43" t="str">
        <x:v>Letchworth Garden City</x:v>
      </x:c>
      <x:c r="G167" s="43" t="str">
        <x:v>Hertfordshire</x:v>
      </x:c>
      <x:c r="H167" s="43" t="str">
        <x:v>SG6 3PJ</x:v>
      </x:c>
      <x:c r="I167" s="43" t="n">
        <x:v>3</x:v>
      </x:c>
      <x:c r="J167" s="43" t="n">
        <x:v>18</x:v>
      </x:c>
      <x:c r="K167" s="43" t="str">
        <x:v>Boarding school</x:v>
      </x:c>
      <x:c r="L167" s="43" t="str">
        <x:v>Has a sixth form</x:v>
      </x:c>
      <x:c r="M167" s="43" t="n">
        <x:v>264</x:v>
      </x:c>
      <x:c r="N167" s="43" t="str">
        <x:v>https://www.st-francis.herts.sch.uk</x:v>
      </x:c>
      <x:c r="O167" s="43" t="str">
        <x:v>01462670511</x:v>
      </x:c>
      <x:c r="P167" s="43" t="str"/>
      <x:c r="Q167" s="43" t="str"/>
      <x:c r="R167" s="43" t="str">
        <x:v>Queued for contact research</x:v>
      </x:c>
      <x:c r="S167" s="43" t="str">
        <x:v>Not reviewed</x:v>
      </x:c>
      <x:c r="T167" s="43" t="str">
        <x:v>Hold</x:v>
      </x:c>
      <x:c r="U167" s="43" t="str">
        <x:v>No</x:v>
      </x:c>
      <x:c r="V167" s="44"/>
      <x:c r="W167" s="43" t="str"/>
      <x:c r="X167" s="43" t="str"/>
      <x:c r="Y167" s="43" t="str"/>
      <x:c r="Z167" s="43" t="str">
        <x:v>https://www.get-information-schools.service.gov.uk/Downloads</x:v>
      </x:c>
    </x:row>
    <x:row r="168">
      <x:c r="A168" s="43" t="str">
        <x:v>UK independent</x:v>
      </x:c>
      <x:c r="B168" s="43" t="str">
        <x:v>116513</x:v>
      </x:c>
      <x:c r="C168" s="43" t="n">
        <x:f>IF(K168="Boarding school",30,0)+IF(J168&gt;=18,20,0)+IF(I168&lt;=11,10,0)+IF(L168="Has a sixth form",15,0)+IF(M168&gt;=200,10,0)+IF(N168&lt;&gt;"",10,0)</x:f>
        <x:v>95</x:v>
      </x:c>
      <x:c r="D168" s="43" t="str">
        <x:f>IF(C168&gt;=85,"A",IF(C168&gt;=65,"B","C"))</x:f>
        <x:v>A</x:v>
      </x:c>
      <x:c r="E168" s="43" t="str">
        <x:v>Rookwood School</x:v>
      </x:c>
      <x:c r="F168" s="43" t="str">
        <x:v>Andover</x:v>
      </x:c>
      <x:c r="G168" s="43" t="str">
        <x:v>Hampshire</x:v>
      </x:c>
      <x:c r="H168" s="43" t="str">
        <x:v>SP10 3AL</x:v>
      </x:c>
      <x:c r="I168" s="43" t="n">
        <x:v>2</x:v>
      </x:c>
      <x:c r="J168" s="43" t="n">
        <x:v>19</x:v>
      </x:c>
      <x:c r="K168" s="43" t="str">
        <x:v>Boarding school</x:v>
      </x:c>
      <x:c r="L168" s="43" t="str">
        <x:v>Has a sixth form</x:v>
      </x:c>
      <x:c r="M168" s="43" t="n">
        <x:v>263</x:v>
      </x:c>
      <x:c r="N168" s="43" t="str">
        <x:v>https://www.rookwoodschool.org</x:v>
      </x:c>
      <x:c r="O168" s="43" t="str">
        <x:v>01264325900</x:v>
      </x:c>
      <x:c r="P168" s="43" t="str"/>
      <x:c r="Q168" s="43" t="str"/>
      <x:c r="R168" s="43" t="str">
        <x:v>Queued for contact research</x:v>
      </x:c>
      <x:c r="S168" s="43" t="str">
        <x:v>Not reviewed</x:v>
      </x:c>
      <x:c r="T168" s="43" t="str">
        <x:v>Hold</x:v>
      </x:c>
      <x:c r="U168" s="43" t="str">
        <x:v>No</x:v>
      </x:c>
      <x:c r="V168" s="44"/>
      <x:c r="W168" s="43" t="str"/>
      <x:c r="X168" s="43" t="str"/>
      <x:c r="Y168" s="43" t="str"/>
      <x:c r="Z168" s="43" t="str">
        <x:v>https://www.get-information-schools.service.gov.uk/Downloads</x:v>
      </x:c>
    </x:row>
    <x:row r="169">
      <x:c r="A169" s="43" t="str">
        <x:v>UK independent</x:v>
      </x:c>
      <x:c r="B169" s="43" t="str">
        <x:v>131355</x:v>
      </x:c>
      <x:c r="C169" s="43" t="n">
        <x:f>IF(K169="Boarding school",30,0)+IF(J169&gt;=18,20,0)+IF(I169&lt;=11,10,0)+IF(L169="Has a sixth form",15,0)+IF(M169&gt;=200,10,0)+IF(N169&lt;&gt;"",10,0)</x:f>
        <x:v>95</x:v>
      </x:c>
      <x:c r="D169" s="43" t="str">
        <x:f>IF(C169&gt;=85,"A",IF(C169&gt;=65,"B","C"))</x:f>
        <x:v>A</x:v>
      </x:c>
      <x:c r="E169" s="43" t="str">
        <x:v>Jamea Al Kauthar</x:v>
      </x:c>
      <x:c r="F169" s="43" t="str">
        <x:v>Lancaster</x:v>
      </x:c>
      <x:c r="G169" s="43" t="str">
        <x:v>Lancashire</x:v>
      </x:c>
      <x:c r="H169" s="43" t="str">
        <x:v>LA1 5AJ</x:v>
      </x:c>
      <x:c r="I169" s="43" t="n">
        <x:v>11</x:v>
      </x:c>
      <x:c r="J169" s="43" t="n">
        <x:v>25</x:v>
      </x:c>
      <x:c r="K169" s="43" t="str">
        <x:v>Boarding school</x:v>
      </x:c>
      <x:c r="L169" s="43" t="str">
        <x:v>Has a sixth form</x:v>
      </x:c>
      <x:c r="M169" s="43" t="n">
        <x:v>261</x:v>
      </x:c>
      <x:c r="N169" s="43" t="str">
        <x:v>https://www.jamea.co.uk/</x:v>
      </x:c>
      <x:c r="O169" s="43" t="str">
        <x:v>01524389898</x:v>
      </x:c>
      <x:c r="P169" s="43" t="str"/>
      <x:c r="Q169" s="43" t="str"/>
      <x:c r="R169" s="43" t="str">
        <x:v>Queued for contact research</x:v>
      </x:c>
      <x:c r="S169" s="43" t="str">
        <x:v>Not reviewed</x:v>
      </x:c>
      <x:c r="T169" s="43" t="str">
        <x:v>Hold</x:v>
      </x:c>
      <x:c r="U169" s="43" t="str">
        <x:v>No</x:v>
      </x:c>
      <x:c r="V169" s="44"/>
      <x:c r="W169" s="43" t="str"/>
      <x:c r="X169" s="43" t="str"/>
      <x:c r="Y169" s="43" t="str"/>
      <x:c r="Z169" s="43" t="str">
        <x:v>https://www.get-information-schools.service.gov.uk/Downloads</x:v>
      </x:c>
    </x:row>
    <x:row r="170">
      <x:c r="A170" s="43" t="str">
        <x:v>UK independent</x:v>
      </x:c>
      <x:c r="B170" s="43" t="str">
        <x:v>113574</x:v>
      </x:c>
      <x:c r="C170" s="43" t="n">
        <x:f>IF(K170="Boarding school",30,0)+IF(J170&gt;=18,20,0)+IF(I170&lt;=11,10,0)+IF(L170="Has a sixth form",15,0)+IF(M170&gt;=200,10,0)+IF(N170&lt;&gt;"",10,0)</x:f>
        <x:v>95</x:v>
      </x:c>
      <x:c r="D170" s="43" t="str">
        <x:f>IF(C170&gt;=85,"A",IF(C170&gt;=65,"B","C"))</x:f>
        <x:v>A</x:v>
      </x:c>
      <x:c r="E170" s="43" t="str">
        <x:v>Trinity School</x:v>
      </x:c>
      <x:c r="F170" s="43" t="str"/>
      <x:c r="G170" s="43" t="str"/>
      <x:c r="H170" s="43" t="str">
        <x:v>TQ14 8LY</x:v>
      </x:c>
      <x:c r="I170" s="43" t="n">
        <x:v>2</x:v>
      </x:c>
      <x:c r="J170" s="43" t="n">
        <x:v>19</x:v>
      </x:c>
      <x:c r="K170" s="43" t="str">
        <x:v>Boarding school</x:v>
      </x:c>
      <x:c r="L170" s="43" t="str">
        <x:v>Has a sixth form</x:v>
      </x:c>
      <x:c r="M170" s="43" t="n">
        <x:v>257</x:v>
      </x:c>
      <x:c r="N170" s="43" t="str">
        <x:v>http://www.trinityschool.co.uk/</x:v>
      </x:c>
      <x:c r="O170" s="43" t="str">
        <x:v>01626774138</x:v>
      </x:c>
      <x:c r="P170" s="43" t="str"/>
      <x:c r="Q170" s="43" t="str"/>
      <x:c r="R170" s="43" t="str">
        <x:v>Queued for contact research</x:v>
      </x:c>
      <x:c r="S170" s="43" t="str">
        <x:v>Not reviewed</x:v>
      </x:c>
      <x:c r="T170" s="43" t="str">
        <x:v>Hold</x:v>
      </x:c>
      <x:c r="U170" s="43" t="str">
        <x:v>No</x:v>
      </x:c>
      <x:c r="V170" s="44"/>
      <x:c r="W170" s="43" t="str"/>
      <x:c r="X170" s="43" t="str"/>
      <x:c r="Y170" s="43" t="str"/>
      <x:c r="Z170" s="43" t="str">
        <x:v>https://www.get-information-schools.service.gov.uk/Downloads</x:v>
      </x:c>
    </x:row>
    <x:row r="171">
      <x:c r="A171" s="43" t="str">
        <x:v>UK independent</x:v>
      </x:c>
      <x:c r="B171" s="43" t="str">
        <x:v>126519</x:v>
      </x:c>
      <x:c r="C171" s="43" t="n">
        <x:f>IF(K171="Boarding school",30,0)+IF(J171&gt;=18,20,0)+IF(I171&lt;=11,10,0)+IF(L171="Has a sixth form",15,0)+IF(M171&gt;=200,10,0)+IF(N171&lt;&gt;"",10,0)</x:f>
        <x:v>95</x:v>
      </x:c>
      <x:c r="D171" s="43" t="str">
        <x:f>IF(C171&gt;=85,"A",IF(C171&gt;=65,"B","C"))</x:f>
        <x:v>A</x:v>
      </x:c>
      <x:c r="E171" s="43" t="str">
        <x:v>Chafyn-Godolphin</x:v>
      </x:c>
      <x:c r="F171" s="43" t="str"/>
      <x:c r="G171" s="43" t="str"/>
      <x:c r="H171" s="43" t="str">
        <x:v>SP1 2RA</x:v>
      </x:c>
      <x:c r="I171" s="43" t="n">
        <x:v>0</x:v>
      </x:c>
      <x:c r="J171" s="43" t="n">
        <x:v>19</x:v>
      </x:c>
      <x:c r="K171" s="43" t="str">
        <x:v>Boarding school</x:v>
      </x:c>
      <x:c r="L171" s="43" t="str">
        <x:v>Has a sixth form</x:v>
      </x:c>
      <x:c r="M171" s="43" t="n">
        <x:v>255</x:v>
      </x:c>
      <x:c r="N171" s="43" t="str">
        <x:v>https://www.godolphin.org</x:v>
      </x:c>
      <x:c r="O171" s="43" t="str">
        <x:v>01722430500</x:v>
      </x:c>
      <x:c r="P171" s="43" t="str"/>
      <x:c r="Q171" s="43" t="str"/>
      <x:c r="R171" s="43" t="str">
        <x:v>Queued for contact research</x:v>
      </x:c>
      <x:c r="S171" s="43" t="str">
        <x:v>Not reviewed</x:v>
      </x:c>
      <x:c r="T171" s="43" t="str">
        <x:v>Hold</x:v>
      </x:c>
      <x:c r="U171" s="43" t="str">
        <x:v>No</x:v>
      </x:c>
      <x:c r="V171" s="44"/>
      <x:c r="W171" s="43" t="str"/>
      <x:c r="X171" s="43" t="str"/>
      <x:c r="Y171" s="43" t="str"/>
      <x:c r="Z171" s="43" t="str">
        <x:v>https://www.get-information-schools.service.gov.uk/Downloads</x:v>
      </x:c>
    </x:row>
    <x:row r="172">
      <x:c r="A172" s="43" t="str">
        <x:v>UK independent</x:v>
      </x:c>
      <x:c r="B172" s="43" t="str">
        <x:v>113003</x:v>
      </x:c>
      <x:c r="C172" s="43" t="n">
        <x:f>IF(K172="Boarding school",30,0)+IF(J172&gt;=18,20,0)+IF(I172&lt;=11,10,0)+IF(L172="Has a sixth form",15,0)+IF(M172&gt;=200,10,0)+IF(N172&lt;&gt;"",10,0)</x:f>
        <x:v>95</x:v>
      </x:c>
      <x:c r="D172" s="43" t="str">
        <x:f>IF(C172&gt;=85,"A",IF(C172&gt;=65,"B","C"))</x:f>
        <x:v>A</x:v>
      </x:c>
      <x:c r="E172" s="43" t="str">
        <x:v>Abbotsholme School</x:v>
      </x:c>
      <x:c r="F172" s="43" t="str">
        <x:v>Uttoxeter</x:v>
      </x:c>
      <x:c r="G172" s="43" t="str">
        <x:v>Staffordshire</x:v>
      </x:c>
      <x:c r="H172" s="43" t="str">
        <x:v>ST14 5BS</x:v>
      </x:c>
      <x:c r="I172" s="43" t="n">
        <x:v>2</x:v>
      </x:c>
      <x:c r="J172" s="43" t="n">
        <x:v>20</x:v>
      </x:c>
      <x:c r="K172" s="43" t="str">
        <x:v>Boarding school</x:v>
      </x:c>
      <x:c r="L172" s="43" t="str">
        <x:v>Has a sixth form</x:v>
      </x:c>
      <x:c r="M172" s="43" t="n">
        <x:v>254</x:v>
      </x:c>
      <x:c r="N172" s="43" t="str">
        <x:v>https://www.abbotsholme.co.uk</x:v>
      </x:c>
      <x:c r="O172" s="43" t="str">
        <x:v>01889590217</x:v>
      </x:c>
      <x:c r="P172" s="43" t="str"/>
      <x:c r="Q172" s="43" t="str"/>
      <x:c r="R172" s="43" t="str">
        <x:v>Queued for contact research</x:v>
      </x:c>
      <x:c r="S172" s="43" t="str">
        <x:v>Not reviewed</x:v>
      </x:c>
      <x:c r="T172" s="43" t="str">
        <x:v>Hold</x:v>
      </x:c>
      <x:c r="U172" s="43" t="str">
        <x:v>No</x:v>
      </x:c>
      <x:c r="V172" s="44"/>
      <x:c r="W172" s="43" t="str"/>
      <x:c r="X172" s="43" t="str"/>
      <x:c r="Y172" s="43" t="str"/>
      <x:c r="Z172" s="43" t="str">
        <x:v>https://www.get-information-schools.service.gov.uk/Downloads</x:v>
      </x:c>
    </x:row>
    <x:row r="173">
      <x:c r="A173" s="43" t="str">
        <x:v>UK independent</x:v>
      </x:c>
      <x:c r="B173" s="43" t="str">
        <x:v>111482</x:v>
      </x:c>
      <x:c r="C173" s="43" t="n">
        <x:f>IF(K173="Boarding school",30,0)+IF(J173&gt;=18,20,0)+IF(I173&lt;=11,10,0)+IF(L173="Has a sixth form",15,0)+IF(M173&gt;=200,10,0)+IF(N173&lt;&gt;"",10,0)</x:f>
        <x:v>95</x:v>
      </x:c>
      <x:c r="D173" s="43" t="str">
        <x:f>IF(C173&gt;=85,"A",IF(C173&gt;=65,"B","C"))</x:f>
        <x:v>A</x:v>
      </x:c>
      <x:c r="E173" s="43" t="str">
        <x:v>The Hammond</x:v>
      </x:c>
      <x:c r="F173" s="43" t="str">
        <x:v>Chester</x:v>
      </x:c>
      <x:c r="G173" s="43" t="str">
        <x:v>Cheshire</x:v>
      </x:c>
      <x:c r="H173" s="43" t="str">
        <x:v>CH2 4ES</x:v>
      </x:c>
      <x:c r="I173" s="43" t="n">
        <x:v>11</x:v>
      </x:c>
      <x:c r="J173" s="43" t="n">
        <x:v>19</x:v>
      </x:c>
      <x:c r="K173" s="43" t="str">
        <x:v>Boarding school</x:v>
      </x:c>
      <x:c r="L173" s="43" t="str">
        <x:v>Has a sixth form</x:v>
      </x:c>
      <x:c r="M173" s="43" t="n">
        <x:v>253</x:v>
      </x:c>
      <x:c r="N173" s="43" t="str">
        <x:v>https://www.thehammondschool.co.uk</x:v>
      </x:c>
      <x:c r="O173" s="43" t="str">
        <x:v>01244305350</x:v>
      </x:c>
      <x:c r="P173" s="43" t="str"/>
      <x:c r="Q173" s="43" t="str"/>
      <x:c r="R173" s="43" t="str">
        <x:v>Queued for contact research</x:v>
      </x:c>
      <x:c r="S173" s="43" t="str">
        <x:v>Not reviewed</x:v>
      </x:c>
      <x:c r="T173" s="43" t="str">
        <x:v>Hold</x:v>
      </x:c>
      <x:c r="U173" s="43" t="str">
        <x:v>No</x:v>
      </x:c>
      <x:c r="V173" s="44"/>
      <x:c r="W173" s="43" t="str"/>
      <x:c r="X173" s="43" t="str"/>
      <x:c r="Y173" s="43" t="str"/>
      <x:c r="Z173" s="43" t="str">
        <x:v>https://www.get-information-schools.service.gov.uk/Downloads</x:v>
      </x:c>
    </x:row>
    <x:row r="174">
      <x:c r="A174" s="43" t="str">
        <x:v>UK independent</x:v>
      </x:c>
      <x:c r="B174" s="43" t="str">
        <x:v>123910</x:v>
      </x:c>
      <x:c r="C174" s="43" t="n">
        <x:f>IF(K174="Boarding school",30,0)+IF(J174&gt;=18,20,0)+IF(I174&lt;=11,10,0)+IF(L174="Has a sixth form",15,0)+IF(M174&gt;=200,10,0)+IF(N174&lt;&gt;"",10,0)</x:f>
        <x:v>95</x:v>
      </x:c>
      <x:c r="D174" s="43" t="str">
        <x:f>IF(C174&gt;=85,"A",IF(C174&gt;=65,"B","C"))</x:f>
        <x:v>A</x:v>
      </x:c>
      <x:c r="E174" s="43" t="str">
        <x:v>Downside School</x:v>
      </x:c>
      <x:c r="F174" s="43" t="str">
        <x:v>Radstock</x:v>
      </x:c>
      <x:c r="G174" s="43" t="str">
        <x:v>Somerset</x:v>
      </x:c>
      <x:c r="H174" s="43" t="str">
        <x:v>BA3 4RJ</x:v>
      </x:c>
      <x:c r="I174" s="43" t="n">
        <x:v>11</x:v>
      </x:c>
      <x:c r="J174" s="43" t="n">
        <x:v>18</x:v>
      </x:c>
      <x:c r="K174" s="43" t="str">
        <x:v>Boarding school</x:v>
      </x:c>
      <x:c r="L174" s="43" t="str">
        <x:v>Has a sixth form</x:v>
      </x:c>
      <x:c r="M174" s="43" t="n">
        <x:v>249</x:v>
      </x:c>
      <x:c r="N174" s="43" t="str">
        <x:v>https://www.downside.co.uk</x:v>
      </x:c>
      <x:c r="O174" s="43" t="str">
        <x:v>01761235100</x:v>
      </x:c>
      <x:c r="P174" s="43" t="str"/>
      <x:c r="Q174" s="43" t="str"/>
      <x:c r="R174" s="43" t="str">
        <x:v>Queued for contact research</x:v>
      </x:c>
      <x:c r="S174" s="43" t="str">
        <x:v>Not reviewed</x:v>
      </x:c>
      <x:c r="T174" s="43" t="str">
        <x:v>Hold</x:v>
      </x:c>
      <x:c r="U174" s="43" t="str">
        <x:v>No</x:v>
      </x:c>
      <x:c r="V174" s="44"/>
      <x:c r="W174" s="43" t="str"/>
      <x:c r="X174" s="43" t="str"/>
      <x:c r="Y174" s="43" t="str"/>
      <x:c r="Z174" s="43" t="str">
        <x:v>https://www.get-information-schools.service.gov.uk/Downloads</x:v>
      </x:c>
    </x:row>
    <x:row r="175">
      <x:c r="A175" s="43" t="str">
        <x:v>UK independent</x:v>
      </x:c>
      <x:c r="B175" s="43" t="str">
        <x:v>149362</x:v>
      </x:c>
      <x:c r="C175" s="43" t="n">
        <x:f>IF(K175="Boarding school",30,0)+IF(J175&gt;=18,20,0)+IF(I175&lt;=11,10,0)+IF(L175="Has a sixth form",15,0)+IF(M175&gt;=200,10,0)+IF(N175&lt;&gt;"",10,0)</x:f>
        <x:v>95</x:v>
      </x:c>
      <x:c r="D175" s="43" t="str">
        <x:f>IF(C175&gt;=85,"A",IF(C175&gt;=65,"B","C"))</x:f>
        <x:v>A</x:v>
      </x:c>
      <x:c r="E175" s="43" t="str">
        <x:v>Rawdhatul Ilm Wal Huda</x:v>
      </x:c>
      <x:c r="F175" s="43" t="str">
        <x:v>Blackburn</x:v>
      </x:c>
      <x:c r="G175" s="43" t="str">
        <x:v>Lancashire</x:v>
      </x:c>
      <x:c r="H175" s="43" t="str">
        <x:v>BB1 5JT</x:v>
      </x:c>
      <x:c r="I175" s="43" t="n">
        <x:v>11</x:v>
      </x:c>
      <x:c r="J175" s="43" t="n">
        <x:v>25</x:v>
      </x:c>
      <x:c r="K175" s="43" t="str">
        <x:v>Boarding school</x:v>
      </x:c>
      <x:c r="L175" s="43" t="str">
        <x:v>Has a sixth form</x:v>
      </x:c>
      <x:c r="M175" s="43" t="n">
        <x:v>246</x:v>
      </x:c>
      <x:c r="N175" s="43" t="str">
        <x:v>https://www.rawdha.org/</x:v>
      </x:c>
      <x:c r="O175" s="43" t="str">
        <x:v>01254476731</x:v>
      </x:c>
      <x:c r="P175" s="43" t="str"/>
      <x:c r="Q175" s="43" t="str"/>
      <x:c r="R175" s="43" t="str">
        <x:v>Queued for contact research</x:v>
      </x:c>
      <x:c r="S175" s="43" t="str">
        <x:v>Not reviewed</x:v>
      </x:c>
      <x:c r="T175" s="43" t="str">
        <x:v>Hold</x:v>
      </x:c>
      <x:c r="U175" s="43" t="str">
        <x:v>No</x:v>
      </x:c>
      <x:c r="V175" s="44"/>
      <x:c r="W175" s="43" t="str"/>
      <x:c r="X175" s="43" t="str"/>
      <x:c r="Y175" s="43" t="str"/>
      <x:c r="Z175" s="43" t="str">
        <x:v>https://www.get-information-schools.service.gov.uk/Downloads</x:v>
      </x:c>
    </x:row>
    <x:row r="176">
      <x:c r="A176" s="43" t="str">
        <x:v>UK independent</x:v>
      </x:c>
      <x:c r="B176" s="43" t="str">
        <x:v>123274</x:v>
      </x:c>
      <x:c r="C176" s="43" t="n">
        <x:f>IF(K176="Boarding school",30,0)+IF(J176&gt;=18,20,0)+IF(I176&lt;=11,10,0)+IF(L176="Has a sixth form",15,0)+IF(M176&gt;=200,10,0)+IF(N176&lt;&gt;"",10,0)</x:f>
        <x:v>95</x:v>
      </x:c>
      <x:c r="D176" s="43" t="str">
        <x:f>IF(C176&gt;=85,"A",IF(C176&gt;=65,"B","C"))</x:f>
        <x:v>A</x:v>
      </x:c>
      <x:c r="E176" s="43" t="str">
        <x:v>Tudor Hall School</x:v>
      </x:c>
      <x:c r="F176" s="43" t="str">
        <x:v>Banbury</x:v>
      </x:c>
      <x:c r="G176" s="43" t="str">
        <x:v>Oxfordshire</x:v>
      </x:c>
      <x:c r="H176" s="43" t="str">
        <x:v>OX16 9UR</x:v>
      </x:c>
      <x:c r="I176" s="43" t="n">
        <x:v>9</x:v>
      </x:c>
      <x:c r="J176" s="43" t="n">
        <x:v>18</x:v>
      </x:c>
      <x:c r="K176" s="43" t="str">
        <x:v>Boarding school</x:v>
      </x:c>
      <x:c r="L176" s="43" t="str">
        <x:v>Has a sixth form</x:v>
      </x:c>
      <x:c r="M176" s="43" t="n">
        <x:v>246</x:v>
      </x:c>
      <x:c r="N176" s="43" t="str">
        <x:v>https://www.tudorhallschool.com</x:v>
      </x:c>
      <x:c r="O176" s="43" t="str">
        <x:v>01295263434</x:v>
      </x:c>
      <x:c r="P176" s="43" t="str"/>
      <x:c r="Q176" s="43" t="str"/>
      <x:c r="R176" s="43" t="str">
        <x:v>Queued for contact research</x:v>
      </x:c>
      <x:c r="S176" s="43" t="str">
        <x:v>Not reviewed</x:v>
      </x:c>
      <x:c r="T176" s="43" t="str">
        <x:v>Hold</x:v>
      </x:c>
      <x:c r="U176" s="43" t="str">
        <x:v>No</x:v>
      </x:c>
      <x:c r="V176" s="44"/>
      <x:c r="W176" s="43" t="str"/>
      <x:c r="X176" s="43" t="str"/>
      <x:c r="Y176" s="43" t="str"/>
      <x:c r="Z176" s="43" t="str">
        <x:v>https://www.get-information-schools.service.gov.uk/Downloads</x:v>
      </x:c>
    </x:row>
    <x:row r="177">
      <x:c r="A177" s="43" t="str">
        <x:v>UK independent</x:v>
      </x:c>
      <x:c r="B177" s="43" t="str">
        <x:v>121748</x:v>
      </x:c>
      <x:c r="C177" s="43" t="n">
        <x:f>IF(K177="Boarding school",30,0)+IF(J177&gt;=18,20,0)+IF(I177&lt;=11,10,0)+IF(L177="Has a sixth form",15,0)+IF(M177&gt;=200,10,0)+IF(N177&lt;&gt;"",10,0)</x:f>
        <x:v>95</x:v>
      </x:c>
      <x:c r="D177" s="43" t="str">
        <x:f>IF(C177&gt;=85,"A",IF(C177&gt;=65,"B","C"))</x:f>
        <x:v>A</x:v>
      </x:c>
      <x:c r="E177" s="43" t="str">
        <x:v>Read School</x:v>
      </x:c>
      <x:c r="F177" s="43" t="str">
        <x:v>Selby</x:v>
      </x:c>
      <x:c r="G177" s="43" t="str">
        <x:v>North Yorkshire</x:v>
      </x:c>
      <x:c r="H177" s="43" t="str">
        <x:v>YO8 8NL</x:v>
      </x:c>
      <x:c r="I177" s="43" t="n">
        <x:v>4</x:v>
      </x:c>
      <x:c r="J177" s="43" t="n">
        <x:v>18</x:v>
      </x:c>
      <x:c r="K177" s="43" t="str">
        <x:v>Boarding school</x:v>
      </x:c>
      <x:c r="L177" s="43" t="str">
        <x:v>Has a sixth form</x:v>
      </x:c>
      <x:c r="M177" s="43" t="n">
        <x:v>245</x:v>
      </x:c>
      <x:c r="N177" s="43" t="str">
        <x:v>http://www.readschool.co.uk</x:v>
      </x:c>
      <x:c r="O177" s="43" t="str">
        <x:v>01757618248</x:v>
      </x:c>
      <x:c r="P177" s="43" t="str"/>
      <x:c r="Q177" s="43" t="str"/>
      <x:c r="R177" s="43" t="str">
        <x:v>Queued for contact research</x:v>
      </x:c>
      <x:c r="S177" s="43" t="str">
        <x:v>Not reviewed</x:v>
      </x:c>
      <x:c r="T177" s="43" t="str">
        <x:v>Hold</x:v>
      </x:c>
      <x:c r="U177" s="43" t="str">
        <x:v>No</x:v>
      </x:c>
      <x:c r="V177" s="44"/>
      <x:c r="W177" s="43" t="str"/>
      <x:c r="X177" s="43" t="str"/>
      <x:c r="Y177" s="43" t="str"/>
      <x:c r="Z177" s="43" t="str">
        <x:v>https://www.get-information-schools.service.gov.uk/Downloads</x:v>
      </x:c>
    </x:row>
    <x:row r="178">
      <x:c r="A178" s="43" t="str">
        <x:v>UK independent</x:v>
      </x:c>
      <x:c r="B178" s="43" t="str">
        <x:v>113605</x:v>
      </x:c>
      <x:c r="C178" s="43" t="n">
        <x:f>IF(K178="Boarding school",30,0)+IF(J178&gt;=18,20,0)+IF(I178&lt;=11,10,0)+IF(L178="Has a sixth form",15,0)+IF(M178&gt;=200,10,0)+IF(N178&lt;&gt;"",10,0)</x:f>
        <x:v>95</x:v>
      </x:c>
      <x:c r="D178" s="43" t="str">
        <x:f>IF(C178&gt;=85,"A",IF(C178&gt;=65,"B","C"))</x:f>
        <x:v>A</x:v>
      </x:c>
      <x:c r="E178" s="43" t="str">
        <x:v>Shebbear College</x:v>
      </x:c>
      <x:c r="F178" s="43" t="str">
        <x:v>Beaworthy</x:v>
      </x:c>
      <x:c r="G178" s="43" t="str">
        <x:v>Devon</x:v>
      </x:c>
      <x:c r="H178" s="43" t="str">
        <x:v>EX21 5HJ</x:v>
      </x:c>
      <x:c r="I178" s="43" t="n">
        <x:v>2</x:v>
      </x:c>
      <x:c r="J178" s="43" t="n">
        <x:v>19</x:v>
      </x:c>
      <x:c r="K178" s="43" t="str">
        <x:v>Boarding school</x:v>
      </x:c>
      <x:c r="L178" s="43" t="str">
        <x:v>Has a sixth form</x:v>
      </x:c>
      <x:c r="M178" s="43" t="n">
        <x:v>243</x:v>
      </x:c>
      <x:c r="N178" s="43" t="str">
        <x:v>http://www.shebbearcollege.co.uk/</x:v>
      </x:c>
      <x:c r="O178" s="43" t="str">
        <x:v>01409282000</x:v>
      </x:c>
      <x:c r="P178" s="43" t="str"/>
      <x:c r="Q178" s="43" t="str"/>
      <x:c r="R178" s="43" t="str">
        <x:v>Queued for contact research</x:v>
      </x:c>
      <x:c r="S178" s="43" t="str">
        <x:v>Not reviewed</x:v>
      </x:c>
      <x:c r="T178" s="43" t="str">
        <x:v>Hold</x:v>
      </x:c>
      <x:c r="U178" s="43" t="str">
        <x:v>No</x:v>
      </x:c>
      <x:c r="V178" s="44"/>
      <x:c r="W178" s="43" t="str"/>
      <x:c r="X178" s="43" t="str"/>
      <x:c r="Y178" s="43" t="str"/>
      <x:c r="Z178" s="43" t="str">
        <x:v>https://www.get-information-schools.service.gov.uk/Downloads</x:v>
      </x:c>
    </x:row>
    <x:row r="179">
      <x:c r="A179" s="43" t="str">
        <x:v>UK independent</x:v>
      </x:c>
      <x:c r="B179" s="43" t="str">
        <x:v>118940</x:v>
      </x:c>
      <x:c r="C179" s="43" t="n">
        <x:f>IF(K179="Boarding school",30,0)+IF(J179&gt;=18,20,0)+IF(I179&lt;=11,10,0)+IF(L179="Has a sixth form",15,0)+IF(M179&gt;=200,10,0)+IF(N179&lt;&gt;"",10,0)</x:f>
        <x:v>95</x:v>
      </x:c>
      <x:c r="D179" s="43" t="str">
        <x:f>IF(C179&gt;=85,"A",IF(C179&gt;=65,"B","C"))</x:f>
        <x:v>A</x:v>
      </x:c>
      <x:c r="E179" s="43" t="str">
        <x:v>Dover College</x:v>
      </x:c>
      <x:c r="F179" s="43" t="str">
        <x:v>Dover</x:v>
      </x:c>
      <x:c r="G179" s="43" t="str">
        <x:v>Kent</x:v>
      </x:c>
      <x:c r="H179" s="43" t="str">
        <x:v>CT17 9RH</x:v>
      </x:c>
      <x:c r="I179" s="43" t="n">
        <x:v>2</x:v>
      </x:c>
      <x:c r="J179" s="43" t="n">
        <x:v>18</x:v>
      </x:c>
      <x:c r="K179" s="43" t="str">
        <x:v>Boarding school</x:v>
      </x:c>
      <x:c r="L179" s="43" t="str">
        <x:v>Has a sixth form</x:v>
      </x:c>
      <x:c r="M179" s="43" t="n">
        <x:v>242</x:v>
      </x:c>
      <x:c r="N179" s="43" t="str">
        <x:v>https://www.dovercollege.org.uk</x:v>
      </x:c>
      <x:c r="O179" s="43" t="str">
        <x:v>01304205969</x:v>
      </x:c>
      <x:c r="P179" s="43" t="str"/>
      <x:c r="Q179" s="43" t="str"/>
      <x:c r="R179" s="43" t="str">
        <x:v>Queued for contact research</x:v>
      </x:c>
      <x:c r="S179" s="43" t="str">
        <x:v>Not reviewed</x:v>
      </x:c>
      <x:c r="T179" s="43" t="str">
        <x:v>Hold</x:v>
      </x:c>
      <x:c r="U179" s="43" t="str">
        <x:v>No</x:v>
      </x:c>
      <x:c r="V179" s="44"/>
      <x:c r="W179" s="43" t="str"/>
      <x:c r="X179" s="43" t="str"/>
      <x:c r="Y179" s="43" t="str"/>
      <x:c r="Z179" s="43" t="str">
        <x:v>https://www.get-information-schools.service.gov.uk/Downloads</x:v>
      </x:c>
    </x:row>
    <x:row r="180">
      <x:c r="A180" s="43" t="str">
        <x:v>UK independent</x:v>
      </x:c>
      <x:c r="B180" s="43" t="str">
        <x:v>124868</x:v>
      </x:c>
      <x:c r="C180" s="43" t="n">
        <x:f>IF(K180="Boarding school",30,0)+IF(J180&gt;=18,20,0)+IF(I180&lt;=11,10,0)+IF(L180="Has a sixth form",15,0)+IF(M180&gt;=200,10,0)+IF(N180&lt;&gt;"",10,0)</x:f>
        <x:v>95</x:v>
      </x:c>
      <x:c r="D180" s="43" t="str">
        <x:f>IF(C180&gt;=85,"A",IF(C180&gt;=65,"B","C"))</x:f>
        <x:v>A</x:v>
      </x:c>
      <x:c r="E180" s="43" t="str">
        <x:v>Saint Felix School</x:v>
      </x:c>
      <x:c r="F180" s="43" t="str">
        <x:v>Southwold</x:v>
      </x:c>
      <x:c r="G180" s="43" t="str">
        <x:v>Suffolk</x:v>
      </x:c>
      <x:c r="H180" s="43" t="str">
        <x:v>IP18 6SD</x:v>
      </x:c>
      <x:c r="I180" s="43" t="n">
        <x:v>2</x:v>
      </x:c>
      <x:c r="J180" s="43" t="n">
        <x:v>19</x:v>
      </x:c>
      <x:c r="K180" s="43" t="str">
        <x:v>Boarding school</x:v>
      </x:c>
      <x:c r="L180" s="43" t="str">
        <x:v>Has a sixth form</x:v>
      </x:c>
      <x:c r="M180" s="43" t="n">
        <x:v>235</x:v>
      </x:c>
      <x:c r="N180" s="43" t="str">
        <x:v>https://www.stfelix.co.uk</x:v>
      </x:c>
      <x:c r="O180" s="43" t="str">
        <x:v>01502722175</x:v>
      </x:c>
      <x:c r="P180" s="43" t="str"/>
      <x:c r="Q180" s="43" t="str"/>
      <x:c r="R180" s="43" t="str">
        <x:v>Queued for contact research</x:v>
      </x:c>
      <x:c r="S180" s="43" t="str">
        <x:v>Not reviewed</x:v>
      </x:c>
      <x:c r="T180" s="43" t="str">
        <x:v>Hold</x:v>
      </x:c>
      <x:c r="U180" s="43" t="str">
        <x:v>No</x:v>
      </x:c>
      <x:c r="V180" s="44"/>
      <x:c r="W180" s="43" t="str"/>
      <x:c r="X180" s="43" t="str"/>
      <x:c r="Y180" s="43" t="str"/>
      <x:c r="Z180" s="43" t="str">
        <x:v>https://www.get-information-schools.service.gov.uk/Downloads</x:v>
      </x:c>
    </x:row>
    <x:row r="181">
      <x:c r="A181" s="43" t="str">
        <x:v>UK independent</x:v>
      </x:c>
      <x:c r="B181" s="43" t="str">
        <x:v>134764</x:v>
      </x:c>
      <x:c r="C181" s="43" t="n">
        <x:f>IF(K181="Boarding school",30,0)+IF(J181&gt;=18,20,0)+IF(I181&lt;=11,10,0)+IF(L181="Has a sixth form",15,0)+IF(M181&gt;=200,10,0)+IF(N181&lt;&gt;"",10,0)</x:f>
        <x:v>95</x:v>
      </x:c>
      <x:c r="D181" s="43" t="str">
        <x:f>IF(C181&gt;=85,"A",IF(C181&gt;=65,"B","C"))</x:f>
        <x:v>A</x:v>
      </x:c>
      <x:c r="E181" s="43" t="str">
        <x:v>North London Grammar School</x:v>
      </x:c>
      <x:c r="F181" s="43" t="str">
        <x:v>London</x:v>
      </x:c>
      <x:c r="G181" s="43" t="str"/>
      <x:c r="H181" s="43" t="str">
        <x:v>NW9 6HB</x:v>
      </x:c>
      <x:c r="I181" s="43" t="n">
        <x:v>4</x:v>
      </x:c>
      <x:c r="J181" s="43" t="n">
        <x:v>18</x:v>
      </x:c>
      <x:c r="K181" s="43" t="str">
        <x:v>Boarding school</x:v>
      </x:c>
      <x:c r="L181" s="43" t="str">
        <x:v>Has a sixth form</x:v>
      </x:c>
      <x:c r="M181" s="43" t="n">
        <x:v>226</x:v>
      </x:c>
      <x:c r="N181" s="43" t="str">
        <x:v>https://www.northlondongrammar.com</x:v>
      </x:c>
      <x:c r="O181" s="43" t="str">
        <x:v>02082050052</x:v>
      </x:c>
      <x:c r="P181" s="43" t="str"/>
      <x:c r="Q181" s="43" t="str"/>
      <x:c r="R181" s="43" t="str">
        <x:v>Queued for contact research</x:v>
      </x:c>
      <x:c r="S181" s="43" t="str">
        <x:v>Not reviewed</x:v>
      </x:c>
      <x:c r="T181" s="43" t="str">
        <x:v>Hold</x:v>
      </x:c>
      <x:c r="U181" s="43" t="str">
        <x:v>No</x:v>
      </x:c>
      <x:c r="V181" s="44"/>
      <x:c r="W181" s="43" t="str"/>
      <x:c r="X181" s="43" t="str"/>
      <x:c r="Y181" s="43" t="str"/>
      <x:c r="Z181" s="43" t="str">
        <x:v>https://www.get-information-schools.service.gov.uk/Downloads</x:v>
      </x:c>
    </x:row>
    <x:row r="182">
      <x:c r="A182" s="43" t="str">
        <x:v>UK independent</x:v>
      </x:c>
      <x:c r="B182" s="43" t="str">
        <x:v>112446</x:v>
      </x:c>
      <x:c r="C182" s="43" t="n">
        <x:f>IF(K182="Boarding school",30,0)+IF(J182&gt;=18,20,0)+IF(I182&lt;=11,10,0)+IF(L182="Has a sixth form",15,0)+IF(M182&gt;=200,10,0)+IF(N182&lt;&gt;"",10,0)</x:f>
        <x:v>95</x:v>
      </x:c>
      <x:c r="D182" s="43" t="str">
        <x:f>IF(C182&gt;=85,"A",IF(C182&gt;=65,"B","C"))</x:f>
        <x:v>A</x:v>
      </x:c>
      <x:c r="E182" s="43" t="str">
        <x:v>Windermere School</x:v>
      </x:c>
      <x:c r="F182" s="43" t="str">
        <x:v>The Lake District</x:v>
      </x:c>
      <x:c r="G182" s="43" t="str"/>
      <x:c r="H182" s="43" t="str">
        <x:v>LA23 1NW</x:v>
      </x:c>
      <x:c r="I182" s="43" t="n">
        <x:v>3</x:v>
      </x:c>
      <x:c r="J182" s="43" t="n">
        <x:v>20</x:v>
      </x:c>
      <x:c r="K182" s="43" t="str">
        <x:v>Boarding school</x:v>
      </x:c>
      <x:c r="L182" s="43" t="str">
        <x:v>Has a sixth form</x:v>
      </x:c>
      <x:c r="M182" s="43" t="n">
        <x:v>226</x:v>
      </x:c>
      <x:c r="N182" s="43" t="str">
        <x:v>https://www.windermereschool.co.uk</x:v>
      </x:c>
      <x:c r="O182" s="43" t="str">
        <x:v>01539446164</x:v>
      </x:c>
      <x:c r="P182" s="43" t="str"/>
      <x:c r="Q182" s="43" t="str"/>
      <x:c r="R182" s="43" t="str">
        <x:v>Queued for contact research</x:v>
      </x:c>
      <x:c r="S182" s="43" t="str">
        <x:v>Not reviewed</x:v>
      </x:c>
      <x:c r="T182" s="43" t="str">
        <x:v>Hold</x:v>
      </x:c>
      <x:c r="U182" s="43" t="str">
        <x:v>No</x:v>
      </x:c>
      <x:c r="V182" s="44"/>
      <x:c r="W182" s="43" t="str"/>
      <x:c r="X182" s="43" t="str"/>
      <x:c r="Y182" s="43" t="str"/>
      <x:c r="Z182" s="43" t="str">
        <x:v>https://www.get-information-schools.service.gov.uk/Downloads</x:v>
      </x:c>
    </x:row>
    <x:row r="183">
      <x:c r="A183" s="43" t="str">
        <x:v>UK independent</x:v>
      </x:c>
      <x:c r="B183" s="43" t="str">
        <x:v>121726</x:v>
      </x:c>
      <x:c r="C183" s="43" t="n">
        <x:f>IF(K183="Boarding school",30,0)+IF(J183&gt;=18,20,0)+IF(I183&lt;=11,10,0)+IF(L183="Has a sixth form",15,0)+IF(M183&gt;=200,10,0)+IF(N183&lt;&gt;"",10,0)</x:f>
        <x:v>95</x:v>
      </x:c>
      <x:c r="D183" s="43" t="str">
        <x:f>IF(C183&gt;=85,"A",IF(C183&gt;=65,"B","C"))</x:f>
        <x:v>A</x:v>
      </x:c>
      <x:c r="E183" s="43" t="str">
        <x:v>The Mount School (York)</x:v>
      </x:c>
      <x:c r="F183" s="43" t="str">
        <x:v>York</x:v>
      </x:c>
      <x:c r="G183" s="43" t="str">
        <x:v>North Yorkshire</x:v>
      </x:c>
      <x:c r="H183" s="43" t="str">
        <x:v>YO24 4DD</x:v>
      </x:c>
      <x:c r="I183" s="43" t="n">
        <x:v>2</x:v>
      </x:c>
      <x:c r="J183" s="43" t="n">
        <x:v>18</x:v>
      </x:c>
      <x:c r="K183" s="43" t="str">
        <x:v>Boarding school</x:v>
      </x:c>
      <x:c r="L183" s="43" t="str">
        <x:v>Has a sixth form</x:v>
      </x:c>
      <x:c r="M183" s="43" t="n">
        <x:v>223</x:v>
      </x:c>
      <x:c r="N183" s="43" t="str">
        <x:v>https://www.mountschoolyork.co.uk/</x:v>
      </x:c>
      <x:c r="O183" s="43" t="str">
        <x:v>01904667500</x:v>
      </x:c>
      <x:c r="P183" s="43" t="str"/>
      <x:c r="Q183" s="43" t="str"/>
      <x:c r="R183" s="43" t="str">
        <x:v>Queued for contact research</x:v>
      </x:c>
      <x:c r="S183" s="43" t="str">
        <x:v>Not reviewed</x:v>
      </x:c>
      <x:c r="T183" s="43" t="str">
        <x:v>Hold</x:v>
      </x:c>
      <x:c r="U183" s="43" t="str">
        <x:v>No</x:v>
      </x:c>
      <x:c r="V183" s="44"/>
      <x:c r="W183" s="43" t="str"/>
      <x:c r="X183" s="43" t="str"/>
      <x:c r="Y183" s="43" t="str"/>
      <x:c r="Z183" s="43" t="str">
        <x:v>https://www.get-information-schools.service.gov.uk/Downloads</x:v>
      </x:c>
    </x:row>
    <x:row r="184">
      <x:c r="A184" s="43" t="str">
        <x:v>UK independent</x:v>
      </x:c>
      <x:c r="B184" s="43" t="str">
        <x:v>122149</x:v>
      </x:c>
      <x:c r="C184" s="43" t="n">
        <x:f>IF(K184="Boarding school",30,0)+IF(J184&gt;=18,20,0)+IF(I184&lt;=11,10,0)+IF(L184="Has a sixth form",15,0)+IF(M184&gt;=200,10,0)+IF(N184&lt;&gt;"",10,0)</x:f>
        <x:v>95</x:v>
      </x:c>
      <x:c r="D184" s="43" t="str">
        <x:f>IF(C184&gt;=85,"A",IF(C184&gt;=65,"B","C"))</x:f>
        <x:v>A</x:v>
      </x:c>
      <x:c r="E184" s="43" t="str">
        <x:v>Bosworth Independent School</x:v>
      </x:c>
      <x:c r="F184" s="43" t="str"/>
      <x:c r="G184" s="43" t="str"/>
      <x:c r="H184" s="43" t="str">
        <x:v>NN2 6JA</x:v>
      </x:c>
      <x:c r="I184" s="43" t="n">
        <x:v>11</x:v>
      </x:c>
      <x:c r="J184" s="43" t="n">
        <x:v>22</x:v>
      </x:c>
      <x:c r="K184" s="43" t="str">
        <x:v>Boarding school</x:v>
      </x:c>
      <x:c r="L184" s="43" t="str">
        <x:v>Has a sixth form</x:v>
      </x:c>
      <x:c r="M184" s="43" t="n">
        <x:v>220</x:v>
      </x:c>
      <x:c r="N184" s="43" t="str">
        <x:v>https://www.bosworthschool.co.uk</x:v>
      </x:c>
      <x:c r="O184" s="43" t="str">
        <x:v>01604239995</x:v>
      </x:c>
      <x:c r="P184" s="43" t="str"/>
      <x:c r="Q184" s="43" t="str"/>
      <x:c r="R184" s="43" t="str">
        <x:v>Queued for contact research</x:v>
      </x:c>
      <x:c r="S184" s="43" t="str">
        <x:v>Not reviewed</x:v>
      </x:c>
      <x:c r="T184" s="43" t="str">
        <x:v>Hold</x:v>
      </x:c>
      <x:c r="U184" s="43" t="str">
        <x:v>No</x:v>
      </x:c>
      <x:c r="V184" s="44"/>
      <x:c r="W184" s="43" t="str"/>
      <x:c r="X184" s="43" t="str"/>
      <x:c r="Y184" s="43" t="str"/>
      <x:c r="Z184" s="43" t="str">
        <x:v>https://www.get-information-schools.service.gov.uk/Downloads</x:v>
      </x:c>
    </x:row>
    <x:row r="185">
      <x:c r="A185" s="43" t="str">
        <x:v>UK independent</x:v>
      </x:c>
      <x:c r="B185" s="43" t="str">
        <x:v>102948</x:v>
      </x:c>
      <x:c r="C185" s="43" t="n">
        <x:f>IF(K185="Boarding school",30,0)+IF(J185&gt;=18,20,0)+IF(I185&lt;=11,10,0)+IF(L185="Has a sixth form",15,0)+IF(M185&gt;=200,10,0)+IF(N185&lt;&gt;"",10,0)</x:f>
        <x:v>95</x:v>
      </x:c>
      <x:c r="D185" s="43" t="str">
        <x:f>IF(C185&gt;=85,"A",IF(C185&gt;=65,"B","C"))</x:f>
        <x:v>A</x:v>
      </x:c>
      <x:c r="E185" s="43" t="str">
        <x:v>The Swedish School</x:v>
      </x:c>
      <x:c r="F185" s="43" t="str">
        <x:v>London</x:v>
      </x:c>
      <x:c r="G185" s="43" t="str"/>
      <x:c r="H185" s="43" t="str">
        <x:v>SW13 9JS</x:v>
      </x:c>
      <x:c r="I185" s="43" t="n">
        <x:v>2</x:v>
      </x:c>
      <x:c r="J185" s="43" t="n">
        <x:v>19</x:v>
      </x:c>
      <x:c r="K185" s="43" t="str">
        <x:v>Boarding school</x:v>
      </x:c>
      <x:c r="L185" s="43" t="str">
        <x:v>Has a sixth form</x:v>
      </x:c>
      <x:c r="M185" s="43" t="n">
        <x:v>216</x:v>
      </x:c>
      <x:c r="N185" s="43" t="str">
        <x:v>https://www.swedishschool.org.uk</x:v>
      </x:c>
      <x:c r="O185" s="43" t="str">
        <x:v>02087411751</x:v>
      </x:c>
      <x:c r="P185" s="43" t="str"/>
      <x:c r="Q185" s="43" t="str"/>
      <x:c r="R185" s="43" t="str">
        <x:v>Queued for contact research</x:v>
      </x:c>
      <x:c r="S185" s="43" t="str">
        <x:v>Not reviewed</x:v>
      </x:c>
      <x:c r="T185" s="43" t="str">
        <x:v>Hold</x:v>
      </x:c>
      <x:c r="U185" s="43" t="str">
        <x:v>No</x:v>
      </x:c>
      <x:c r="V185" s="44"/>
      <x:c r="W185" s="43" t="str"/>
      <x:c r="X185" s="43" t="str"/>
      <x:c r="Y185" s="43" t="str"/>
      <x:c r="Z185" s="43" t="str">
        <x:v>https://www.get-information-schools.service.gov.uk/Downloads</x:v>
      </x:c>
    </x:row>
    <x:row r="186">
      <x:c r="A186" s="43" t="str">
        <x:v>UK independent</x:v>
      </x:c>
      <x:c r="B186" s="43" t="str">
        <x:v>110119</x:v>
      </x:c>
      <x:c r="C186" s="43" t="n">
        <x:f>IF(K186="Boarding school",30,0)+IF(J186&gt;=18,20,0)+IF(I186&lt;=11,10,0)+IF(L186="Has a sixth form",15,0)+IF(M186&gt;=200,10,0)+IF(N186&lt;&gt;"",10,0)</x:f>
        <x:v>95</x:v>
      </x:c>
      <x:c r="D186" s="43" t="str">
        <x:f>IF(C186&gt;=85,"A",IF(C186&gt;=65,"B","C"))</x:f>
        <x:v>A</x:v>
      </x:c>
      <x:c r="E186" s="43" t="str">
        <x:v>St George's School</x:v>
      </x:c>
      <x:c r="F186" s="43" t="str"/>
      <x:c r="G186" s="43" t="str"/>
      <x:c r="H186" s="43" t="str">
        <x:v>SL5 7DZ</x:v>
      </x:c>
      <x:c r="I186" s="43" t="n">
        <x:v>11</x:v>
      </x:c>
      <x:c r="J186" s="43" t="n">
        <x:v>19</x:v>
      </x:c>
      <x:c r="K186" s="43" t="str">
        <x:v>Boarding school</x:v>
      </x:c>
      <x:c r="L186" s="43" t="str">
        <x:v>Has a sixth form</x:v>
      </x:c>
      <x:c r="M186" s="43" t="n">
        <x:v>208</x:v>
      </x:c>
      <x:c r="N186" s="43" t="str">
        <x:v>https://www.stgeorges-ascot.org.uk</x:v>
      </x:c>
      <x:c r="O186" s="43" t="str">
        <x:v>01344629900</x:v>
      </x:c>
      <x:c r="P186" s="43" t="str"/>
      <x:c r="Q186" s="43" t="str"/>
      <x:c r="R186" s="43" t="str">
        <x:v>Queued for contact research</x:v>
      </x:c>
      <x:c r="S186" s="43" t="str">
        <x:v>Not reviewed</x:v>
      </x:c>
      <x:c r="T186" s="43" t="str">
        <x:v>Hold</x:v>
      </x:c>
      <x:c r="U186" s="43" t="str">
        <x:v>No</x:v>
      </x:c>
      <x:c r="V186" s="44"/>
      <x:c r="W186" s="43" t="str"/>
      <x:c r="X186" s="43" t="str"/>
      <x:c r="Y186" s="43" t="str"/>
      <x:c r="Z186" s="43" t="str">
        <x:v>https://www.get-information-schools.service.gov.uk/Downloads</x:v>
      </x:c>
    </x:row>
    <x:row r="187">
      <x:c r="A187" s="43" t="str">
        <x:v>UK independent</x:v>
      </x:c>
      <x:c r="B187" s="43" t="str">
        <x:v>102942</x:v>
      </x:c>
      <x:c r="C187" s="43" t="n">
        <x:f>IF(K187="Boarding school",30,0)+IF(J187&gt;=18,20,0)+IF(I187&lt;=11,10,0)+IF(L187="Has a sixth form",15,0)+IF(M187&gt;=200,10,0)+IF(N187&lt;&gt;"",10,0)</x:f>
        <x:v>85</x:v>
      </x:c>
      <x:c r="D187" s="43" t="str">
        <x:f>IF(C187&gt;=85,"A",IF(C187&gt;=65,"B","C"))</x:f>
        <x:v>A</x:v>
      </x:c>
      <x:c r="E187" s="43" t="str">
        <x:v>St Paul's School</x:v>
      </x:c>
      <x:c r="F187" s="43" t="str">
        <x:v>London</x:v>
      </x:c>
      <x:c r="G187" s="43" t="str"/>
      <x:c r="H187" s="43" t="str">
        <x:v>SW13 9JT</x:v>
      </x:c>
      <x:c r="I187" s="43" t="n">
        <x:v>7</x:v>
      </x:c>
      <x:c r="J187" s="43" t="n">
        <x:v>18</x:v>
      </x:c>
      <x:c r="K187" s="43" t="str">
        <x:v>Boarding school</x:v>
      </x:c>
      <x:c r="L187" s="43" t="str">
        <x:v>Has a sixth form</x:v>
      </x:c>
      <x:c r="M187" s="43" t="n">
        <x:v>1504</x:v>
      </x:c>
      <x:c r="N187" s="43" t="str"/>
      <x:c r="O187" s="43" t="str">
        <x:v>02087489162</x:v>
      </x:c>
      <x:c r="P187" s="43" t="str"/>
      <x:c r="Q187" s="43" t="str"/>
      <x:c r="R187" s="43" t="str">
        <x:v>Queued for contact research</x:v>
      </x:c>
      <x:c r="S187" s="43" t="str">
        <x:v>Not reviewed</x:v>
      </x:c>
      <x:c r="T187" s="43" t="str">
        <x:v>Hold</x:v>
      </x:c>
      <x:c r="U187" s="43" t="str">
        <x:v>No</x:v>
      </x:c>
      <x:c r="V187" s="44"/>
      <x:c r="W187" s="43" t="str"/>
      <x:c r="X187" s="43" t="str"/>
      <x:c r="Y187" s="43" t="str"/>
      <x:c r="Z187" s="43" t="str">
        <x:v>https://www.get-information-schools.service.gov.uk/Downloads</x:v>
      </x:c>
    </x:row>
    <x:row r="188">
      <x:c r="A188" s="43" t="str">
        <x:v>UK independent</x:v>
      </x:c>
      <x:c r="B188" s="43" t="str">
        <x:v>115387</x:v>
      </x:c>
      <x:c r="C188" s="43" t="n">
        <x:f>IF(K188="Boarding school",30,0)+IF(J188&gt;=18,20,0)+IF(I188&lt;=11,10,0)+IF(L188="Has a sixth form",15,0)+IF(M188&gt;=200,10,0)+IF(N188&lt;&gt;"",10,0)</x:f>
        <x:v>85</x:v>
      </x:c>
      <x:c r="D188" s="43" t="str">
        <x:f>IF(C188&gt;=85,"A",IF(C188&gt;=65,"B","C"))</x:f>
        <x:v>A</x:v>
      </x:c>
      <x:c r="E188" s="43" t="str">
        <x:v>New Hall School</x:v>
      </x:c>
      <x:c r="F188" s="43" t="str">
        <x:v>Chelmsford</x:v>
      </x:c>
      <x:c r="G188" s="43" t="str">
        <x:v>Essex</x:v>
      </x:c>
      <x:c r="H188" s="43" t="str">
        <x:v>CM3 3HS</x:v>
      </x:c>
      <x:c r="I188" s="43" t="n">
        <x:v>1</x:v>
      </x:c>
      <x:c r="J188" s="43" t="n">
        <x:v>19</x:v>
      </x:c>
      <x:c r="K188" s="43" t="str">
        <x:v>Boarding school</x:v>
      </x:c>
      <x:c r="L188" s="43" t="str">
        <x:v>Has a sixth form</x:v>
      </x:c>
      <x:c r="M188" s="43" t="n">
        <x:v>1364</x:v>
      </x:c>
      <x:c r="N188" s="43" t="str"/>
      <x:c r="O188" s="43" t="str">
        <x:v>01245467588</x:v>
      </x:c>
      <x:c r="P188" s="43" t="str"/>
      <x:c r="Q188" s="43" t="str"/>
      <x:c r="R188" s="43" t="str">
        <x:v>Queued for contact research</x:v>
      </x:c>
      <x:c r="S188" s="43" t="str">
        <x:v>Not reviewed</x:v>
      </x:c>
      <x:c r="T188" s="43" t="str">
        <x:v>Hold</x:v>
      </x:c>
      <x:c r="U188" s="43" t="str">
        <x:v>No</x:v>
      </x:c>
      <x:c r="V188" s="44"/>
      <x:c r="W188" s="43" t="str"/>
      <x:c r="X188" s="43" t="str"/>
      <x:c r="Y188" s="43" t="str"/>
      <x:c r="Z188" s="43" t="str">
        <x:v>https://www.get-information-schools.service.gov.uk/Downloads</x:v>
      </x:c>
    </x:row>
    <x:row r="189">
      <x:c r="A189" s="43" t="str">
        <x:v>UK independent</x:v>
      </x:c>
      <x:c r="B189" s="43" t="str">
        <x:v>110158</x:v>
      </x:c>
      <x:c r="C189" s="43" t="n">
        <x:f>IF(K189="Boarding school",30,0)+IF(J189&gt;=18,20,0)+IF(I189&lt;=11,10,0)+IF(L189="Has a sixth form",15,0)+IF(M189&gt;=200,10,0)+IF(N189&lt;&gt;"",10,0)</x:f>
        <x:v>85</x:v>
      </x:c>
      <x:c r="D189" s="43" t="str">
        <x:f>IF(C189&gt;=85,"A",IF(C189&gt;=65,"B","C"))</x:f>
        <x:v>A</x:v>
      </x:c>
      <x:c r="E189" s="43" t="str">
        <x:v>Eton College</x:v>
      </x:c>
      <x:c r="F189" s="43" t="str">
        <x:v>Windsor</x:v>
      </x:c>
      <x:c r="G189" s="43" t="str">
        <x:v>Berkshire</x:v>
      </x:c>
      <x:c r="H189" s="43" t="str">
        <x:v>SL4 6DW</x:v>
      </x:c>
      <x:c r="I189" s="43" t="n">
        <x:v>12</x:v>
      </x:c>
      <x:c r="J189" s="43" t="n">
        <x:v>19</x:v>
      </x:c>
      <x:c r="K189" s="43" t="str">
        <x:v>Boarding school</x:v>
      </x:c>
      <x:c r="L189" s="43" t="str">
        <x:v>Has a sixth form</x:v>
      </x:c>
      <x:c r="M189" s="43" t="n">
        <x:v>1348</x:v>
      </x:c>
      <x:c r="N189" s="43" t="str">
        <x:v>https://www.etoncollege.com</x:v>
      </x:c>
      <x:c r="O189" s="43" t="str">
        <x:v>01753370100</x:v>
      </x:c>
      <x:c r="P189" s="43" t="str"/>
      <x:c r="Q189" s="43" t="str"/>
      <x:c r="R189" s="43" t="str">
        <x:v>Queued for contact research</x:v>
      </x:c>
      <x:c r="S189" s="43" t="str">
        <x:v>Not reviewed</x:v>
      </x:c>
      <x:c r="T189" s="43" t="str">
        <x:v>Hold</x:v>
      </x:c>
      <x:c r="U189" s="43" t="str">
        <x:v>No</x:v>
      </x:c>
      <x:c r="V189" s="44"/>
      <x:c r="W189" s="43" t="str"/>
      <x:c r="X189" s="43" t="str"/>
      <x:c r="Y189" s="43" t="str"/>
      <x:c r="Z189" s="43" t="str">
        <x:v>https://www.get-information-schools.service.gov.uk/Downloads</x:v>
      </x:c>
    </x:row>
    <x:row r="190">
      <x:c r="A190" s="43" t="str">
        <x:v>UK independent</x:v>
      </x:c>
      <x:c r="B190" s="43" t="str">
        <x:v>121724</x:v>
      </x:c>
      <x:c r="C190" s="43" t="n">
        <x:f>IF(K190="Boarding school",30,0)+IF(J190&gt;=18,20,0)+IF(I190&lt;=11,10,0)+IF(L190="Has a sixth form",15,0)+IF(M190&gt;=200,10,0)+IF(N190&lt;&gt;"",10,0)</x:f>
        <x:v>85</x:v>
      </x:c>
      <x:c r="D190" s="43" t="str">
        <x:f>IF(C190&gt;=85,"A",IF(C190&gt;=65,"B","C"))</x:f>
        <x:v>A</x:v>
      </x:c>
      <x:c r="E190" s="43" t="str">
        <x:v>St Peter's School 2-18</x:v>
      </x:c>
      <x:c r="F190" s="43" t="str">
        <x:v>York</x:v>
      </x:c>
      <x:c r="G190" s="43" t="str">
        <x:v>North Yorkshire</x:v>
      </x:c>
      <x:c r="H190" s="43" t="str">
        <x:v>YO30 6AB</x:v>
      </x:c>
      <x:c r="I190" s="43" t="n">
        <x:v>2</x:v>
      </x:c>
      <x:c r="J190" s="43" t="n">
        <x:v>18</x:v>
      </x:c>
      <x:c r="K190" s="43" t="str">
        <x:v>Boarding school</x:v>
      </x:c>
      <x:c r="L190" s="43" t="str">
        <x:v>Has a sixth form</x:v>
      </x:c>
      <x:c r="M190" s="43" t="n">
        <x:v>1277</x:v>
      </x:c>
      <x:c r="N190" s="43" t="str"/>
      <x:c r="O190" s="43" t="str">
        <x:v>01904527300</x:v>
      </x:c>
      <x:c r="P190" s="43" t="str"/>
      <x:c r="Q190" s="43" t="str"/>
      <x:c r="R190" s="43" t="str">
        <x:v>Queued for contact research</x:v>
      </x:c>
      <x:c r="S190" s="43" t="str">
        <x:v>Not reviewed</x:v>
      </x:c>
      <x:c r="T190" s="43" t="str">
        <x:v>Hold</x:v>
      </x:c>
      <x:c r="U190" s="43" t="str">
        <x:v>No</x:v>
      </x:c>
      <x:c r="V190" s="44"/>
      <x:c r="W190" s="43" t="str"/>
      <x:c r="X190" s="43" t="str"/>
      <x:c r="Y190" s="43" t="str"/>
      <x:c r="Z190" s="43" t="str">
        <x:v>https://www.get-information-schools.service.gov.uk/Downloads</x:v>
      </x:c>
    </x:row>
    <x:row r="191">
      <x:c r="A191" s="43" t="str">
        <x:v>UK independent</x:v>
      </x:c>
      <x:c r="B191" s="43" t="str">
        <x:v>123911</x:v>
      </x:c>
      <x:c r="C191" s="43" t="n">
        <x:f>IF(K191="Boarding school",30,0)+IF(J191&gt;=18,20,0)+IF(I191&lt;=11,10,0)+IF(L191="Has a sixth form",15,0)+IF(M191&gt;=200,10,0)+IF(N191&lt;&gt;"",10,0)</x:f>
        <x:v>85</x:v>
      </x:c>
      <x:c r="D191" s="43" t="str">
        <x:f>IF(C191&gt;=85,"A",IF(C191&gt;=65,"B","C"))</x:f>
        <x:v>A</x:v>
      </x:c>
      <x:c r="E191" s="43" t="str">
        <x:v>Millfield School</x:v>
      </x:c>
      <x:c r="F191" s="43" t="str">
        <x:v>Street</x:v>
      </x:c>
      <x:c r="G191" s="43" t="str">
        <x:v>Somerset</x:v>
      </x:c>
      <x:c r="H191" s="43" t="str">
        <x:v>BA16 0YD</x:v>
      </x:c>
      <x:c r="I191" s="43" t="n">
        <x:v>12</x:v>
      </x:c>
      <x:c r="J191" s="43" t="n">
        <x:v>19</x:v>
      </x:c>
      <x:c r="K191" s="43" t="str">
        <x:v>Boarding school</x:v>
      </x:c>
      <x:c r="L191" s="43" t="str">
        <x:v>Has a sixth form</x:v>
      </x:c>
      <x:c r="M191" s="43" t="n">
        <x:v>1276</x:v>
      </x:c>
      <x:c r="N191" s="43" t="str">
        <x:v>https://www.millfieldschool.com</x:v>
      </x:c>
      <x:c r="O191" s="43" t="str">
        <x:v>01458442291</x:v>
      </x:c>
      <x:c r="P191" s="43" t="str"/>
      <x:c r="Q191" s="43" t="str"/>
      <x:c r="R191" s="43" t="str">
        <x:v>Queued for contact research</x:v>
      </x:c>
      <x:c r="S191" s="43" t="str">
        <x:v>Not reviewed</x:v>
      </x:c>
      <x:c r="T191" s="43" t="str">
        <x:v>Hold</x:v>
      </x:c>
      <x:c r="U191" s="43" t="str">
        <x:v>No</x:v>
      </x:c>
      <x:c r="V191" s="44"/>
      <x:c r="W191" s="43" t="str"/>
      <x:c r="X191" s="43" t="str"/>
      <x:c r="Y191" s="43" t="str"/>
      <x:c r="Z191" s="43" t="str">
        <x:v>https://www.get-information-schools.service.gov.uk/Downloads</x:v>
      </x:c>
    </x:row>
    <x:row r="192">
      <x:c r="A192" s="43" t="str">
        <x:v>UK independent</x:v>
      </x:c>
      <x:c r="B192" s="43" t="str">
        <x:v>110125</x:v>
      </x:c>
      <x:c r="C192" s="43" t="n">
        <x:f>IF(K192="Boarding school",30,0)+IF(J192&gt;=18,20,0)+IF(I192&lt;=11,10,0)+IF(L192="Has a sixth form",15,0)+IF(M192&gt;=200,10,0)+IF(N192&lt;&gt;"",10,0)</x:f>
        <x:v>85</x:v>
      </x:c>
      <x:c r="D192" s="43" t="str">
        <x:f>IF(C192&gt;=85,"A",IF(C192&gt;=65,"B","C"))</x:f>
        <x:v>A</x:v>
      </x:c>
      <x:c r="E192" s="43" t="str">
        <x:v>Wellington College</x:v>
      </x:c>
      <x:c r="F192" s="43" t="str"/>
      <x:c r="G192" s="43" t="str"/>
      <x:c r="H192" s="43" t="str">
        <x:v>RG45 7PU</x:v>
      </x:c>
      <x:c r="I192" s="43" t="n">
        <x:v>12</x:v>
      </x:c>
      <x:c r="J192" s="43" t="n">
        <x:v>19</x:v>
      </x:c>
      <x:c r="K192" s="43" t="str">
        <x:v>Boarding school</x:v>
      </x:c>
      <x:c r="L192" s="43" t="str">
        <x:v>Has a sixth form</x:v>
      </x:c>
      <x:c r="M192" s="43" t="n">
        <x:v>1170</x:v>
      </x:c>
      <x:c r="N192" s="43" t="str">
        <x:v>https://www.wellingtoncollege.org.uk</x:v>
      </x:c>
      <x:c r="O192" s="43" t="str">
        <x:v>01344444000</x:v>
      </x:c>
      <x:c r="P192" s="43" t="str"/>
      <x:c r="Q192" s="43" t="str"/>
      <x:c r="R192" s="43" t="str">
        <x:v>Queued for contact research</x:v>
      </x:c>
      <x:c r="S192" s="43" t="str">
        <x:v>Not reviewed</x:v>
      </x:c>
      <x:c r="T192" s="43" t="str">
        <x:v>Hold</x:v>
      </x:c>
      <x:c r="U192" s="43" t="str">
        <x:v>No</x:v>
      </x:c>
      <x:c r="V192" s="44"/>
      <x:c r="W192" s="43" t="str"/>
      <x:c r="X192" s="43" t="str"/>
      <x:c r="Y192" s="43" t="str"/>
      <x:c r="Z192" s="43" t="str">
        <x:v>https://www.get-information-schools.service.gov.uk/Downloads</x:v>
      </x:c>
    </x:row>
    <x:row r="193">
      <x:c r="A193" s="43" t="str">
        <x:v>UK independent</x:v>
      </x:c>
      <x:c r="B193" s="43" t="str">
        <x:v>110925</x:v>
      </x:c>
      <x:c r="C193" s="43" t="n">
        <x:f>IF(K193="Boarding school",30,0)+IF(J193&gt;=18,20,0)+IF(I193&lt;=11,10,0)+IF(L193="Has a sixth form",15,0)+IF(M193&gt;=200,10,0)+IF(N193&lt;&gt;"",10,0)</x:f>
        <x:v>85</x:v>
      </x:c>
      <x:c r="D193" s="43" t="str">
        <x:f>IF(C193&gt;=85,"A",IF(C193&gt;=65,"B","C"))</x:f>
        <x:v>A</x:v>
      </x:c>
      <x:c r="E193" s="43" t="str">
        <x:v>Kimbolton School</x:v>
      </x:c>
      <x:c r="F193" s="43" t="str">
        <x:v>Huntingdon</x:v>
      </x:c>
      <x:c r="G193" s="43" t="str">
        <x:v>Cambridgeshire</x:v>
      </x:c>
      <x:c r="H193" s="43" t="str">
        <x:v>PE28 0EA</x:v>
      </x:c>
      <x:c r="I193" s="43" t="n">
        <x:v>3</x:v>
      </x:c>
      <x:c r="J193" s="43" t="n">
        <x:v>18</x:v>
      </x:c>
      <x:c r="K193" s="43" t="str">
        <x:v>Boarding school</x:v>
      </x:c>
      <x:c r="L193" s="43" t="str">
        <x:v>Has a sixth form</x:v>
      </x:c>
      <x:c r="M193" s="43" t="n">
        <x:v>1036</x:v>
      </x:c>
      <x:c r="N193" s="43" t="str"/>
      <x:c r="O193" s="43" t="str">
        <x:v>01480860505</x:v>
      </x:c>
      <x:c r="P193" s="43" t="str"/>
      <x:c r="Q193" s="43" t="str"/>
      <x:c r="R193" s="43" t="str">
        <x:v>Queued for contact research</x:v>
      </x:c>
      <x:c r="S193" s="43" t="str">
        <x:v>Not reviewed</x:v>
      </x:c>
      <x:c r="T193" s="43" t="str">
        <x:v>Hold</x:v>
      </x:c>
      <x:c r="U193" s="43" t="str">
        <x:v>No</x:v>
      </x:c>
      <x:c r="V193" s="44"/>
      <x:c r="W193" s="43" t="str"/>
      <x:c r="X193" s="43" t="str"/>
      <x:c r="Y193" s="43" t="str"/>
      <x:c r="Z193" s="43" t="str">
        <x:v>https://www.get-information-schools.service.gov.uk/Downloads</x:v>
      </x:c>
    </x:row>
    <x:row r="194">
      <x:c r="A194" s="43" t="str">
        <x:v>UK independent</x:v>
      </x:c>
      <x:c r="B194" s="43" t="str">
        <x:v>125340</x:v>
      </x:c>
      <x:c r="C194" s="43" t="n">
        <x:f>IF(K194="Boarding school",30,0)+IF(J194&gt;=18,20,0)+IF(I194&lt;=11,10,0)+IF(L194="Has a sixth form",15,0)+IF(M194&gt;=200,10,0)+IF(N194&lt;&gt;"",10,0)</x:f>
        <x:v>85</x:v>
      </x:c>
      <x:c r="D194" s="43" t="str">
        <x:f>IF(C194&gt;=85,"A",IF(C194&gt;=65,"B","C"))</x:f>
        <x:v>A</x:v>
      </x:c>
      <x:c r="E194" s="43" t="str">
        <x:v>Charterhouse</x:v>
      </x:c>
      <x:c r="F194" s="43" t="str">
        <x:v>Godalming</x:v>
      </x:c>
      <x:c r="G194" s="43" t="str">
        <x:v>Surrey</x:v>
      </x:c>
      <x:c r="H194" s="43" t="str">
        <x:v>GU7 2DX</x:v>
      </x:c>
      <x:c r="I194" s="43" t="n">
        <x:v>12</x:v>
      </x:c>
      <x:c r="J194" s="43" t="n">
        <x:v>19</x:v>
      </x:c>
      <x:c r="K194" s="43" t="str">
        <x:v>Boarding school</x:v>
      </x:c>
      <x:c r="L194" s="43" t="str">
        <x:v>Has a sixth form</x:v>
      </x:c>
      <x:c r="M194" s="43" t="n">
        <x:v>1027</x:v>
      </x:c>
      <x:c r="N194" s="43" t="str">
        <x:v>https://www.charterhouse.org.uk</x:v>
      </x:c>
      <x:c r="O194" s="43" t="str">
        <x:v>01483291500</x:v>
      </x:c>
      <x:c r="P194" s="43" t="str"/>
      <x:c r="Q194" s="43" t="str"/>
      <x:c r="R194" s="43" t="str">
        <x:v>Queued for contact research</x:v>
      </x:c>
      <x:c r="S194" s="43" t="str">
        <x:v>Not reviewed</x:v>
      </x:c>
      <x:c r="T194" s="43" t="str">
        <x:v>Hold</x:v>
      </x:c>
      <x:c r="U194" s="43" t="str">
        <x:v>No</x:v>
      </x:c>
      <x:c r="V194" s="44"/>
      <x:c r="W194" s="43" t="str"/>
      <x:c r="X194" s="43" t="str"/>
      <x:c r="Y194" s="43" t="str"/>
      <x:c r="Z194" s="43" t="str">
        <x:v>https://www.get-information-schools.service.gov.uk/Downloads</x:v>
      </x:c>
    </x:row>
    <x:row r="195">
      <x:c r="A195" s="43" t="str">
        <x:v>UK independent</x:v>
      </x:c>
      <x:c r="B195" s="43" t="str">
        <x:v>126516</x:v>
      </x:c>
      <x:c r="C195" s="43" t="n">
        <x:f>IF(K195="Boarding school",30,0)+IF(J195&gt;=18,20,0)+IF(I195&lt;=11,10,0)+IF(L195="Has a sixth form",15,0)+IF(M195&gt;=200,10,0)+IF(N195&lt;&gt;"",10,0)</x:f>
        <x:v>85</x:v>
      </x:c>
      <x:c r="D195" s="43" t="str">
        <x:f>IF(C195&gt;=85,"A",IF(C195&gt;=65,"B","C"))</x:f>
        <x:v>A</x:v>
      </x:c>
      <x:c r="E195" s="43" t="str">
        <x:v>Marlborough College</x:v>
      </x:c>
      <x:c r="F195" s="43" t="str">
        <x:v>Wiltshire</x:v>
      </x:c>
      <x:c r="G195" s="43" t="str">
        <x:v>Wiltshire</x:v>
      </x:c>
      <x:c r="H195" s="43" t="str">
        <x:v>SN8 1PA</x:v>
      </x:c>
      <x:c r="I195" s="43" t="n">
        <x:v>13</x:v>
      </x:c>
      <x:c r="J195" s="43" t="n">
        <x:v>19</x:v>
      </x:c>
      <x:c r="K195" s="43" t="str">
        <x:v>Boarding school</x:v>
      </x:c>
      <x:c r="L195" s="43" t="str">
        <x:v>Has a sixth form</x:v>
      </x:c>
      <x:c r="M195" s="43" t="n">
        <x:v>1003</x:v>
      </x:c>
      <x:c r="N195" s="43" t="str">
        <x:v>https://www.marlboroughcollege.org</x:v>
      </x:c>
      <x:c r="O195" s="43" t="str">
        <x:v>01672892200</x:v>
      </x:c>
      <x:c r="P195" s="43" t="str"/>
      <x:c r="Q195" s="43" t="str"/>
      <x:c r="R195" s="43" t="str">
        <x:v>Queued for contact research</x:v>
      </x:c>
      <x:c r="S195" s="43" t="str">
        <x:v>Not reviewed</x:v>
      </x:c>
      <x:c r="T195" s="43" t="str">
        <x:v>Hold</x:v>
      </x:c>
      <x:c r="U195" s="43" t="str">
        <x:v>No</x:v>
      </x:c>
      <x:c r="V195" s="44"/>
      <x:c r="W195" s="43" t="str"/>
      <x:c r="X195" s="43" t="str"/>
      <x:c r="Y195" s="43" t="str"/>
      <x:c r="Z195" s="43" t="str">
        <x:v>https://www.get-information-schools.service.gov.uk/Downloads</x:v>
      </x:c>
    </x:row>
    <x:row r="196">
      <x:c r="A196" s="43" t="str">
        <x:v>UK independent</x:v>
      </x:c>
      <x:c r="B196" s="43" t="str">
        <x:v>118996</x:v>
      </x:c>
      <x:c r="C196" s="43" t="n">
        <x:f>IF(K196="Boarding school",30,0)+IF(J196&gt;=18,20,0)+IF(I196&lt;=11,10,0)+IF(L196="Has a sixth form",15,0)+IF(M196&gt;=200,10,0)+IF(N196&lt;&gt;"",10,0)</x:f>
        <x:v>85</x:v>
      </x:c>
      <x:c r="D196" s="43" t="str">
        <x:f>IF(C196&gt;=85,"A",IF(C196&gt;=65,"B","C"))</x:f>
        <x:v>A</x:v>
      </x:c>
      <x:c r="E196" s="43" t="str">
        <x:v>The King's School Canterbury</x:v>
      </x:c>
      <x:c r="F196" s="43" t="str">
        <x:v>Canterbury</x:v>
      </x:c>
      <x:c r="G196" s="43" t="str">
        <x:v>Kent</x:v>
      </x:c>
      <x:c r="H196" s="43" t="str">
        <x:v>CT1 2ES</x:v>
      </x:c>
      <x:c r="I196" s="43" t="n">
        <x:v>13</x:v>
      </x:c>
      <x:c r="J196" s="43" t="n">
        <x:v>19</x:v>
      </x:c>
      <x:c r="K196" s="43" t="str">
        <x:v>Boarding school</x:v>
      </x:c>
      <x:c r="L196" s="43" t="str">
        <x:v>Has a sixth form</x:v>
      </x:c>
      <x:c r="M196" s="43" t="n">
        <x:v>985</x:v>
      </x:c>
      <x:c r="N196" s="43" t="str">
        <x:v>https://www.kings-school.co.uk</x:v>
      </x:c>
      <x:c r="O196" s="43" t="str">
        <x:v>01227595501</x:v>
      </x:c>
      <x:c r="P196" s="43" t="str"/>
      <x:c r="Q196" s="43" t="str"/>
      <x:c r="R196" s="43" t="str">
        <x:v>Queued for contact research</x:v>
      </x:c>
      <x:c r="S196" s="43" t="str">
        <x:v>Not reviewed</x:v>
      </x:c>
      <x:c r="T196" s="43" t="str">
        <x:v>Hold</x:v>
      </x:c>
      <x:c r="U196" s="43" t="str">
        <x:v>No</x:v>
      </x:c>
      <x:c r="V196" s="44"/>
      <x:c r="W196" s="43" t="str"/>
      <x:c r="X196" s="43" t="str"/>
      <x:c r="Y196" s="43" t="str"/>
      <x:c r="Z196" s="43" t="str">
        <x:v>https://www.get-information-schools.service.gov.uk/Downloads</x:v>
      </x:c>
    </x:row>
    <x:row r="197">
      <x:c r="A197" s="43" t="str">
        <x:v>UK independent</x:v>
      </x:c>
      <x:c r="B197" s="43" t="str">
        <x:v>101367</x:v>
      </x:c>
      <x:c r="C197" s="43" t="n">
        <x:f>IF(K197="Boarding school",30,0)+IF(J197&gt;=18,20,0)+IF(I197&lt;=11,10,0)+IF(L197="Has a sixth form",15,0)+IF(M197&gt;=200,10,0)+IF(N197&lt;&gt;"",10,0)</x:f>
        <x:v>85</x:v>
      </x:c>
      <x:c r="D197" s="43" t="str">
        <x:f>IF(C197&gt;=85,"A",IF(C197&gt;=65,"B","C"))</x:f>
        <x:v>A</x:v>
      </x:c>
      <x:c r="E197" s="43" t="str">
        <x:v>Mill Hill Schools</x:v>
      </x:c>
      <x:c r="F197" s="43" t="str">
        <x:v>London</x:v>
      </x:c>
      <x:c r="G197" s="43" t="str"/>
      <x:c r="H197" s="43" t="str">
        <x:v>NW7 1QS</x:v>
      </x:c>
      <x:c r="I197" s="43" t="n">
        <x:v>3</x:v>
      </x:c>
      <x:c r="J197" s="43" t="n">
        <x:v>19</x:v>
      </x:c>
      <x:c r="K197" s="43" t="str">
        <x:v>Boarding school</x:v>
      </x:c>
      <x:c r="L197" s="43" t="str">
        <x:v>Has a sixth form</x:v>
      </x:c>
      <x:c r="M197" s="43" t="n">
        <x:v>909</x:v>
      </x:c>
      <x:c r="N197" s="43" t="str"/>
      <x:c r="O197" s="43" t="str">
        <x:v>02089591176</x:v>
      </x:c>
      <x:c r="P197" s="43" t="str"/>
      <x:c r="Q197" s="43" t="str"/>
      <x:c r="R197" s="43" t="str">
        <x:v>Queued for contact research</x:v>
      </x:c>
      <x:c r="S197" s="43" t="str">
        <x:v>Not reviewed</x:v>
      </x:c>
      <x:c r="T197" s="43" t="str">
        <x:v>Hold</x:v>
      </x:c>
      <x:c r="U197" s="43" t="str">
        <x:v>No</x:v>
      </x:c>
      <x:c r="V197" s="44"/>
      <x:c r="W197" s="43" t="str"/>
      <x:c r="X197" s="43" t="str"/>
      <x:c r="Y197" s="43" t="str"/>
      <x:c r="Z197" s="43" t="str">
        <x:v>https://www.get-information-schools.service.gov.uk/Downloads</x:v>
      </x:c>
    </x:row>
    <x:row r="198">
      <x:c r="A198" s="43" t="str">
        <x:v>UK independent</x:v>
      </x:c>
      <x:c r="B198" s="43" t="str">
        <x:v>125777</x:v>
      </x:c>
      <x:c r="C198" s="43" t="n">
        <x:f>IF(K198="Boarding school",30,0)+IF(J198&gt;=18,20,0)+IF(I198&lt;=11,10,0)+IF(L198="Has a sixth form",15,0)+IF(M198&gt;=200,10,0)+IF(N198&lt;&gt;"",10,0)</x:f>
        <x:v>85</x:v>
      </x:c>
      <x:c r="D198" s="43" t="str">
        <x:f>IF(C198&gt;=85,"A",IF(C198&gt;=65,"B","C"))</x:f>
        <x:v>A</x:v>
      </x:c>
      <x:c r="E198" s="43" t="str">
        <x:v>Rugby School</x:v>
      </x:c>
      <x:c r="F198" s="43" t="str">
        <x:v>Rugby</x:v>
      </x:c>
      <x:c r="G198" s="43" t="str">
        <x:v>Warwickshire</x:v>
      </x:c>
      <x:c r="H198" s="43" t="str">
        <x:v>CV21 3AW</x:v>
      </x:c>
      <x:c r="I198" s="43" t="n">
        <x:v>13</x:v>
      </x:c>
      <x:c r="J198" s="43" t="n">
        <x:v>18</x:v>
      </x:c>
      <x:c r="K198" s="43" t="str">
        <x:v>Boarding school</x:v>
      </x:c>
      <x:c r="L198" s="43" t="str">
        <x:v>Has a sixth form</x:v>
      </x:c>
      <x:c r="M198" s="43" t="n">
        <x:v>887</x:v>
      </x:c>
      <x:c r="N198" s="43" t="str">
        <x:v>http://www.rugbyschool.co.uk</x:v>
      </x:c>
      <x:c r="O198" s="43" t="str">
        <x:v>01788556216</x:v>
      </x:c>
      <x:c r="P198" s="43" t="str"/>
      <x:c r="Q198" s="43" t="str"/>
      <x:c r="R198" s="43" t="str">
        <x:v>Queued for contact research</x:v>
      </x:c>
      <x:c r="S198" s="43" t="str">
        <x:v>Not reviewed</x:v>
      </x:c>
      <x:c r="T198" s="43" t="str">
        <x:v>Hold</x:v>
      </x:c>
      <x:c r="U198" s="43" t="str">
        <x:v>No</x:v>
      </x:c>
      <x:c r="V198" s="44"/>
      <x:c r="W198" s="43" t="str"/>
      <x:c r="X198" s="43" t="str"/>
      <x:c r="Y198" s="43" t="str"/>
      <x:c r="Z198" s="43" t="str">
        <x:v>https://www.get-information-schools.service.gov.uk/Downloads</x:v>
      </x:c>
    </x:row>
    <x:row r="199">
      <x:c r="A199" s="43" t="str">
        <x:v>UK independent</x:v>
      </x:c>
      <x:c r="B199" s="43" t="str">
        <x:v>123608</x:v>
      </x:c>
      <x:c r="C199" s="43" t="n">
        <x:f>IF(K199="Boarding school",30,0)+IF(J199&gt;=18,20,0)+IF(I199&lt;=11,10,0)+IF(L199="Has a sixth form",15,0)+IF(M199&gt;=200,10,0)+IF(N199&lt;&gt;"",10,0)</x:f>
        <x:v>85</x:v>
      </x:c>
      <x:c r="D199" s="43" t="str">
        <x:f>IF(C199&gt;=85,"A",IF(C199&gt;=65,"B","C"))</x:f>
        <x:v>A</x:v>
      </x:c>
      <x:c r="E199" s="43" t="str">
        <x:v>Shrewsbury School</x:v>
      </x:c>
      <x:c r="F199" s="43" t="str">
        <x:v>Shrewsbury</x:v>
      </x:c>
      <x:c r="G199" s="43" t="str">
        <x:v>Shropshire</x:v>
      </x:c>
      <x:c r="H199" s="43" t="str">
        <x:v>SY3 7BA</x:v>
      </x:c>
      <x:c r="I199" s="43" t="n">
        <x:v>12</x:v>
      </x:c>
      <x:c r="J199" s="43" t="n">
        <x:v>18</x:v>
      </x:c>
      <x:c r="K199" s="43" t="str">
        <x:v>Boarding school</x:v>
      </x:c>
      <x:c r="L199" s="43" t="str">
        <x:v>Has a sixth form</x:v>
      </x:c>
      <x:c r="M199" s="43" t="n">
        <x:v>848</x:v>
      </x:c>
      <x:c r="N199" s="43" t="str">
        <x:v>http://www.shrewsbury.org.uk</x:v>
      </x:c>
      <x:c r="O199" s="43" t="str">
        <x:v>01743280500</x:v>
      </x:c>
      <x:c r="P199" s="43" t="str"/>
      <x:c r="Q199" s="43" t="str"/>
      <x:c r="R199" s="43" t="str">
        <x:v>Queued for contact research</x:v>
      </x:c>
      <x:c r="S199" s="43" t="str">
        <x:v>Not reviewed</x:v>
      </x:c>
      <x:c r="T199" s="43" t="str">
        <x:v>Hold</x:v>
      </x:c>
      <x:c r="U199" s="43" t="str">
        <x:v>No</x:v>
      </x:c>
      <x:c r="V199" s="44"/>
      <x:c r="W199" s="43" t="str"/>
      <x:c r="X199" s="43" t="str"/>
      <x:c r="Y199" s="43" t="str"/>
      <x:c r="Z199" s="43" t="str">
        <x:v>https://www.get-information-schools.service.gov.uk/Downloads</x:v>
      </x:c>
    </x:row>
    <x:row r="200">
      <x:c r="A200" s="43" t="str">
        <x:v>UK independent</x:v>
      </x:c>
      <x:c r="B200" s="43" t="str">
        <x:v>102245</x:v>
      </x:c>
      <x:c r="C200" s="43" t="n">
        <x:f>IF(K200="Boarding school",30,0)+IF(J200&gt;=18,20,0)+IF(I200&lt;=11,10,0)+IF(L200="Has a sixth form",15,0)+IF(M200&gt;=200,10,0)+IF(N200&lt;&gt;"",10,0)</x:f>
        <x:v>85</x:v>
      </x:c>
      <x:c r="D200" s="43" t="str">
        <x:f>IF(C200&gt;=85,"A",IF(C200&gt;=65,"B","C"))</x:f>
        <x:v>A</x:v>
      </x:c>
      <x:c r="E200" s="43" t="str">
        <x:v>Harrow School</x:v>
      </x:c>
      <x:c r="F200" s="43" t="str">
        <x:v>Harrow-on-the-Hill</x:v>
      </x:c>
      <x:c r="G200" s="43" t="str"/>
      <x:c r="H200" s="43" t="str">
        <x:v>HA1 3HP</x:v>
      </x:c>
      <x:c r="I200" s="43" t="n">
        <x:v>12</x:v>
      </x:c>
      <x:c r="J200" s="43" t="n">
        <x:v>19</x:v>
      </x:c>
      <x:c r="K200" s="43" t="str">
        <x:v>Boarding school</x:v>
      </x:c>
      <x:c r="L200" s="43" t="str">
        <x:v>Has a sixth form</x:v>
      </x:c>
      <x:c r="M200" s="43" t="n">
        <x:v>833</x:v>
      </x:c>
      <x:c r="N200" s="43" t="str">
        <x:v>https://www.harrowschool.org.uk</x:v>
      </x:c>
      <x:c r="O200" s="43" t="str">
        <x:v>02088728000</x:v>
      </x:c>
      <x:c r="P200" s="43" t="str"/>
      <x:c r="Q200" s="43" t="str"/>
      <x:c r="R200" s="43" t="str">
        <x:v>Queued for contact research</x:v>
      </x:c>
      <x:c r="S200" s="43" t="str">
        <x:v>Not reviewed</x:v>
      </x:c>
      <x:c r="T200" s="43" t="str">
        <x:v>Hold</x:v>
      </x:c>
      <x:c r="U200" s="43" t="str">
        <x:v>No</x:v>
      </x:c>
      <x:c r="V200" s="44"/>
      <x:c r="W200" s="43" t="str"/>
      <x:c r="X200" s="43" t="str"/>
      <x:c r="Y200" s="43" t="str"/>
      <x:c r="Z200" s="43" t="str">
        <x:v>https://www.get-information-schools.service.gov.uk/Downloads</x:v>
      </x:c>
    </x:row>
    <x:row r="201">
      <x:c r="A201" s="43" t="str">
        <x:v>UK independent</x:v>
      </x:c>
      <x:c r="B201" s="43" t="str">
        <x:v>110121</x:v>
      </x:c>
      <x:c r="C201" s="43" t="n">
        <x:f>IF(K201="Boarding school",30,0)+IF(J201&gt;=18,20,0)+IF(I201&lt;=11,10,0)+IF(L201="Has a sixth form",15,0)+IF(M201&gt;=200,10,0)+IF(N201&lt;&gt;"",10,0)</x:f>
        <x:v>85</x:v>
      </x:c>
      <x:c r="D201" s="43" t="str">
        <x:f>IF(C201&gt;=85,"A",IF(C201&gt;=65,"B","C"))</x:f>
        <x:v>A</x:v>
      </x:c>
      <x:c r="E201" s="43" t="str">
        <x:v>Bradfield College</x:v>
      </x:c>
      <x:c r="F201" s="43" t="str">
        <x:v>Bradfield</x:v>
      </x:c>
      <x:c r="G201" s="43" t="str">
        <x:v>Berkshire</x:v>
      </x:c>
      <x:c r="H201" s="43" t="str">
        <x:v>RG7 6AU</x:v>
      </x:c>
      <x:c r="I201" s="43" t="n">
        <x:v>13</x:v>
      </x:c>
      <x:c r="J201" s="43" t="n">
        <x:v>18</x:v>
      </x:c>
      <x:c r="K201" s="43" t="str">
        <x:v>Boarding school</x:v>
      </x:c>
      <x:c r="L201" s="43" t="str">
        <x:v>Has a sixth form</x:v>
      </x:c>
      <x:c r="M201" s="43" t="n">
        <x:v>810</x:v>
      </x:c>
      <x:c r="N201" s="43" t="str">
        <x:v>http://www.bradfieldcollege.org.uk/</x:v>
      </x:c>
      <x:c r="O201" s="43" t="str">
        <x:v>01189644500</x:v>
      </x:c>
      <x:c r="P201" s="43" t="str"/>
      <x:c r="Q201" s="43" t="str"/>
      <x:c r="R201" s="43" t="str">
        <x:v>Queued for contact research</x:v>
      </x:c>
      <x:c r="S201" s="43" t="str">
        <x:v>Not reviewed</x:v>
      </x:c>
      <x:c r="T201" s="43" t="str">
        <x:v>Hold</x:v>
      </x:c>
      <x:c r="U201" s="43" t="str">
        <x:v>No</x:v>
      </x:c>
      <x:c r="V201" s="44"/>
      <x:c r="W201" s="43" t="str"/>
      <x:c r="X201" s="43" t="str"/>
      <x:c r="Y201" s="43" t="str"/>
      <x:c r="Z201" s="43" t="str">
        <x:v>https://www.get-information-schools.service.gov.uk/Downloads</x:v>
      </x:c>
    </x:row>
    <x:row r="202">
      <x:c r="A202" s="43" t="str">
        <x:v>UK independent</x:v>
      </x:c>
      <x:c r="B202" s="43" t="str">
        <x:v>123292</x:v>
      </x:c>
      <x:c r="C202" s="43" t="n">
        <x:f>IF(K202="Boarding school",30,0)+IF(J202&gt;=18,20,0)+IF(I202&lt;=11,10,0)+IF(L202="Has a sixth form",15,0)+IF(M202&gt;=200,10,0)+IF(N202&lt;&gt;"",10,0)</x:f>
        <x:v>85</x:v>
      </x:c>
      <x:c r="D202" s="43" t="str">
        <x:f>IF(C202&gt;=85,"A",IF(C202&gt;=65,"B","C"))</x:f>
        <x:v>A</x:v>
      </x:c>
      <x:c r="E202" s="43" t="str">
        <x:v>St Edward's School</x:v>
      </x:c>
      <x:c r="F202" s="43" t="str">
        <x:v>Oxford</x:v>
      </x:c>
      <x:c r="G202" s="43" t="str">
        <x:v>Oxfordshire</x:v>
      </x:c>
      <x:c r="H202" s="43" t="str">
        <x:v>OX2 7NN</x:v>
      </x:c>
      <x:c r="I202" s="43" t="n">
        <x:v>13</x:v>
      </x:c>
      <x:c r="J202" s="43" t="n">
        <x:v>18</x:v>
      </x:c>
      <x:c r="K202" s="43" t="str">
        <x:v>Boarding school</x:v>
      </x:c>
      <x:c r="L202" s="43" t="str">
        <x:v>Has a sixth form</x:v>
      </x:c>
      <x:c r="M202" s="43" t="n">
        <x:v>809</x:v>
      </x:c>
      <x:c r="N202" s="43" t="str">
        <x:v>https://www.stedwardsoxford.org</x:v>
      </x:c>
      <x:c r="O202" s="43" t="str">
        <x:v>01865319323</x:v>
      </x:c>
      <x:c r="P202" s="43" t="str"/>
      <x:c r="Q202" s="43" t="str"/>
      <x:c r="R202" s="43" t="str">
        <x:v>Queued for contact research</x:v>
      </x:c>
      <x:c r="S202" s="43" t="str">
        <x:v>Not reviewed</x:v>
      </x:c>
      <x:c r="T202" s="43" t="str">
        <x:v>Hold</x:v>
      </x:c>
      <x:c r="U202" s="43" t="str">
        <x:v>No</x:v>
      </x:c>
      <x:c r="V202" s="44"/>
      <x:c r="W202" s="43" t="str"/>
      <x:c r="X202" s="43" t="str"/>
      <x:c r="Y202" s="43" t="str"/>
      <x:c r="Z202" s="43" t="str">
        <x:v>https://www.get-information-schools.service.gov.uk/Downloads</x:v>
      </x:c>
    </x:row>
    <x:row r="203">
      <x:c r="A203" s="43" t="str">
        <x:v>UK independent</x:v>
      </x:c>
      <x:c r="B203" s="43" t="str">
        <x:v>118959</x:v>
      </x:c>
      <x:c r="C203" s="43" t="n">
        <x:f>IF(K203="Boarding school",30,0)+IF(J203&gt;=18,20,0)+IF(I203&lt;=11,10,0)+IF(L203="Has a sixth form",15,0)+IF(M203&gt;=200,10,0)+IF(N203&lt;&gt;"",10,0)</x:f>
        <x:v>85</x:v>
      </x:c>
      <x:c r="D203" s="43" t="str">
        <x:f>IF(C203&gt;=85,"A",IF(C203&gt;=65,"B","C"))</x:f>
        <x:v>A</x:v>
      </x:c>
      <x:c r="E203" s="43" t="str">
        <x:v>Tonbridge School</x:v>
      </x:c>
      <x:c r="F203" s="43" t="str">
        <x:v>Tonbridge</x:v>
      </x:c>
      <x:c r="G203" s="43" t="str">
        <x:v>Kent</x:v>
      </x:c>
      <x:c r="H203" s="43" t="str">
        <x:v>TN9 1JP</x:v>
      </x:c>
      <x:c r="I203" s="43" t="n">
        <x:v>13</x:v>
      </x:c>
      <x:c r="J203" s="43" t="n">
        <x:v>18</x:v>
      </x:c>
      <x:c r="K203" s="43" t="str">
        <x:v>Boarding school</x:v>
      </x:c>
      <x:c r="L203" s="43" t="str">
        <x:v>Has a sixth form</x:v>
      </x:c>
      <x:c r="M203" s="43" t="n">
        <x:v>797</x:v>
      </x:c>
      <x:c r="N203" s="43" t="str">
        <x:v>https://www.tonbridge-school.co.uk</x:v>
      </x:c>
      <x:c r="O203" s="43" t="str">
        <x:v>01732365555</x:v>
      </x:c>
      <x:c r="P203" s="43" t="str"/>
      <x:c r="Q203" s="43" t="str"/>
      <x:c r="R203" s="43" t="str">
        <x:v>Queued for contact research</x:v>
      </x:c>
      <x:c r="S203" s="43" t="str">
        <x:v>Not reviewed</x:v>
      </x:c>
      <x:c r="T203" s="43" t="str">
        <x:v>Hold</x:v>
      </x:c>
      <x:c r="U203" s="43" t="str">
        <x:v>No</x:v>
      </x:c>
      <x:c r="V203" s="44"/>
      <x:c r="W203" s="43" t="str"/>
      <x:c r="X203" s="43" t="str"/>
      <x:c r="Y203" s="43" t="str"/>
      <x:c r="Z203" s="43" t="str">
        <x:v>https://www.get-information-schools.service.gov.uk/Downloads</x:v>
      </x:c>
    </x:row>
    <x:row r="204">
      <x:c r="A204" s="43" t="str">
        <x:v>UK independent</x:v>
      </x:c>
      <x:c r="B204" s="43" t="str">
        <x:v>101162</x:v>
      </x:c>
      <x:c r="C204" s="43" t="n">
        <x:f>IF(K204="Boarding school",30,0)+IF(J204&gt;=18,20,0)+IF(I204&lt;=11,10,0)+IF(L204="Has a sixth form",15,0)+IF(M204&gt;=200,10,0)+IF(N204&lt;&gt;"",10,0)</x:f>
        <x:v>85</x:v>
      </x:c>
      <x:c r="D204" s="43" t="str">
        <x:f>IF(C204&gt;=85,"A",IF(C204&gt;=65,"B","C"))</x:f>
        <x:v>A</x:v>
      </x:c>
      <x:c r="E204" s="43" t="str">
        <x:v>Westminster School</x:v>
      </x:c>
      <x:c r="F204" s="43" t="str">
        <x:v>London</x:v>
      </x:c>
      <x:c r="G204" s="43" t="str"/>
      <x:c r="H204" s="43" t="str">
        <x:v>SW1P 3PF</x:v>
      </x:c>
      <x:c r="I204" s="43" t="n">
        <x:v>12</x:v>
      </x:c>
      <x:c r="J204" s="43" t="n">
        <x:v>19</x:v>
      </x:c>
      <x:c r="K204" s="43" t="str">
        <x:v>Boarding school</x:v>
      </x:c>
      <x:c r="L204" s="43" t="str">
        <x:v>Has a sixth form</x:v>
      </x:c>
      <x:c r="M204" s="43" t="n">
        <x:v>780</x:v>
      </x:c>
      <x:c r="N204" s="43" t="str">
        <x:v>https://www.westminster.org.uk/</x:v>
      </x:c>
      <x:c r="O204" s="43" t="str">
        <x:v>02079631000</x:v>
      </x:c>
      <x:c r="P204" s="43" t="str"/>
      <x:c r="Q204" s="43" t="str"/>
      <x:c r="R204" s="43" t="str">
        <x:v>Queued for contact research</x:v>
      </x:c>
      <x:c r="S204" s="43" t="str">
        <x:v>Not reviewed</x:v>
      </x:c>
      <x:c r="T204" s="43" t="str">
        <x:v>Hold</x:v>
      </x:c>
      <x:c r="U204" s="43" t="str">
        <x:v>No</x:v>
      </x:c>
      <x:c r="V204" s="44"/>
      <x:c r="W204" s="43" t="str"/>
      <x:c r="X204" s="43" t="str"/>
      <x:c r="Y204" s="43" t="str"/>
      <x:c r="Z204" s="43" t="str">
        <x:v>https://www.get-information-schools.service.gov.uk/Downloads</x:v>
      </x:c>
    </x:row>
    <x:row r="205">
      <x:c r="A205" s="43" t="str">
        <x:v>UK independent</x:v>
      </x:c>
      <x:c r="B205" s="43" t="str">
        <x:v>123300</x:v>
      </x:c>
      <x:c r="C205" s="43" t="n">
        <x:f>IF(K205="Boarding school",30,0)+IF(J205&gt;=18,20,0)+IF(I205&lt;=11,10,0)+IF(L205="Has a sixth form",15,0)+IF(M205&gt;=200,10,0)+IF(N205&lt;&gt;"",10,0)</x:f>
        <x:v>85</x:v>
      </x:c>
      <x:c r="D205" s="43" t="str">
        <x:f>IF(C205&gt;=85,"A",IF(C205&gt;=65,"B","C"))</x:f>
        <x:v>A</x:v>
      </x:c>
      <x:c r="E205" s="43" t="str">
        <x:v>Radley College</x:v>
      </x:c>
      <x:c r="F205" s="43" t="str"/>
      <x:c r="G205" s="43" t="str">
        <x:v>Oxfordshire</x:v>
      </x:c>
      <x:c r="H205" s="43" t="str">
        <x:v>OX14 2HR</x:v>
      </x:c>
      <x:c r="I205" s="43" t="n">
        <x:v>13</x:v>
      </x:c>
      <x:c r="J205" s="43" t="n">
        <x:v>18</x:v>
      </x:c>
      <x:c r="K205" s="43" t="str">
        <x:v>Boarding school</x:v>
      </x:c>
      <x:c r="L205" s="43" t="str">
        <x:v>Has a sixth form</x:v>
      </x:c>
      <x:c r="M205" s="43" t="n">
        <x:v>769</x:v>
      </x:c>
      <x:c r="N205" s="43" t="str">
        <x:v>https://www.radley.org.uk</x:v>
      </x:c>
      <x:c r="O205" s="43" t="str">
        <x:v>01235543000</x:v>
      </x:c>
      <x:c r="P205" s="43" t="str"/>
      <x:c r="Q205" s="43" t="str"/>
      <x:c r="R205" s="43" t="str">
        <x:v>Queued for contact research</x:v>
      </x:c>
      <x:c r="S205" s="43" t="str">
        <x:v>Not reviewed</x:v>
      </x:c>
      <x:c r="T205" s="43" t="str">
        <x:v>Hold</x:v>
      </x:c>
      <x:c r="U205" s="43" t="str">
        <x:v>No</x:v>
      </x:c>
      <x:c r="V205" s="44"/>
      <x:c r="W205" s="43" t="str"/>
      <x:c r="X205" s="43" t="str"/>
      <x:c r="Y205" s="43" t="str"/>
      <x:c r="Z205" s="43" t="str">
        <x:v>https://www.get-information-schools.service.gov.uk/Downloads</x:v>
      </x:c>
    </x:row>
    <x:row r="206">
      <x:c r="A206" s="43" t="str">
        <x:v>UK independent</x:v>
      </x:c>
      <x:c r="B206" s="43" t="str">
        <x:v>114657</x:v>
      </x:c>
      <x:c r="C206" s="43" t="n">
        <x:f>IF(K206="Boarding school",30,0)+IF(J206&gt;=18,20,0)+IF(I206&lt;=11,10,0)+IF(L206="Has a sixth form",15,0)+IF(M206&gt;=200,10,0)+IF(N206&lt;&gt;"",10,0)</x:f>
        <x:v>85</x:v>
      </x:c>
      <x:c r="D206" s="43" t="str">
        <x:f>IF(C206&gt;=85,"A",IF(C206&gt;=65,"B","C"))</x:f>
        <x:v>A</x:v>
      </x:c>
      <x:c r="E206" s="43" t="str">
        <x:v>Bede's Senior School</x:v>
      </x:c>
      <x:c r="F206" s="43" t="str">
        <x:v>Hailsham</x:v>
      </x:c>
      <x:c r="G206" s="43" t="str">
        <x:v>East Sussex</x:v>
      </x:c>
      <x:c r="H206" s="43" t="str">
        <x:v>BN27 3QH</x:v>
      </x:c>
      <x:c r="I206" s="43" t="n">
        <x:v>13</x:v>
      </x:c>
      <x:c r="J206" s="43" t="n">
        <x:v>19</x:v>
      </x:c>
      <x:c r="K206" s="43" t="str">
        <x:v>Boarding school</x:v>
      </x:c>
      <x:c r="L206" s="43" t="str">
        <x:v>Has a sixth form</x:v>
      </x:c>
      <x:c r="M206" s="43" t="n">
        <x:v>763</x:v>
      </x:c>
      <x:c r="N206" s="43" t="str">
        <x:v>https://www.bedes.org</x:v>
      </x:c>
      <x:c r="O206" s="43" t="str">
        <x:v>01323843252</x:v>
      </x:c>
      <x:c r="P206" s="43" t="str"/>
      <x:c r="Q206" s="43" t="str"/>
      <x:c r="R206" s="43" t="str">
        <x:v>Queued for contact research</x:v>
      </x:c>
      <x:c r="S206" s="43" t="str">
        <x:v>Not reviewed</x:v>
      </x:c>
      <x:c r="T206" s="43" t="str">
        <x:v>Hold</x:v>
      </x:c>
      <x:c r="U206" s="43" t="str">
        <x:v>No</x:v>
      </x:c>
      <x:c r="V206" s="44"/>
      <x:c r="W206" s="43" t="str"/>
      <x:c r="X206" s="43" t="str"/>
      <x:c r="Y206" s="43" t="str"/>
      <x:c r="Z206" s="43" t="str">
        <x:v>https://www.get-information-schools.service.gov.uk/Downloads</x:v>
      </x:c>
    </x:row>
    <x:row r="207">
      <x:c r="A207" s="43" t="str">
        <x:v>UK independent</x:v>
      </x:c>
      <x:c r="B207" s="43" t="str">
        <x:v>116532</x:v>
      </x:c>
      <x:c r="C207" s="43" t="n">
        <x:f>IF(K207="Boarding school",30,0)+IF(J207&gt;=18,20,0)+IF(I207&lt;=11,10,0)+IF(L207="Has a sixth form",15,0)+IF(M207&gt;=200,10,0)+IF(N207&lt;&gt;"",10,0)</x:f>
        <x:v>85</x:v>
      </x:c>
      <x:c r="D207" s="43" t="str">
        <x:f>IF(C207&gt;=85,"A",IF(C207&gt;=65,"B","C"))</x:f>
        <x:v>A</x:v>
      </x:c>
      <x:c r="E207" s="43" t="str">
        <x:v>Winchester College</x:v>
      </x:c>
      <x:c r="F207" s="43" t="str">
        <x:v>Winchester</x:v>
      </x:c>
      <x:c r="G207" s="43" t="str">
        <x:v>Hampshire</x:v>
      </x:c>
      <x:c r="H207" s="43" t="str">
        <x:v>SO23 9NA</x:v>
      </x:c>
      <x:c r="I207" s="43" t="n">
        <x:v>13</x:v>
      </x:c>
      <x:c r="J207" s="43" t="n">
        <x:v>19</x:v>
      </x:c>
      <x:c r="K207" s="43" t="str">
        <x:v>Boarding school</x:v>
      </x:c>
      <x:c r="L207" s="43" t="str">
        <x:v>Has a sixth form</x:v>
      </x:c>
      <x:c r="M207" s="43" t="n">
        <x:v>738</x:v>
      </x:c>
      <x:c r="N207" s="43" t="str">
        <x:v>https://www.winchestercollege.org</x:v>
      </x:c>
      <x:c r="O207" s="43" t="str">
        <x:v>01962621100</x:v>
      </x:c>
      <x:c r="P207" s="43" t="str"/>
      <x:c r="Q207" s="43" t="str"/>
      <x:c r="R207" s="43" t="str">
        <x:v>Queued for contact research</x:v>
      </x:c>
      <x:c r="S207" s="43" t="str">
        <x:v>Not reviewed</x:v>
      </x:c>
      <x:c r="T207" s="43" t="str">
        <x:v>Hold</x:v>
      </x:c>
      <x:c r="U207" s="43" t="str">
        <x:v>No</x:v>
      </x:c>
      <x:c r="V207" s="44"/>
      <x:c r="W207" s="43" t="str"/>
      <x:c r="X207" s="43" t="str"/>
      <x:c r="Y207" s="43" t="str"/>
      <x:c r="Z207" s="43" t="str">
        <x:v>https://www.get-information-schools.service.gov.uk/Downloads</x:v>
      </x:c>
    </x:row>
    <x:row r="208">
      <x:c r="A208" s="43" t="str">
        <x:v>UK independent</x:v>
      </x:c>
      <x:c r="B208" s="43" t="str">
        <x:v>131124</x:v>
      </x:c>
      <x:c r="C208" s="43" t="n">
        <x:f>IF(K208="Boarding school",30,0)+IF(J208&gt;=18,20,0)+IF(I208&lt;=11,10,0)+IF(L208="Has a sixth form",15,0)+IF(M208&gt;=200,10,0)+IF(N208&lt;&gt;"",10,0)</x:f>
        <x:v>85</x:v>
      </x:c>
      <x:c r="D208" s="43" t="str">
        <x:f>IF(C208&gt;=85,"A",IF(C208&gt;=65,"B","C"))</x:f>
        <x:v>A</x:v>
      </x:c>
      <x:c r="E208" s="43" t="str">
        <x:v>Queen Ethelburga's College</x:v>
      </x:c>
      <x:c r="F208" s="43" t="str">
        <x:v>York</x:v>
      </x:c>
      <x:c r="G208" s="43" t="str">
        <x:v>North Yorkshire</x:v>
      </x:c>
      <x:c r="H208" s="43" t="str">
        <x:v>YO26 9SS</x:v>
      </x:c>
      <x:c r="I208" s="43" t="n">
        <x:v>14</x:v>
      </x:c>
      <x:c r="J208" s="43" t="n">
        <x:v>19</x:v>
      </x:c>
      <x:c r="K208" s="43" t="str">
        <x:v>Boarding school</x:v>
      </x:c>
      <x:c r="L208" s="43" t="str">
        <x:v>Has a sixth form</x:v>
      </x:c>
      <x:c r="M208" s="43" t="n">
        <x:v>736</x:v>
      </x:c>
      <x:c r="N208" s="43" t="str">
        <x:v>https://www.qe.org</x:v>
      </x:c>
      <x:c r="O208" s="43" t="str">
        <x:v>01423333333</x:v>
      </x:c>
      <x:c r="P208" s="43" t="str"/>
      <x:c r="Q208" s="43" t="str"/>
      <x:c r="R208" s="43" t="str">
        <x:v>Queued for contact research</x:v>
      </x:c>
      <x:c r="S208" s="43" t="str">
        <x:v>Not reviewed</x:v>
      </x:c>
      <x:c r="T208" s="43" t="str">
        <x:v>Hold</x:v>
      </x:c>
      <x:c r="U208" s="43" t="str">
        <x:v>No</x:v>
      </x:c>
      <x:c r="V208" s="44"/>
      <x:c r="W208" s="43" t="str"/>
      <x:c r="X208" s="43" t="str"/>
      <x:c r="Y208" s="43" t="str"/>
      <x:c r="Z208" s="43" t="str">
        <x:v>https://www.get-information-schools.service.gov.uk/Downloads</x:v>
      </x:c>
    </x:row>
    <x:row r="209">
      <x:c r="A209" s="43" t="str">
        <x:v>UK independent</x:v>
      </x:c>
      <x:c r="B209" s="43" t="str">
        <x:v>113922</x:v>
      </x:c>
      <x:c r="C209" s="43" t="n">
        <x:f>IF(K209="Boarding school",30,0)+IF(J209&gt;=18,20,0)+IF(I209&lt;=11,10,0)+IF(L209="Has a sixth form",15,0)+IF(M209&gt;=200,10,0)+IF(N209&lt;&gt;"",10,0)</x:f>
        <x:v>85</x:v>
      </x:c>
      <x:c r="D209" s="43" t="str">
        <x:f>IF(C209&gt;=85,"A",IF(C209&gt;=65,"B","C"))</x:f>
        <x:v>A</x:v>
      </x:c>
      <x:c r="E209" s="43" t="str">
        <x:v>Canford School</x:v>
      </x:c>
      <x:c r="F209" s="43" t="str">
        <x:v>Wimborne</x:v>
      </x:c>
      <x:c r="G209" s="43" t="str">
        <x:v>Dorset</x:v>
      </x:c>
      <x:c r="H209" s="43" t="str">
        <x:v>BH21 3AD</x:v>
      </x:c>
      <x:c r="I209" s="43" t="n">
        <x:v>13</x:v>
      </x:c>
      <x:c r="J209" s="43" t="n">
        <x:v>18</x:v>
      </x:c>
      <x:c r="K209" s="43" t="str">
        <x:v>Boarding school</x:v>
      </x:c>
      <x:c r="L209" s="43" t="str">
        <x:v>Has a sixth form</x:v>
      </x:c>
      <x:c r="M209" s="43" t="n">
        <x:v>650</x:v>
      </x:c>
      <x:c r="N209" s="43" t="str">
        <x:v>https://www.canford.com</x:v>
      </x:c>
      <x:c r="O209" s="43" t="str">
        <x:v>01202841254</x:v>
      </x:c>
      <x:c r="P209" s="43" t="str"/>
      <x:c r="Q209" s="43" t="str"/>
      <x:c r="R209" s="43" t="str">
        <x:v>Queued for contact research</x:v>
      </x:c>
      <x:c r="S209" s="43" t="str">
        <x:v>Not reviewed</x:v>
      </x:c>
      <x:c r="T209" s="43" t="str">
        <x:v>Hold</x:v>
      </x:c>
      <x:c r="U209" s="43" t="str">
        <x:v>No</x:v>
      </x:c>
      <x:c r="V209" s="44"/>
      <x:c r="W209" s="43" t="str"/>
      <x:c r="X209" s="43" t="str"/>
      <x:c r="Y209" s="43" t="str"/>
      <x:c r="Z209" s="43" t="str">
        <x:v>https://www.get-information-schools.service.gov.uk/Downloads</x:v>
      </x:c>
    </x:row>
    <x:row r="210">
      <x:c r="A210" s="43" t="str">
        <x:v>UK independent</x:v>
      </x:c>
      <x:c r="B210" s="43" t="str">
        <x:v>117017</x:v>
      </x:c>
      <x:c r="C210" s="43" t="n">
        <x:f>IF(K210="Boarding school",30,0)+IF(J210&gt;=18,20,0)+IF(I210&lt;=11,10,0)+IF(L210="Has a sixth form",15,0)+IF(M210&gt;=200,10,0)+IF(N210&lt;&gt;"",10,0)</x:f>
        <x:v>85</x:v>
      </x:c>
      <x:c r="D210" s="43" t="str">
        <x:f>IF(C210&gt;=85,"A",IF(C210&gt;=65,"B","C"))</x:f>
        <x:v>A</x:v>
      </x:c>
      <x:c r="E210" s="43" t="str">
        <x:v>Malvern College</x:v>
      </x:c>
      <x:c r="F210" s="43" t="str">
        <x:v>Malvern</x:v>
      </x:c>
      <x:c r="G210" s="43" t="str">
        <x:v>Worcestershire</x:v>
      </x:c>
      <x:c r="H210" s="43" t="str">
        <x:v>WR14 3DF</x:v>
      </x:c>
      <x:c r="I210" s="43" t="n">
        <x:v>13</x:v>
      </x:c>
      <x:c r="J210" s="43" t="n">
        <x:v>19</x:v>
      </x:c>
      <x:c r="K210" s="43" t="str">
        <x:v>Boarding school</x:v>
      </x:c>
      <x:c r="L210" s="43" t="str">
        <x:v>Has a sixth form</x:v>
      </x:c>
      <x:c r="M210" s="43" t="n">
        <x:v>625</x:v>
      </x:c>
      <x:c r="N210" s="43" t="str">
        <x:v>https://www.malverncollege.org.uk/</x:v>
      </x:c>
      <x:c r="O210" s="43" t="str">
        <x:v>01684581500</x:v>
      </x:c>
      <x:c r="P210" s="43" t="str"/>
      <x:c r="Q210" s="43" t="str"/>
      <x:c r="R210" s="43" t="str">
        <x:v>Queued for contact research</x:v>
      </x:c>
      <x:c r="S210" s="43" t="str">
        <x:v>Not reviewed</x:v>
      </x:c>
      <x:c r="T210" s="43" t="str">
        <x:v>Hold</x:v>
      </x:c>
      <x:c r="U210" s="43" t="str">
        <x:v>No</x:v>
      </x:c>
      <x:c r="V210" s="44"/>
      <x:c r="W210" s="43" t="str"/>
      <x:c r="X210" s="43" t="str"/>
      <x:c r="Y210" s="43" t="str"/>
      <x:c r="Z210" s="43" t="str">
        <x:v>https://www.get-information-schools.service.gov.uk/Downloads</x:v>
      </x:c>
    </x:row>
    <x:row r="211">
      <x:c r="A211" s="43" t="str">
        <x:v>UK independent</x:v>
      </x:c>
      <x:c r="B211" s="43" t="str">
        <x:v>113009</x:v>
      </x:c>
      <x:c r="C211" s="43" t="n">
        <x:f>IF(K211="Boarding school",30,0)+IF(J211&gt;=18,20,0)+IF(I211&lt;=11,10,0)+IF(L211="Has a sixth form",15,0)+IF(M211&gt;=200,10,0)+IF(N211&lt;&gt;"",10,0)</x:f>
        <x:v>85</x:v>
      </x:c>
      <x:c r="D211" s="43" t="str">
        <x:f>IF(C211&gt;=85,"A",IF(C211&gt;=65,"B","C"))</x:f>
        <x:v>A</x:v>
      </x:c>
      <x:c r="E211" s="43" t="str">
        <x:v>Repton School</x:v>
      </x:c>
      <x:c r="F211" s="43" t="str">
        <x:v>Derby</x:v>
      </x:c>
      <x:c r="G211" s="43" t="str">
        <x:v>Derbyshire</x:v>
      </x:c>
      <x:c r="H211" s="43" t="str">
        <x:v>DE65 6FH</x:v>
      </x:c>
      <x:c r="I211" s="43" t="n">
        <x:v>12</x:v>
      </x:c>
      <x:c r="J211" s="43" t="n">
        <x:v>19</x:v>
      </x:c>
      <x:c r="K211" s="43" t="str">
        <x:v>Boarding school</x:v>
      </x:c>
      <x:c r="L211" s="43" t="str">
        <x:v>Has a sixth form</x:v>
      </x:c>
      <x:c r="M211" s="43" t="n">
        <x:v>624</x:v>
      </x:c>
      <x:c r="N211" s="43" t="str">
        <x:v>https://www.repton.org.uk</x:v>
      </x:c>
      <x:c r="O211" s="43" t="str">
        <x:v>01283559200</x:v>
      </x:c>
      <x:c r="P211" s="43" t="str"/>
      <x:c r="Q211" s="43" t="str"/>
      <x:c r="R211" s="43" t="str">
        <x:v>Queued for contact research</x:v>
      </x:c>
      <x:c r="S211" s="43" t="str">
        <x:v>Not reviewed</x:v>
      </x:c>
      <x:c r="T211" s="43" t="str">
        <x:v>Hold</x:v>
      </x:c>
      <x:c r="U211" s="43" t="str">
        <x:v>No</x:v>
      </x:c>
      <x:c r="V211" s="44"/>
      <x:c r="W211" s="43" t="str"/>
      <x:c r="X211" s="43" t="str"/>
      <x:c r="Y211" s="43" t="str"/>
      <x:c r="Z211" s="43" t="str">
        <x:v>https://www.get-information-schools.service.gov.uk/Downloads</x:v>
      </x:c>
    </x:row>
    <x:row r="212">
      <x:c r="A212" s="43" t="str">
        <x:v>UK independent</x:v>
      </x:c>
      <x:c r="B212" s="43" t="str">
        <x:v>126108</x:v>
      </x:c>
      <x:c r="C212" s="43" t="n">
        <x:f>IF(K212="Boarding school",30,0)+IF(J212&gt;=18,20,0)+IF(I212&lt;=11,10,0)+IF(L212="Has a sixth form",15,0)+IF(M212&gt;=200,10,0)+IF(N212&lt;&gt;"",10,0)</x:f>
        <x:v>85</x:v>
      </x:c>
      <x:c r="D212" s="43" t="str">
        <x:f>IF(C212&gt;=85,"A",IF(C212&gt;=65,"B","C"))</x:f>
        <x:v>A</x:v>
      </x:c>
      <x:c r="E212" s="43" t="str">
        <x:v>Lancing College</x:v>
      </x:c>
      <x:c r="F212" s="43" t="str">
        <x:v>Lancing</x:v>
      </x:c>
      <x:c r="G212" s="43" t="str">
        <x:v>West Sussex</x:v>
      </x:c>
      <x:c r="H212" s="43" t="str">
        <x:v>BN15 0RW</x:v>
      </x:c>
      <x:c r="I212" s="43" t="n">
        <x:v>13</x:v>
      </x:c>
      <x:c r="J212" s="43" t="n">
        <x:v>18</x:v>
      </x:c>
      <x:c r="K212" s="43" t="str">
        <x:v>Boarding school</x:v>
      </x:c>
      <x:c r="L212" s="43" t="str">
        <x:v>Has a sixth form</x:v>
      </x:c>
      <x:c r="M212" s="43" t="n">
        <x:v>609</x:v>
      </x:c>
      <x:c r="N212" s="43" t="str">
        <x:v>https://www.lancingcollege.co.uk</x:v>
      </x:c>
      <x:c r="O212" s="43" t="str">
        <x:v>01273452213</x:v>
      </x:c>
      <x:c r="P212" s="43" t="str"/>
      <x:c r="Q212" s="43" t="str"/>
      <x:c r="R212" s="43" t="str">
        <x:v>Queued for contact research</x:v>
      </x:c>
      <x:c r="S212" s="43" t="str">
        <x:v>Not reviewed</x:v>
      </x:c>
      <x:c r="T212" s="43" t="str">
        <x:v>Hold</x:v>
      </x:c>
      <x:c r="U212" s="43" t="str">
        <x:v>No</x:v>
      </x:c>
      <x:c r="V212" s="44"/>
      <x:c r="W212" s="43" t="str"/>
      <x:c r="X212" s="43" t="str"/>
      <x:c r="Y212" s="43" t="str"/>
      <x:c r="Z212" s="43" t="str">
        <x:v>https://www.get-information-schools.service.gov.uk/Downloads</x:v>
      </x:c>
    </x:row>
    <x:row r="213">
      <x:c r="A213" s="43" t="str">
        <x:v>UK independent</x:v>
      </x:c>
      <x:c r="B213" s="43" t="str">
        <x:v>114650</x:v>
      </x:c>
      <x:c r="C213" s="43" t="n">
        <x:f>IF(K213="Boarding school",30,0)+IF(J213&gt;=18,20,0)+IF(I213&lt;=11,10,0)+IF(L213="Has a sixth form",15,0)+IF(M213&gt;=200,10,0)+IF(N213&lt;&gt;"",10,0)</x:f>
        <x:v>85</x:v>
      </x:c>
      <x:c r="D213" s="43" t="str">
        <x:f>IF(C213&gt;=85,"A",IF(C213&gt;=65,"B","C"))</x:f>
        <x:v>A</x:v>
      </x:c>
      <x:c r="E213" s="43" t="str">
        <x:v>Eastbourne College</x:v>
      </x:c>
      <x:c r="F213" s="43" t="str">
        <x:v>Eastbourne</x:v>
      </x:c>
      <x:c r="G213" s="43" t="str">
        <x:v>East Sussex</x:v>
      </x:c>
      <x:c r="H213" s="43" t="str">
        <x:v>BN21 4JX</x:v>
      </x:c>
      <x:c r="I213" s="43" t="n">
        <x:v>12</x:v>
      </x:c>
      <x:c r="J213" s="43" t="n">
        <x:v>19</x:v>
      </x:c>
      <x:c r="K213" s="43" t="str">
        <x:v>Boarding school</x:v>
      </x:c>
      <x:c r="L213" s="43" t="str">
        <x:v>Has a sixth form</x:v>
      </x:c>
      <x:c r="M213" s="43" t="n">
        <x:v>560</x:v>
      </x:c>
      <x:c r="N213" s="43" t="str">
        <x:v>https://www.eastbourne-college.co.uk/</x:v>
      </x:c>
      <x:c r="O213" s="43" t="str">
        <x:v>01323452300</x:v>
      </x:c>
      <x:c r="P213" s="43" t="str"/>
      <x:c r="Q213" s="43" t="str"/>
      <x:c r="R213" s="43" t="str">
        <x:v>Queued for contact research</x:v>
      </x:c>
      <x:c r="S213" s="43" t="str">
        <x:v>Not reviewed</x:v>
      </x:c>
      <x:c r="T213" s="43" t="str">
        <x:v>Hold</x:v>
      </x:c>
      <x:c r="U213" s="43" t="str">
        <x:v>No</x:v>
      </x:c>
      <x:c r="V213" s="44"/>
      <x:c r="W213" s="43" t="str"/>
      <x:c r="X213" s="43" t="str"/>
      <x:c r="Y213" s="43" t="str"/>
      <x:c r="Z213" s="43" t="str">
        <x:v>https://www.get-information-schools.service.gov.uk/Downloads</x:v>
      </x:c>
    </x:row>
    <x:row r="214">
      <x:c r="A214" s="43" t="str">
        <x:v>UK independent</x:v>
      </x:c>
      <x:c r="B214" s="43" t="str">
        <x:v>112451</x:v>
      </x:c>
      <x:c r="C214" s="43" t="n">
        <x:f>IF(K214="Boarding school",30,0)+IF(J214&gt;=18,20,0)+IF(I214&lt;=11,10,0)+IF(L214="Has a sixth form",15,0)+IF(M214&gt;=200,10,0)+IF(N214&lt;&gt;"",10,0)</x:f>
        <x:v>85</x:v>
      </x:c>
      <x:c r="D214" s="43" t="str">
        <x:f>IF(C214&gt;=85,"A",IF(C214&gt;=65,"B","C"))</x:f>
        <x:v>A</x:v>
      </x:c>
      <x:c r="E214" s="43" t="str">
        <x:v>Sedbergh School</x:v>
      </x:c>
      <x:c r="F214" s="43" t="str">
        <x:v>Sedbergh (La10 5hg)</x:v>
      </x:c>
      <x:c r="G214" s="43" t="str">
        <x:v>Cumbria</x:v>
      </x:c>
      <x:c r="H214" s="43" t="str">
        <x:v>LA10 5RY</x:v>
      </x:c>
      <x:c r="I214" s="43" t="n">
        <x:v>13</x:v>
      </x:c>
      <x:c r="J214" s="43" t="n">
        <x:v>19</x:v>
      </x:c>
      <x:c r="K214" s="43" t="str">
        <x:v>Boarding school</x:v>
      </x:c>
      <x:c r="L214" s="43" t="str">
        <x:v>Has a sixth form</x:v>
      </x:c>
      <x:c r="M214" s="43" t="n">
        <x:v>545</x:v>
      </x:c>
      <x:c r="N214" s="43" t="str">
        <x:v>http://www.sedberghschool.org</x:v>
      </x:c>
      <x:c r="O214" s="43" t="str">
        <x:v>01539620535</x:v>
      </x:c>
      <x:c r="P214" s="43" t="str"/>
      <x:c r="Q214" s="43" t="str"/>
      <x:c r="R214" s="43" t="str">
        <x:v>Queued for contact research</x:v>
      </x:c>
      <x:c r="S214" s="43" t="str">
        <x:v>Not reviewed</x:v>
      </x:c>
      <x:c r="T214" s="43" t="str">
        <x:v>Hold</x:v>
      </x:c>
      <x:c r="U214" s="43" t="str">
        <x:v>No</x:v>
      </x:c>
      <x:c r="V214" s="44"/>
      <x:c r="W214" s="43" t="str"/>
      <x:c r="X214" s="43" t="str"/>
      <x:c r="Y214" s="43" t="str"/>
      <x:c r="Z214" s="43" t="str">
        <x:v>https://www.get-information-schools.service.gov.uk/Downloads</x:v>
      </x:c>
    </x:row>
    <x:row r="215">
      <x:c r="A215" s="43" t="str">
        <x:v>UK independent</x:v>
      </x:c>
      <x:c r="B215" s="43" t="str">
        <x:v>113918</x:v>
      </x:c>
      <x:c r="C215" s="43" t="n">
        <x:f>IF(K215="Boarding school",30,0)+IF(J215&gt;=18,20,0)+IF(I215&lt;=11,10,0)+IF(L215="Has a sixth form",15,0)+IF(M215&gt;=200,10,0)+IF(N215&lt;&gt;"",10,0)</x:f>
        <x:v>85</x:v>
      </x:c>
      <x:c r="D215" s="43" t="str">
        <x:f>IF(C215&gt;=85,"A",IF(C215&gt;=65,"B","C"))</x:f>
        <x:v>A</x:v>
      </x:c>
      <x:c r="E215" s="43" t="str">
        <x:v>Sherborne School</x:v>
      </x:c>
      <x:c r="F215" s="43" t="str">
        <x:v>Sherborne</x:v>
      </x:c>
      <x:c r="G215" s="43" t="str">
        <x:v>Dorset</x:v>
      </x:c>
      <x:c r="H215" s="43" t="str">
        <x:v>DT9 3AP</x:v>
      </x:c>
      <x:c r="I215" s="43" t="n">
        <x:v>13</x:v>
      </x:c>
      <x:c r="J215" s="43" t="n">
        <x:v>19</x:v>
      </x:c>
      <x:c r="K215" s="43" t="str">
        <x:v>Boarding school</x:v>
      </x:c>
      <x:c r="L215" s="43" t="str">
        <x:v>Has a sixth form</x:v>
      </x:c>
      <x:c r="M215" s="43" t="n">
        <x:v>538</x:v>
      </x:c>
      <x:c r="N215" s="43" t="str">
        <x:v>https://www.sherborne.org</x:v>
      </x:c>
      <x:c r="O215" s="43" t="str">
        <x:v>01935812249</x:v>
      </x:c>
      <x:c r="P215" s="43" t="str"/>
      <x:c r="Q215" s="43" t="str"/>
      <x:c r="R215" s="43" t="str">
        <x:v>Queued for contact research</x:v>
      </x:c>
      <x:c r="S215" s="43" t="str">
        <x:v>Not reviewed</x:v>
      </x:c>
      <x:c r="T215" s="43" t="str">
        <x:v>Hold</x:v>
      </x:c>
      <x:c r="U215" s="43" t="str">
        <x:v>No</x:v>
      </x:c>
      <x:c r="V215" s="44"/>
      <x:c r="W215" s="43" t="str"/>
      <x:c r="X215" s="43" t="str"/>
      <x:c r="Y215" s="43" t="str"/>
      <x:c r="Z215" s="43" t="str">
        <x:v>https://www.get-information-schools.service.gov.uk/Downloads</x:v>
      </x:c>
    </x:row>
    <x:row r="216">
      <x:c r="A216" s="43" t="str">
        <x:v>UK independent</x:v>
      </x:c>
      <x:c r="B216" s="43" t="str">
        <x:v>123623</x:v>
      </x:c>
      <x:c r="C216" s="43" t="n">
        <x:f>IF(K216="Boarding school",30,0)+IF(J216&gt;=18,20,0)+IF(I216&lt;=11,10,0)+IF(L216="Has a sixth form",15,0)+IF(M216&gt;=200,10,0)+IF(N216&lt;&gt;"",10,0)</x:f>
        <x:v>85</x:v>
      </x:c>
      <x:c r="D216" s="43" t="str">
        <x:f>IF(C216&gt;=85,"A",IF(C216&gt;=65,"B","C"))</x:f>
        <x:v>A</x:v>
      </x:c>
      <x:c r="E216" s="43" t="str">
        <x:v>Concord College</x:v>
      </x:c>
      <x:c r="F216" s="43" t="str">
        <x:v>Shrewsbury</x:v>
      </x:c>
      <x:c r="G216" s="43" t="str">
        <x:v>Shropshire</x:v>
      </x:c>
      <x:c r="H216" s="43" t="str">
        <x:v>SY5 7PF</x:v>
      </x:c>
      <x:c r="I216" s="43" t="n">
        <x:v>12</x:v>
      </x:c>
      <x:c r="J216" s="43" t="n">
        <x:v>20</x:v>
      </x:c>
      <x:c r="K216" s="43" t="str">
        <x:v>Boarding school</x:v>
      </x:c>
      <x:c r="L216" s="43" t="str">
        <x:v>Has a sixth form</x:v>
      </x:c>
      <x:c r="M216" s="43" t="n">
        <x:v>536</x:v>
      </x:c>
      <x:c r="N216" s="43" t="str">
        <x:v>http://www.concordcollegeuk.com/</x:v>
      </x:c>
      <x:c r="O216" s="43" t="str">
        <x:v>01694731631</x:v>
      </x:c>
      <x:c r="P216" s="43" t="str"/>
      <x:c r="Q216" s="43" t="str"/>
      <x:c r="R216" s="43" t="str">
        <x:v>Queued for contact research</x:v>
      </x:c>
      <x:c r="S216" s="43" t="str">
        <x:v>Not reviewed</x:v>
      </x:c>
      <x:c r="T216" s="43" t="str">
        <x:v>Hold</x:v>
      </x:c>
      <x:c r="U216" s="43" t="str">
        <x:v>No</x:v>
      </x:c>
      <x:c r="V216" s="44"/>
      <x:c r="W216" s="43" t="str"/>
      <x:c r="X216" s="43" t="str"/>
      <x:c r="Y216" s="43" t="str"/>
      <x:c r="Z216" s="43" t="str">
        <x:v>https://www.get-information-schools.service.gov.uk/Downloads</x:v>
      </x:c>
    </x:row>
    <x:row r="217">
      <x:c r="A217" s="43" t="str">
        <x:v>UK independent</x:v>
      </x:c>
      <x:c r="B217" s="43" t="str">
        <x:v>110123</x:v>
      </x:c>
      <x:c r="C217" s="43" t="n">
        <x:f>IF(K217="Boarding school",30,0)+IF(J217&gt;=18,20,0)+IF(I217&lt;=11,10,0)+IF(L217="Has a sixth form",15,0)+IF(M217&gt;=200,10,0)+IF(N217&lt;&gt;"",10,0)</x:f>
        <x:v>85</x:v>
      </x:c>
      <x:c r="D217" s="43" t="str">
        <x:f>IF(C217&gt;=85,"A",IF(C217&gt;=65,"B","C"))</x:f>
        <x:v>A</x:v>
      </x:c>
      <x:c r="E217" s="43" t="str">
        <x:v>Downe House</x:v>
      </x:c>
      <x:c r="F217" s="43" t="str">
        <x:v>Thatcham</x:v>
      </x:c>
      <x:c r="G217" s="43" t="str">
        <x:v>Berkshire</x:v>
      </x:c>
      <x:c r="H217" s="43" t="str">
        <x:v>RG18 9JJ</x:v>
      </x:c>
      <x:c r="I217" s="43" t="n">
        <x:v>11</x:v>
      </x:c>
      <x:c r="J217" s="43" t="n">
        <x:v>18</x:v>
      </x:c>
      <x:c r="K217" s="43" t="str">
        <x:v>Boarding school</x:v>
      </x:c>
      <x:c r="L217" s="43" t="str">
        <x:v>Has a sixth form</x:v>
      </x:c>
      <x:c r="M217" s="43" t="n">
        <x:v>535</x:v>
      </x:c>
      <x:c r="N217" s="43" t="str"/>
      <x:c r="O217" s="43" t="str">
        <x:v>01635200286</x:v>
      </x:c>
      <x:c r="P217" s="43" t="str"/>
      <x:c r="Q217" s="43" t="str"/>
      <x:c r="R217" s="43" t="str">
        <x:v>Queued for contact research</x:v>
      </x:c>
      <x:c r="S217" s="43" t="str">
        <x:v>Not reviewed</x:v>
      </x:c>
      <x:c r="T217" s="43" t="str">
        <x:v>Hold</x:v>
      </x:c>
      <x:c r="U217" s="43" t="str">
        <x:v>No</x:v>
      </x:c>
      <x:c r="V217" s="44"/>
      <x:c r="W217" s="43" t="str"/>
      <x:c r="X217" s="43" t="str"/>
      <x:c r="Y217" s="43" t="str"/>
      <x:c r="Z217" s="43" t="str">
        <x:v>https://www.get-information-schools.service.gov.uk/Downloads</x:v>
      </x:c>
    </x:row>
    <x:row r="218">
      <x:c r="A218" s="43" t="str">
        <x:v>UK independent</x:v>
      </x:c>
      <x:c r="B218" s="43" t="str">
        <x:v>100540</x:v>
      </x:c>
      <x:c r="C218" s="43" t="n">
        <x:f>IF(K218="Boarding school",30,0)+IF(J218&gt;=18,20,0)+IF(I218&lt;=11,10,0)+IF(L218="Has a sixth form",15,0)+IF(M218&gt;=200,10,0)+IF(N218&lt;&gt;"",10,0)</x:f>
        <x:v>85</x:v>
      </x:c>
      <x:c r="D218" s="43" t="str">
        <x:f>IF(C218&gt;=85,"A",IF(C218&gt;=65,"B","C"))</x:f>
        <x:v>A</x:v>
      </x:c>
      <x:c r="E218" s="43" t="str">
        <x:v>Mander Portman Woodward School</x:v>
      </x:c>
      <x:c r="F218" s="43" t="str">
        <x:v>LONDON</x:v>
      </x:c>
      <x:c r="G218" s="43" t="str"/>
      <x:c r="H218" s="43" t="str">
        <x:v>SW7 5AB</x:v>
      </x:c>
      <x:c r="I218" s="43" t="n">
        <x:v>14</x:v>
      </x:c>
      <x:c r="J218" s="43" t="n">
        <x:v>20</x:v>
      </x:c>
      <x:c r="K218" s="43" t="str">
        <x:v>Boarding school</x:v>
      </x:c>
      <x:c r="L218" s="43" t="str">
        <x:v>Has a sixth form</x:v>
      </x:c>
      <x:c r="M218" s="43" t="n">
        <x:v>524</x:v>
      </x:c>
      <x:c r="N218" s="43" t="str">
        <x:v>https://www.mpw.ac.uk</x:v>
      </x:c>
      <x:c r="O218" s="43" t="str">
        <x:v>02078351355</x:v>
      </x:c>
      <x:c r="P218" s="43" t="str"/>
      <x:c r="Q218" s="43" t="str"/>
      <x:c r="R218" s="43" t="str">
        <x:v>Queued for contact research</x:v>
      </x:c>
      <x:c r="S218" s="43" t="str">
        <x:v>Not reviewed</x:v>
      </x:c>
      <x:c r="T218" s="43" t="str">
        <x:v>Hold</x:v>
      </x:c>
      <x:c r="U218" s="43" t="str">
        <x:v>No</x:v>
      </x:c>
      <x:c r="V218" s="44"/>
      <x:c r="W218" s="43" t="str"/>
      <x:c r="X218" s="43" t="str"/>
      <x:c r="Y218" s="43" t="str"/>
      <x:c r="Z218" s="43" t="str">
        <x:v>https://www.get-information-schools.service.gov.uk/Downloads</x:v>
      </x:c>
    </x:row>
    <x:row r="219">
      <x:c r="A219" s="43" t="str">
        <x:v>UK independent</x:v>
      </x:c>
      <x:c r="B219" s="43" t="str">
        <x:v>125365</x:v>
      </x:c>
      <x:c r="C219" s="43" t="n">
        <x:f>IF(K219="Boarding school",30,0)+IF(J219&gt;=18,20,0)+IF(I219&lt;=11,10,0)+IF(L219="Has a sixth form",15,0)+IF(M219&gt;=200,10,0)+IF(N219&lt;&gt;"",10,0)</x:f>
        <x:v>85</x:v>
      </x:c>
      <x:c r="D219" s="43" t="str">
        <x:f>IF(C219&gt;=85,"A",IF(C219&gt;=65,"B","C"))</x:f>
        <x:v>A</x:v>
      </x:c>
      <x:c r="E219" s="43" t="str">
        <x:v>King Edward's School Witley</x:v>
      </x:c>
      <x:c r="F219" s="43" t="str">
        <x:v>Godalming</x:v>
      </x:c>
      <x:c r="G219" s="43" t="str">
        <x:v>Surrey</x:v>
      </x:c>
      <x:c r="H219" s="43" t="str">
        <x:v>GU8 5SG</x:v>
      </x:c>
      <x:c r="I219" s="43" t="n">
        <x:v>10</x:v>
      </x:c>
      <x:c r="J219" s="43" t="n">
        <x:v>19</x:v>
      </x:c>
      <x:c r="K219" s="43" t="str">
        <x:v>Boarding school</x:v>
      </x:c>
      <x:c r="L219" s="43" t="str">
        <x:v>Has a sixth form</x:v>
      </x:c>
      <x:c r="M219" s="43" t="n">
        <x:v>473</x:v>
      </x:c>
      <x:c r="N219" s="43" t="str"/>
      <x:c r="O219" s="43" t="str">
        <x:v>01428686700</x:v>
      </x:c>
      <x:c r="P219" s="43" t="str"/>
      <x:c r="Q219" s="43" t="str"/>
      <x:c r="R219" s="43" t="str">
        <x:v>Queued for contact research</x:v>
      </x:c>
      <x:c r="S219" s="43" t="str">
        <x:v>Not reviewed</x:v>
      </x:c>
      <x:c r="T219" s="43" t="str">
        <x:v>Hold</x:v>
      </x:c>
      <x:c r="U219" s="43" t="str">
        <x:v>No</x:v>
      </x:c>
      <x:c r="V219" s="44"/>
      <x:c r="W219" s="43" t="str"/>
      <x:c r="X219" s="43" t="str"/>
      <x:c r="Y219" s="43" t="str"/>
      <x:c r="Z219" s="43" t="str">
        <x:v>https://www.get-information-schools.service.gov.uk/Downloads</x:v>
      </x:c>
    </x:row>
    <x:row r="220">
      <x:c r="A220" s="43" t="str">
        <x:v>UK independent</x:v>
      </x:c>
      <x:c r="B220" s="43" t="str">
        <x:v>110935</x:v>
      </x:c>
      <x:c r="C220" s="43" t="n">
        <x:f>IF(K220="Boarding school",30,0)+IF(J220&gt;=18,20,0)+IF(I220&lt;=11,10,0)+IF(L220="Has a sixth form",15,0)+IF(M220&gt;=200,10,0)+IF(N220&lt;&gt;"",10,0)</x:f>
        <x:v>85</x:v>
      </x:c>
      <x:c r="D220" s="43" t="str">
        <x:f>IF(C220&gt;=85,"A",IF(C220&gt;=65,"B","C"))</x:f>
        <x:v>A</x:v>
      </x:c>
      <x:c r="E220" s="43" t="str">
        <x:v>Cambridge Arts and Sciences (CATS and CSVPA)</x:v>
      </x:c>
      <x:c r="F220" s="43" t="str">
        <x:v>Cambridge</x:v>
      </x:c>
      <x:c r="G220" s="43" t="str">
        <x:v>Cambridgeshire</x:v>
      </x:c>
      <x:c r="H220" s="43" t="str">
        <x:v>CB4 1NQ</x:v>
      </x:c>
      <x:c r="I220" s="43" t="n">
        <x:v>13</x:v>
      </x:c>
      <x:c r="J220" s="43" t="n">
        <x:v>24</x:v>
      </x:c>
      <x:c r="K220" s="43" t="str">
        <x:v>Boarding school</x:v>
      </x:c>
      <x:c r="L220" s="43" t="str">
        <x:v>Has a sixth form</x:v>
      </x:c>
      <x:c r="M220" s="43" t="n">
        <x:v>453</x:v>
      </x:c>
      <x:c r="N220" s="43" t="str">
        <x:v>https://www.catscambridge.com</x:v>
      </x:c>
      <x:c r="O220" s="43" t="str">
        <x:v>01223314431</x:v>
      </x:c>
      <x:c r="P220" s="43" t="str"/>
      <x:c r="Q220" s="43" t="str"/>
      <x:c r="R220" s="43" t="str">
        <x:v>Queued for contact research</x:v>
      </x:c>
      <x:c r="S220" s="43" t="str">
        <x:v>Not reviewed</x:v>
      </x:c>
      <x:c r="T220" s="43" t="str">
        <x:v>Hold</x:v>
      </x:c>
      <x:c r="U220" s="43" t="str">
        <x:v>No</x:v>
      </x:c>
      <x:c r="V220" s="44"/>
      <x:c r="W220" s="43" t="str"/>
      <x:c r="X220" s="43" t="str"/>
      <x:c r="Y220" s="43" t="str"/>
      <x:c r="Z220" s="43" t="str">
        <x:v>https://www.get-information-schools.service.gov.uk/Downloads</x:v>
      </x:c>
    </x:row>
    <x:row r="221">
      <x:c r="A221" s="43" t="str">
        <x:v>UK independent</x:v>
      </x:c>
      <x:c r="B221" s="43" t="str">
        <x:v>126513</x:v>
      </x:c>
      <x:c r="C221" s="43" t="n">
        <x:f>IF(K221="Boarding school",30,0)+IF(J221&gt;=18,20,0)+IF(I221&lt;=11,10,0)+IF(L221="Has a sixth form",15,0)+IF(M221&gt;=200,10,0)+IF(N221&lt;&gt;"",10,0)</x:f>
        <x:v>85</x:v>
      </x:c>
      <x:c r="D221" s="43" t="str">
        <x:f>IF(C221&gt;=85,"A",IF(C221&gt;=65,"B","C"))</x:f>
        <x:v>A</x:v>
      </x:c>
      <x:c r="E221" s="43" t="str">
        <x:v>St Marys Calne and St Margarets Prep</x:v>
      </x:c>
      <x:c r="F221" s="43" t="str">
        <x:v>Calne</x:v>
      </x:c>
      <x:c r="G221" s="43" t="str">
        <x:v>Wiltshire</x:v>
      </x:c>
      <x:c r="H221" s="43" t="str">
        <x:v>SN11 0DF</x:v>
      </x:c>
      <x:c r="I221" s="43" t="n">
        <x:v>2</x:v>
      </x:c>
      <x:c r="J221" s="43" t="n">
        <x:v>19</x:v>
      </x:c>
      <x:c r="K221" s="43" t="str">
        <x:v>Boarding school</x:v>
      </x:c>
      <x:c r="L221" s="43" t="str">
        <x:v>Has a sixth form</x:v>
      </x:c>
      <x:c r="M221" s="43" t="n">
        <x:v>449</x:v>
      </x:c>
      <x:c r="N221" s="43" t="str"/>
      <x:c r="O221" s="43" t="str">
        <x:v>01249857200</x:v>
      </x:c>
      <x:c r="P221" s="43" t="str"/>
      <x:c r="Q221" s="43" t="str"/>
      <x:c r="R221" s="43" t="str">
        <x:v>Queued for contact research</x:v>
      </x:c>
      <x:c r="S221" s="43" t="str">
        <x:v>Not reviewed</x:v>
      </x:c>
      <x:c r="T221" s="43" t="str">
        <x:v>Hold</x:v>
      </x:c>
      <x:c r="U221" s="43" t="str">
        <x:v>No</x:v>
      </x:c>
      <x:c r="V221" s="44"/>
      <x:c r="W221" s="43" t="str"/>
      <x:c r="X221" s="43" t="str"/>
      <x:c r="Y221" s="43" t="str"/>
      <x:c r="Z221" s="43" t="str">
        <x:v>https://www.get-information-schools.service.gov.uk/Downloads</x:v>
      </x:c>
    </x:row>
    <x:row r="222">
      <x:c r="A222" s="43" t="str">
        <x:v>UK independent</x:v>
      </x:c>
      <x:c r="B222" s="43" t="str">
        <x:v>126134</x:v>
      </x:c>
      <x:c r="C222" s="43" t="n">
        <x:f>IF(K222="Boarding school",30,0)+IF(J222&gt;=18,20,0)+IF(I222&lt;=11,10,0)+IF(L222="Has a sixth form",15,0)+IF(M222&gt;=200,10,0)+IF(N222&lt;&gt;"",10,0)</x:f>
        <x:v>85</x:v>
      </x:c>
      <x:c r="D222" s="43" t="str">
        <x:f>IF(C222&gt;=85,"A",IF(C222&gt;=65,"B","C"))</x:f>
        <x:v>A</x:v>
      </x:c>
      <x:c r="E222" s="43" t="str">
        <x:v>Burgess Hill Girls</x:v>
      </x:c>
      <x:c r="F222" s="43" t="str">
        <x:v>Burgess Hill</x:v>
      </x:c>
      <x:c r="G222" s="43" t="str">
        <x:v>West Sussex</x:v>
      </x:c>
      <x:c r="H222" s="43" t="str">
        <x:v>RH15 0EG</x:v>
      </x:c>
      <x:c r="I222" s="43" t="n">
        <x:v>2</x:v>
      </x:c>
      <x:c r="J222" s="43" t="n">
        <x:v>19</x:v>
      </x:c>
      <x:c r="K222" s="43" t="str">
        <x:v>Boarding school</x:v>
      </x:c>
      <x:c r="L222" s="43" t="str">
        <x:v>Has a sixth form</x:v>
      </x:c>
      <x:c r="M222" s="43" t="n">
        <x:v>440</x:v>
      </x:c>
      <x:c r="N222" s="43" t="str"/>
      <x:c r="O222" s="43" t="str">
        <x:v>01444241050</x:v>
      </x:c>
      <x:c r="P222" s="43" t="str"/>
      <x:c r="Q222" s="43" t="str"/>
      <x:c r="R222" s="43" t="str">
        <x:v>Queued for contact research</x:v>
      </x:c>
      <x:c r="S222" s="43" t="str">
        <x:v>Not reviewed</x:v>
      </x:c>
      <x:c r="T222" s="43" t="str">
        <x:v>Hold</x:v>
      </x:c>
      <x:c r="U222" s="43" t="str">
        <x:v>No</x:v>
      </x:c>
      <x:c r="V222" s="44"/>
      <x:c r="W222" s="43" t="str"/>
      <x:c r="X222" s="43" t="str"/>
      <x:c r="Y222" s="43" t="str"/>
      <x:c r="Z222" s="43" t="str">
        <x:v>https://www.get-information-schools.service.gov.uk/Downloads</x:v>
      </x:c>
    </x:row>
    <x:row r="223">
      <x:c r="A223" s="43" t="str">
        <x:v>UK independent</x:v>
      </x:c>
      <x:c r="B223" s="43" t="str">
        <x:v>121735</x:v>
      </x:c>
      <x:c r="C223" s="43" t="n">
        <x:f>IF(K223="Boarding school",30,0)+IF(J223&gt;=18,20,0)+IF(I223&lt;=11,10,0)+IF(L223="Has a sixth form",15,0)+IF(M223&gt;=200,10,0)+IF(N223&lt;&gt;"",10,0)</x:f>
        <x:v>85</x:v>
      </x:c>
      <x:c r="D223" s="43" t="str">
        <x:f>IF(C223&gt;=85,"A",IF(C223&gt;=65,"B","C"))</x:f>
        <x:v>A</x:v>
      </x:c>
      <x:c r="E223" s="43" t="str">
        <x:v>Ampleforth College</x:v>
      </x:c>
      <x:c r="F223" s="43" t="str">
        <x:v>York</x:v>
      </x:c>
      <x:c r="G223" s="43" t="str">
        <x:v>North Yorkshire</x:v>
      </x:c>
      <x:c r="H223" s="43" t="str">
        <x:v>YO62 4ER</x:v>
      </x:c>
      <x:c r="I223" s="43" t="n">
        <x:v>11</x:v>
      </x:c>
      <x:c r="J223" s="43" t="n">
        <x:v>19</x:v>
      </x:c>
      <x:c r="K223" s="43" t="str">
        <x:v>Boarding school</x:v>
      </x:c>
      <x:c r="L223" s="43" t="str">
        <x:v>Has a sixth form</x:v>
      </x:c>
      <x:c r="M223" s="43" t="n">
        <x:v>397</x:v>
      </x:c>
      <x:c r="N223" s="43" t="str"/>
      <x:c r="O223" s="43" t="str">
        <x:v>01439766000</x:v>
      </x:c>
      <x:c r="P223" s="43" t="str"/>
      <x:c r="Q223" s="43" t="str"/>
      <x:c r="R223" s="43" t="str">
        <x:v>Queued for contact research</x:v>
      </x:c>
      <x:c r="S223" s="43" t="str">
        <x:v>Not reviewed</x:v>
      </x:c>
      <x:c r="T223" s="43" t="str">
        <x:v>Hold</x:v>
      </x:c>
      <x:c r="U223" s="43" t="str">
        <x:v>No</x:v>
      </x:c>
      <x:c r="V223" s="44"/>
      <x:c r="W223" s="43" t="str"/>
      <x:c r="X223" s="43" t="str"/>
      <x:c r="Y223" s="43" t="str"/>
      <x:c r="Z223" s="43" t="str">
        <x:v>https://www.get-information-schools.service.gov.uk/Downloads</x:v>
      </x:c>
    </x:row>
    <x:row r="224">
      <x:c r="A224" s="43" t="str">
        <x:v>UK independent</x:v>
      </x:c>
      <x:c r="B224" s="43" t="str">
        <x:v>123912</x:v>
      </x:c>
      <x:c r="C224" s="43" t="n">
        <x:f>IF(K224="Boarding school",30,0)+IF(J224&gt;=18,20,0)+IF(I224&lt;=11,10,0)+IF(L224="Has a sixth form",15,0)+IF(M224&gt;=200,10,0)+IF(N224&lt;&gt;"",10,0)</x:f>
        <x:v>85</x:v>
      </x:c>
      <x:c r="D224" s="43" t="str">
        <x:f>IF(C224&gt;=85,"A",IF(C224&gt;=65,"B","C"))</x:f>
        <x:v>A</x:v>
      </x:c>
      <x:c r="E224" s="43" t="str">
        <x:v>King's College Taunton</x:v>
      </x:c>
      <x:c r="F224" s="43" t="str">
        <x:v>Taunton</x:v>
      </x:c>
      <x:c r="G224" s="43" t="str">
        <x:v>Somerset</x:v>
      </x:c>
      <x:c r="H224" s="43" t="str">
        <x:v>TA1 3LA</x:v>
      </x:c>
      <x:c r="I224" s="43" t="n">
        <x:v>13</x:v>
      </x:c>
      <x:c r="J224" s="43" t="n">
        <x:v>19</x:v>
      </x:c>
      <x:c r="K224" s="43" t="str">
        <x:v>Boarding school</x:v>
      </x:c>
      <x:c r="L224" s="43" t="str">
        <x:v>Has a sixth form</x:v>
      </x:c>
      <x:c r="M224" s="43" t="n">
        <x:v>389</x:v>
      </x:c>
      <x:c r="N224" s="43" t="str">
        <x:v>https://www.kings-taunton.co.uk</x:v>
      </x:c>
      <x:c r="O224" s="43" t="str">
        <x:v>01823328200</x:v>
      </x:c>
      <x:c r="P224" s="43" t="str"/>
      <x:c r="Q224" s="43" t="str"/>
      <x:c r="R224" s="43" t="str">
        <x:v>Queued for contact research</x:v>
      </x:c>
      <x:c r="S224" s="43" t="str">
        <x:v>Not reviewed</x:v>
      </x:c>
      <x:c r="T224" s="43" t="str">
        <x:v>Hold</x:v>
      </x:c>
      <x:c r="U224" s="43" t="str">
        <x:v>No</x:v>
      </x:c>
      <x:c r="V224" s="44"/>
      <x:c r="W224" s="43" t="str"/>
      <x:c r="X224" s="43" t="str"/>
      <x:c r="Y224" s="43" t="str"/>
      <x:c r="Z224" s="43" t="str">
        <x:v>https://www.get-information-schools.service.gov.uk/Downloads</x:v>
      </x:c>
    </x:row>
    <x:row r="225">
      <x:c r="A225" s="43" t="str">
        <x:v>UK independent</x:v>
      </x:c>
      <x:c r="B225" s="43" t="str">
        <x:v>105372</x:v>
      </x:c>
      <x:c r="C225" s="43" t="n">
        <x:f>IF(K225="Boarding school",30,0)+IF(J225&gt;=18,20,0)+IF(I225&lt;=11,10,0)+IF(L225="Has a sixth form",15,0)+IF(M225&gt;=200,10,0)+IF(N225&lt;&gt;"",10,0)</x:f>
        <x:v>85</x:v>
      </x:c>
      <x:c r="D225" s="43" t="str">
        <x:f>IF(C225&gt;=85,"A",IF(C225&gt;=65,"B","C"))</x:f>
        <x:v>A</x:v>
      </x:c>
      <x:c r="E225" s="43" t="str">
        <x:v>Darul Uloom Al Arabiya Al Islamiya</x:v>
      </x:c>
      <x:c r="F225" s="43" t="str">
        <x:v>Nr. Bury</x:v>
      </x:c>
      <x:c r="G225" s="43" t="str">
        <x:v>Greater Manchester</x:v>
      </x:c>
      <x:c r="H225" s="43" t="str">
        <x:v>BL8 4NG</x:v>
      </x:c>
      <x:c r="I225" s="43" t="n">
        <x:v>11</x:v>
      </x:c>
      <x:c r="J225" s="43" t="n">
        <x:v>23</x:v>
      </x:c>
      <x:c r="K225" s="43" t="str">
        <x:v>Boarding school</x:v>
      </x:c>
      <x:c r="L225" s="43" t="str">
        <x:v>Has a sixth form</x:v>
      </x:c>
      <x:c r="M225" s="43" t="n">
        <x:v>383</x:v>
      </x:c>
      <x:c r="N225" s="43" t="str"/>
      <x:c r="O225" s="43" t="str">
        <x:v>01706826106</x:v>
      </x:c>
      <x:c r="P225" s="43" t="str"/>
      <x:c r="Q225" s="43" t="str"/>
      <x:c r="R225" s="43" t="str">
        <x:v>Queued for contact research</x:v>
      </x:c>
      <x:c r="S225" s="43" t="str">
        <x:v>Not reviewed</x:v>
      </x:c>
      <x:c r="T225" s="43" t="str">
        <x:v>Hold</x:v>
      </x:c>
      <x:c r="U225" s="43" t="str">
        <x:v>No</x:v>
      </x:c>
      <x:c r="V225" s="44"/>
      <x:c r="W225" s="43" t="str"/>
      <x:c r="X225" s="43" t="str"/>
      <x:c r="Y225" s="43" t="str"/>
      <x:c r="Z225" s="43" t="str">
        <x:v>https://www.get-information-schools.service.gov.uk/Downloads</x:v>
      </x:c>
    </x:row>
    <x:row r="226">
      <x:c r="A226" s="43" t="str">
        <x:v>UK independent</x:v>
      </x:c>
      <x:c r="B226" s="43" t="str">
        <x:v>107460</x:v>
      </x:c>
      <x:c r="C226" s="43" t="n">
        <x:f>IF(K226="Boarding school",30,0)+IF(J226&gt;=18,20,0)+IF(I226&lt;=11,10,0)+IF(L226="Has a sixth form",15,0)+IF(M226&gt;=200,10,0)+IF(N226&lt;&gt;"",10,0)</x:f>
        <x:v>85</x:v>
      </x:c>
      <x:c r="D226" s="43" t="str">
        <x:f>IF(C226&gt;=85,"A",IF(C226&gt;=65,"B","C"))</x:f>
        <x:v>A</x:v>
      </x:c>
      <x:c r="E226" s="43" t="str">
        <x:v>Jaamiatul Imaam Muhammad Zakaria</x:v>
      </x:c>
      <x:c r="F226" s="43" t="str">
        <x:v>Bradford</x:v>
      </x:c>
      <x:c r="G226" s="43" t="str">
        <x:v>West Yorkshire</x:v>
      </x:c>
      <x:c r="H226" s="43" t="str">
        <x:v>BD14 6JX</x:v>
      </x:c>
      <x:c r="I226" s="43" t="n">
        <x:v>11</x:v>
      </x:c>
      <x:c r="J226" s="43" t="n">
        <x:v>23</x:v>
      </x:c>
      <x:c r="K226" s="43" t="str">
        <x:v>Boarding school</x:v>
      </x:c>
      <x:c r="L226" s="43" t="str">
        <x:v>Has a sixth form</x:v>
      </x:c>
      <x:c r="M226" s="43" t="n">
        <x:v>371</x:v>
      </x:c>
      <x:c r="N226" s="43" t="str"/>
      <x:c r="O226" s="43" t="str">
        <x:v>01274882007</x:v>
      </x:c>
      <x:c r="P226" s="43" t="str"/>
      <x:c r="Q226" s="43" t="str"/>
      <x:c r="R226" s="43" t="str">
        <x:v>Queued for contact research</x:v>
      </x:c>
      <x:c r="S226" s="43" t="str">
        <x:v>Not reviewed</x:v>
      </x:c>
      <x:c r="T226" s="43" t="str">
        <x:v>Hold</x:v>
      </x:c>
      <x:c r="U226" s="43" t="str">
        <x:v>No</x:v>
      </x:c>
      <x:c r="V226" s="44"/>
      <x:c r="W226" s="43" t="str"/>
      <x:c r="X226" s="43" t="str"/>
      <x:c r="Y226" s="43" t="str"/>
      <x:c r="Z226" s="43" t="str">
        <x:v>https://www.get-information-schools.service.gov.uk/Downloads</x:v>
      </x:c>
    </x:row>
    <x:row r="227">
      <x:c r="A227" s="43" t="str">
        <x:v>UK independent</x:v>
      </x:c>
      <x:c r="B227" s="43" t="str">
        <x:v>136083</x:v>
      </x:c>
      <x:c r="C227" s="43" t="n">
        <x:f>IF(K227="Boarding school",30,0)+IF(J227&gt;=18,20,0)+IF(I227&lt;=11,10,0)+IF(L227="Has a sixth form",15,0)+IF(M227&gt;=200,10,0)+IF(N227&lt;&gt;"",10,0)</x:f>
        <x:v>85</x:v>
      </x:c>
      <x:c r="D227" s="43" t="str">
        <x:f>IF(C227&gt;=85,"A",IF(C227&gt;=65,"B","C"))</x:f>
        <x:v>A</x:v>
      </x:c>
      <x:c r="E227" s="43" t="str">
        <x:v>Abbey College Cambridge</x:v>
      </x:c>
      <x:c r="F227" s="43" t="str">
        <x:v>Cambridgeshire</x:v>
      </x:c>
      <x:c r="G227" s="43" t="str"/>
      <x:c r="H227" s="43" t="str">
        <x:v>CB2 8EB</x:v>
      </x:c>
      <x:c r="I227" s="43" t="n">
        <x:v>12</x:v>
      </x:c>
      <x:c r="J227" s="43" t="n">
        <x:v>21</x:v>
      </x:c>
      <x:c r="K227" s="43" t="str">
        <x:v>Boarding school</x:v>
      </x:c>
      <x:c r="L227" s="43" t="str">
        <x:v>Has a sixth form</x:v>
      </x:c>
      <x:c r="M227" s="43" t="n">
        <x:v>337</x:v>
      </x:c>
      <x:c r="N227" s="43" t="str">
        <x:v>https://www.abbeycambridge.co.uk</x:v>
      </x:c>
      <x:c r="O227" s="43" t="str">
        <x:v>01223578280</x:v>
      </x:c>
      <x:c r="P227" s="43" t="str"/>
      <x:c r="Q227" s="43" t="str"/>
      <x:c r="R227" s="43" t="str">
        <x:v>Queued for contact research</x:v>
      </x:c>
      <x:c r="S227" s="43" t="str">
        <x:v>Not reviewed</x:v>
      </x:c>
      <x:c r="T227" s="43" t="str">
        <x:v>Hold</x:v>
      </x:c>
      <x:c r="U227" s="43" t="str">
        <x:v>No</x:v>
      </x:c>
      <x:c r="V227" s="44"/>
      <x:c r="W227" s="43" t="str"/>
      <x:c r="X227" s="43" t="str"/>
      <x:c r="Y227" s="43" t="str"/>
      <x:c r="Z227" s="43" t="str">
        <x:v>https://www.get-information-schools.service.gov.uk/Downloads</x:v>
      </x:c>
    </x:row>
    <x:row r="228">
      <x:c r="A228" s="43" t="str">
        <x:v>UK independent</x:v>
      </x:c>
      <x:c r="B228" s="43" t="str">
        <x:v>100529</x:v>
      </x:c>
      <x:c r="C228" s="43" t="n">
        <x:f>IF(K228="Boarding school",30,0)+IF(J228&gt;=18,20,0)+IF(I228&lt;=11,10,0)+IF(L228="Has a sixth form",15,0)+IF(M228&gt;=200,10,0)+IF(N228&lt;&gt;"",10,0)</x:f>
        <x:v>85</x:v>
      </x:c>
      <x:c r="D228" s="43" t="str">
        <x:f>IF(C228&gt;=85,"A",IF(C228&gt;=65,"B","C"))</x:f>
        <x:v>A</x:v>
      </x:c>
      <x:c r="E228" s="43" t="str">
        <x:v>DLD College</x:v>
      </x:c>
      <x:c r="F228" s="43" t="str"/>
      <x:c r="G228" s="43" t="str"/>
      <x:c r="H228" s="43" t="str">
        <x:v>SE1 7FX</x:v>
      </x:c>
      <x:c r="I228" s="43" t="n">
        <x:v>13</x:v>
      </x:c>
      <x:c r="J228" s="43" t="n">
        <x:v>21</x:v>
      </x:c>
      <x:c r="K228" s="43" t="str">
        <x:v>Boarding school</x:v>
      </x:c>
      <x:c r="L228" s="43" t="str">
        <x:v>Has a sixth form</x:v>
      </x:c>
      <x:c r="M228" s="43" t="n">
        <x:v>306</x:v>
      </x:c>
      <x:c r="N228" s="43" t="str">
        <x:v>https://www.dldcollege.co.uk</x:v>
      </x:c>
      <x:c r="O228" s="43" t="str">
        <x:v>02079358411</x:v>
      </x:c>
      <x:c r="P228" s="43" t="str"/>
      <x:c r="Q228" s="43" t="str"/>
      <x:c r="R228" s="43" t="str">
        <x:v>Queued for contact research</x:v>
      </x:c>
      <x:c r="S228" s="43" t="str">
        <x:v>Not reviewed</x:v>
      </x:c>
      <x:c r="T228" s="43" t="str">
        <x:v>Hold</x:v>
      </x:c>
      <x:c r="U228" s="43" t="str">
        <x:v>No</x:v>
      </x:c>
      <x:c r="V228" s="44"/>
      <x:c r="W228" s="43" t="str"/>
      <x:c r="X228" s="43" t="str"/>
      <x:c r="Y228" s="43" t="str"/>
      <x:c r="Z228" s="43" t="str">
        <x:v>https://www.get-information-schools.service.gov.uk/Downloads</x:v>
      </x:c>
    </x:row>
    <x:row r="229">
      <x:c r="A229" s="43" t="str">
        <x:v>UK independent</x:v>
      </x:c>
      <x:c r="B229" s="43" t="str">
        <x:v>123905</x:v>
      </x:c>
      <x:c r="C229" s="43" t="n">
        <x:f>IF(K229="Boarding school",30,0)+IF(J229&gt;=18,20,0)+IF(I229&lt;=11,10,0)+IF(L229="Has a sixth form",15,0)+IF(M229&gt;=200,10,0)+IF(N229&lt;&gt;"",10,0)</x:f>
        <x:v>85</x:v>
      </x:c>
      <x:c r="D229" s="43" t="str">
        <x:f>IF(C229&gt;=85,"A",IF(C229&gt;=65,"B","C"))</x:f>
        <x:v>A</x:v>
      </x:c>
      <x:c r="E229" s="43" t="str">
        <x:v>King's Bruton</x:v>
      </x:c>
      <x:c r="F229" s="43" t="str">
        <x:v>Bruton</x:v>
      </x:c>
      <x:c r="G229" s="43" t="str">
        <x:v>Somerset</x:v>
      </x:c>
      <x:c r="H229" s="43" t="str">
        <x:v>BA10 0ED</x:v>
      </x:c>
      <x:c r="I229" s="43" t="n">
        <x:v>13</x:v>
      </x:c>
      <x:c r="J229" s="43" t="n">
        <x:v>19</x:v>
      </x:c>
      <x:c r="K229" s="43" t="str">
        <x:v>Boarding school</x:v>
      </x:c>
      <x:c r="L229" s="43" t="str">
        <x:v>Has a sixth form</x:v>
      </x:c>
      <x:c r="M229" s="43" t="n">
        <x:v>304</x:v>
      </x:c>
      <x:c r="N229" s="43" t="str">
        <x:v>https://www.kingsbruton.com</x:v>
      </x:c>
      <x:c r="O229" s="43" t="str">
        <x:v>01749814200</x:v>
      </x:c>
      <x:c r="P229" s="43" t="str"/>
      <x:c r="Q229" s="43" t="str"/>
      <x:c r="R229" s="43" t="str">
        <x:v>Queued for contact research</x:v>
      </x:c>
      <x:c r="S229" s="43" t="str">
        <x:v>Not reviewed</x:v>
      </x:c>
      <x:c r="T229" s="43" t="str">
        <x:v>Hold</x:v>
      </x:c>
      <x:c r="U229" s="43" t="str">
        <x:v>No</x:v>
      </x:c>
      <x:c r="V229" s="44"/>
      <x:c r="W229" s="43" t="str"/>
      <x:c r="X229" s="43" t="str"/>
      <x:c r="Y229" s="43" t="str"/>
      <x:c r="Z229" s="43" t="str">
        <x:v>https://www.get-information-schools.service.gov.uk/Downloads</x:v>
      </x:c>
    </x:row>
    <x:row r="230">
      <x:c r="A230" s="43" t="str">
        <x:v>UK independent</x:v>
      </x:c>
      <x:c r="B230" s="43" t="str">
        <x:v>125442</x:v>
      </x:c>
      <x:c r="C230" s="43" t="n">
        <x:f>IF(K230="Boarding school",30,0)+IF(J230&gt;=18,20,0)+IF(I230&lt;=11,10,0)+IF(L230="Has a sixth form",15,0)+IF(M230&gt;=200,10,0)+IF(N230&lt;&gt;"",10,0)</x:f>
        <x:v>85</x:v>
      </x:c>
      <x:c r="D230" s="43" t="str">
        <x:f>IF(C230&gt;=85,"A",IF(C230&gt;=65,"B","C"))</x:f>
        <x:v>A</x:v>
      </x:c>
      <x:c r="E230" s="43" t="str">
        <x:v>Hurtwood House School</x:v>
      </x:c>
      <x:c r="F230" s="43" t="str">
        <x:v>Dorking</x:v>
      </x:c>
      <x:c r="G230" s="43" t="str">
        <x:v>Surrey</x:v>
      </x:c>
      <x:c r="H230" s="43" t="str">
        <x:v>RH5 6NU</x:v>
      </x:c>
      <x:c r="I230" s="43" t="n">
        <x:v>15</x:v>
      </x:c>
      <x:c r="J230" s="43" t="n">
        <x:v>19</x:v>
      </x:c>
      <x:c r="K230" s="43" t="str">
        <x:v>Boarding school</x:v>
      </x:c>
      <x:c r="L230" s="43" t="str">
        <x:v>Has a sixth form</x:v>
      </x:c>
      <x:c r="M230" s="43" t="n">
        <x:v>293</x:v>
      </x:c>
      <x:c r="N230" s="43" t="str">
        <x:v>https://www.hurtwoodhouse.com</x:v>
      </x:c>
      <x:c r="O230" s="43" t="str">
        <x:v>01483279000</x:v>
      </x:c>
      <x:c r="P230" s="43" t="str"/>
      <x:c r="Q230" s="43" t="str"/>
      <x:c r="R230" s="43" t="str">
        <x:v>Queued for contact research</x:v>
      </x:c>
      <x:c r="S230" s="43" t="str">
        <x:v>Not reviewed</x:v>
      </x:c>
      <x:c r="T230" s="43" t="str">
        <x:v>Hold</x:v>
      </x:c>
      <x:c r="U230" s="43" t="str">
        <x:v>No</x:v>
      </x:c>
      <x:c r="V230" s="44"/>
      <x:c r="W230" s="43" t="str"/>
      <x:c r="X230" s="43" t="str"/>
      <x:c r="Y230" s="43" t="str"/>
      <x:c r="Z230" s="43" t="str">
        <x:v>https://www.get-information-schools.service.gov.uk/Downloads</x:v>
      </x:c>
    </x:row>
    <x:row r="231">
      <x:c r="A231" s="43" t="str">
        <x:v>UK independent</x:v>
      </x:c>
      <x:c r="B231" s="43" t="str">
        <x:v>131411</x:v>
      </x:c>
      <x:c r="C231" s="43" t="n">
        <x:f>IF(K231="Boarding school",30,0)+IF(J231&gt;=18,20,0)+IF(I231&lt;=11,10,0)+IF(L231="Has a sixth form",15,0)+IF(M231&gt;=200,10,0)+IF(N231&lt;&gt;"",10,0)</x:f>
        <x:v>85</x:v>
      </x:c>
      <x:c r="D231" s="43" t="str">
        <x:f>IF(C231&gt;=85,"A",IF(C231&gt;=65,"B","C"))</x:f>
        <x:v>A</x:v>
      </x:c>
      <x:c r="E231" s="43" t="str">
        <x:v>The Worthgate School</x:v>
      </x:c>
      <x:c r="F231" s="43" t="str">
        <x:v>Canterbury</x:v>
      </x:c>
      <x:c r="G231" s="43" t="str">
        <x:v>Kent</x:v>
      </x:c>
      <x:c r="H231" s="43" t="str">
        <x:v>CT1 3LQ</x:v>
      </x:c>
      <x:c r="I231" s="43" t="n">
        <x:v>13</x:v>
      </x:c>
      <x:c r="J231" s="43" t="n">
        <x:v>22</x:v>
      </x:c>
      <x:c r="K231" s="43" t="str">
        <x:v>Boarding school</x:v>
      </x:c>
      <x:c r="L231" s="43" t="str">
        <x:v>Has a sixth form</x:v>
      </x:c>
      <x:c r="M231" s="43" t="n">
        <x:v>270</x:v>
      </x:c>
      <x:c r="N231" s="43" t="str">
        <x:v>https://www.worthgateschool.com</x:v>
      </x:c>
      <x:c r="O231" s="43" t="str">
        <x:v>01227866540</x:v>
      </x:c>
      <x:c r="P231" s="43" t="str"/>
      <x:c r="Q231" s="43" t="str"/>
      <x:c r="R231" s="43" t="str">
        <x:v>Queued for contact research</x:v>
      </x:c>
      <x:c r="S231" s="43" t="str">
        <x:v>Not reviewed</x:v>
      </x:c>
      <x:c r="T231" s="43" t="str">
        <x:v>Hold</x:v>
      </x:c>
      <x:c r="U231" s="43" t="str">
        <x:v>No</x:v>
      </x:c>
      <x:c r="V231" s="44"/>
      <x:c r="W231" s="43" t="str"/>
      <x:c r="X231" s="43" t="str"/>
      <x:c r="Y231" s="43" t="str"/>
      <x:c r="Z231" s="43" t="str">
        <x:v>https://www.get-information-schools.service.gov.uk/Downloads</x:v>
      </x:c>
    </x:row>
    <x:row r="232">
      <x:c r="A232" s="43" t="str">
        <x:v>UK independent</x:v>
      </x:c>
      <x:c r="B232" s="43" t="str">
        <x:v>133430</x:v>
      </x:c>
      <x:c r="C232" s="43" t="n">
        <x:f>IF(K232="Boarding school",30,0)+IF(J232&gt;=18,20,0)+IF(I232&lt;=11,10,0)+IF(L232="Has a sixth form",15,0)+IF(M232&gt;=200,10,0)+IF(N232&lt;&gt;"",10,0)</x:f>
        <x:v>85</x:v>
      </x:c>
      <x:c r="D232" s="43" t="str">
        <x:f>IF(C232&gt;=85,"A",IF(C232&gt;=65,"B","C"))</x:f>
        <x:v>A</x:v>
      </x:c>
      <x:c r="E232" s="43" t="str">
        <x:v>St Clare's, Oxford</x:v>
      </x:c>
      <x:c r="F232" s="43" t="str">
        <x:v>Oxford</x:v>
      </x:c>
      <x:c r="G232" s="43" t="str">
        <x:v>Oxfordshire</x:v>
      </x:c>
      <x:c r="H232" s="43" t="str">
        <x:v>OX2 7AL</x:v>
      </x:c>
      <x:c r="I232" s="43" t="n">
        <x:v>15</x:v>
      </x:c>
      <x:c r="J232" s="43" t="n">
        <x:v>19</x:v>
      </x:c>
      <x:c r="K232" s="43" t="str">
        <x:v>Boarding school</x:v>
      </x:c>
      <x:c r="L232" s="43" t="str">
        <x:v>Has a sixth form</x:v>
      </x:c>
      <x:c r="M232" s="43" t="n">
        <x:v>262</x:v>
      </x:c>
      <x:c r="N232" s="43" t="str">
        <x:v>https://www.stclares.ac.uk</x:v>
      </x:c>
      <x:c r="O232" s="43" t="str">
        <x:v>01865552031</x:v>
      </x:c>
      <x:c r="P232" s="43" t="str"/>
      <x:c r="Q232" s="43" t="str"/>
      <x:c r="R232" s="43" t="str">
        <x:v>Queued for contact research</x:v>
      </x:c>
      <x:c r="S232" s="43" t="str">
        <x:v>Not reviewed</x:v>
      </x:c>
      <x:c r="T232" s="43" t="str">
        <x:v>Hold</x:v>
      </x:c>
      <x:c r="U232" s="43" t="str">
        <x:v>No</x:v>
      </x:c>
      <x:c r="V232" s="44"/>
      <x:c r="W232" s="43" t="str"/>
      <x:c r="X232" s="43" t="str"/>
      <x:c r="Y232" s="43" t="str"/>
      <x:c r="Z232" s="43" t="str">
        <x:v>https://www.get-information-schools.service.gov.uk/Downloads</x:v>
      </x:c>
    </x:row>
    <x:row r="233">
      <x:c r="A233" s="43" t="str">
        <x:v>UK independent</x:v>
      </x:c>
      <x:c r="B233" s="43" t="str">
        <x:v>100544</x:v>
      </x:c>
      <x:c r="C233" s="43" t="n">
        <x:f>IF(K233="Boarding school",30,0)+IF(J233&gt;=18,20,0)+IF(I233&lt;=11,10,0)+IF(L233="Has a sixth form",15,0)+IF(M233&gt;=200,10,0)+IF(N233&lt;&gt;"",10,0)</x:f>
        <x:v>85</x:v>
      </x:c>
      <x:c r="D233" s="43" t="str">
        <x:f>IF(C233&gt;=85,"A",IF(C233&gt;=65,"B","C"))</x:f>
        <x:v>A</x:v>
      </x:c>
      <x:c r="E233" s="43" t="str">
        <x:v>David Game College</x:v>
      </x:c>
      <x:c r="F233" s="43" t="str"/>
      <x:c r="G233" s="43" t="str"/>
      <x:c r="H233" s="43" t="str">
        <x:v>EC3N 2ET</x:v>
      </x:c>
      <x:c r="I233" s="43" t="n">
        <x:v>13</x:v>
      </x:c>
      <x:c r="J233" s="43" t="n">
        <x:v>22</x:v>
      </x:c>
      <x:c r="K233" s="43" t="str">
        <x:v>Boarding school</x:v>
      </x:c>
      <x:c r="L233" s="43" t="str">
        <x:v>Has a sixth form</x:v>
      </x:c>
      <x:c r="M233" s="43" t="n">
        <x:v>247</x:v>
      </x:c>
      <x:c r="N233" s="43" t="str">
        <x:v>https://www.davidgamecollege.com</x:v>
      </x:c>
      <x:c r="O233" s="43" t="str">
        <x:v>02072216665</x:v>
      </x:c>
      <x:c r="P233" s="43" t="str"/>
      <x:c r="Q233" s="43" t="str"/>
      <x:c r="R233" s="43" t="str">
        <x:v>Queued for contact research</x:v>
      </x:c>
      <x:c r="S233" s="43" t="str">
        <x:v>Not reviewed</x:v>
      </x:c>
      <x:c r="T233" s="43" t="str">
        <x:v>Hold</x:v>
      </x:c>
      <x:c r="U233" s="43" t="str">
        <x:v>No</x:v>
      </x:c>
      <x:c r="V233" s="44"/>
      <x:c r="W233" s="43" t="str"/>
      <x:c r="X233" s="43" t="str"/>
      <x:c r="Y233" s="43" t="str"/>
      <x:c r="Z233" s="43" t="str">
        <x:v>https://www.get-information-schools.service.gov.uk/Downloads</x:v>
      </x:c>
    </x:row>
    <x:row r="234">
      <x:c r="A234" s="43" t="str">
        <x:v>UK independent</x:v>
      </x:c>
      <x:c r="B234" s="43" t="str">
        <x:v>102947</x:v>
      </x:c>
      <x:c r="C234" s="43" t="n">
        <x:f>IF(K234="Boarding school",30,0)+IF(J234&gt;=18,20,0)+IF(I234&lt;=11,10,0)+IF(L234="Has a sixth form",15,0)+IF(M234&gt;=200,10,0)+IF(N234&lt;&gt;"",10,0)</x:f>
        <x:v>85</x:v>
      </x:c>
      <x:c r="D234" s="43" t="str">
        <x:f>IF(C234&gt;=85,"A",IF(C234&gt;=65,"B","C"))</x:f>
        <x:v>A</x:v>
      </x:c>
      <x:c r="E234" s="43" t="str">
        <x:v>The Royal Ballet School</x:v>
      </x:c>
      <x:c r="F234" s="43" t="str">
        <x:v>London</x:v>
      </x:c>
      <x:c r="G234" s="43" t="str"/>
      <x:c r="H234" s="43" t="str">
        <x:v>WC2E 9DA</x:v>
      </x:c>
      <x:c r="I234" s="43" t="n">
        <x:v>12</x:v>
      </x:c>
      <x:c r="J234" s="43" t="n">
        <x:v>19</x:v>
      </x:c>
      <x:c r="K234" s="43" t="str">
        <x:v>Boarding school</x:v>
      </x:c>
      <x:c r="L234" s="43" t="str">
        <x:v>Has a sixth form</x:v>
      </x:c>
      <x:c r="M234" s="43" t="n">
        <x:v>227</x:v>
      </x:c>
      <x:c r="N234" s="43" t="str">
        <x:v>https://www.royalballetschool.org.uk</x:v>
      </x:c>
      <x:c r="O234" s="43" t="str">
        <x:v>02078368899</x:v>
      </x:c>
      <x:c r="P234" s="43" t="str"/>
      <x:c r="Q234" s="43" t="str"/>
      <x:c r="R234" s="43" t="str">
        <x:v>Queued for contact research</x:v>
      </x:c>
      <x:c r="S234" s="43" t="str">
        <x:v>Not reviewed</x:v>
      </x:c>
      <x:c r="T234" s="43" t="str">
        <x:v>Hold</x:v>
      </x:c>
      <x:c r="U234" s="43" t="str">
        <x:v>No</x:v>
      </x:c>
      <x:c r="V234" s="44"/>
      <x:c r="W234" s="43" t="str"/>
      <x:c r="X234" s="43" t="str"/>
      <x:c r="Y234" s="43" t="str"/>
      <x:c r="Z234" s="43" t="str">
        <x:v>https://www.get-information-schools.service.gov.uk/Downloads</x:v>
      </x:c>
    </x:row>
    <x:row r="235">
      <x:c r="A235" s="43" t="str">
        <x:v>UK independent</x:v>
      </x:c>
      <x:c r="B235" s="43" t="str">
        <x:v>146516</x:v>
      </x:c>
      <x:c r="C235" s="43" t="n">
        <x:f>IF(K235="Boarding school",30,0)+IF(J235&gt;=18,20,0)+IF(I235&lt;=11,10,0)+IF(L235="Has a sixth form",15,0)+IF(M235&gt;=200,10,0)+IF(N235&lt;&gt;"",10,0)</x:f>
        <x:v>85</x:v>
      </x:c>
      <x:c r="D235" s="43" t="str">
        <x:f>IF(C235&gt;=85,"A",IF(C235&gt;=65,"B","C"))</x:f>
        <x:v>A</x:v>
      </x:c>
      <x:c r="E235" s="43" t="str">
        <x:v>Oxford International College</x:v>
      </x:c>
      <x:c r="F235" s="43" t="str"/>
      <x:c r="G235" s="43" t="str"/>
      <x:c r="H235" s="43" t="str">
        <x:v>OX4 1BD</x:v>
      </x:c>
      <x:c r="I235" s="43" t="n">
        <x:v>14</x:v>
      </x:c>
      <x:c r="J235" s="43" t="n">
        <x:v>19</x:v>
      </x:c>
      <x:c r="K235" s="43" t="str">
        <x:v>Boarding school</x:v>
      </x:c>
      <x:c r="L235" s="43" t="str">
        <x:v>Has a sixth form</x:v>
      </x:c>
      <x:c r="M235" s="43" t="n">
        <x:v>216</x:v>
      </x:c>
      <x:c r="N235" s="43" t="str">
        <x:v>https://www.oxcoll.com</x:v>
      </x:c>
      <x:c r="O235" s="43" t="str">
        <x:v>01865203988</x:v>
      </x:c>
      <x:c r="P235" s="43" t="str"/>
      <x:c r="Q235" s="43" t="str"/>
      <x:c r="R235" s="43" t="str">
        <x:v>Queued for contact research</x:v>
      </x:c>
      <x:c r="S235" s="43" t="str">
        <x:v>Not reviewed</x:v>
      </x:c>
      <x:c r="T235" s="43" t="str">
        <x:v>Hold</x:v>
      </x:c>
      <x:c r="U235" s="43" t="str">
        <x:v>No</x:v>
      </x:c>
      <x:c r="V235" s="44"/>
      <x:c r="W235" s="43" t="str"/>
      <x:c r="X235" s="43" t="str"/>
      <x:c r="Y235" s="43" t="str"/>
      <x:c r="Z235" s="43" t="str">
        <x:v>https://www.get-information-schools.service.gov.uk/Downloads</x:v>
      </x:c>
    </x:row>
    <x:row r="236">
      <x:c r="A236" s="43" t="str">
        <x:v>UK independent</x:v>
      </x:c>
      <x:c r="B236" s="43" t="str">
        <x:v>117044</x:v>
      </x:c>
      <x:c r="C236" s="43" t="n">
        <x:f>IF(K236="Boarding school",30,0)+IF(J236&gt;=18,20,0)+IF(I236&lt;=11,10,0)+IF(L236="Has a sixth form",15,0)+IF(M236&gt;=200,10,0)+IF(N236&lt;&gt;"",10,0)</x:f>
        <x:v>85</x:v>
      </x:c>
      <x:c r="D236" s="43" t="str">
        <x:f>IF(C236&gt;=85,"A",IF(C236&gt;=65,"B","C"))</x:f>
        <x:v>A</x:v>
      </x:c>
      <x:c r="E236" s="43" t="str">
        <x:v>Madinatul Uloom Al Islamiya School</x:v>
      </x:c>
      <x:c r="F236" s="43" t="str">
        <x:v>Worcestershire</x:v>
      </x:c>
      <x:c r="G236" s="43" t="str">
        <x:v>Worcestershire</x:v>
      </x:c>
      <x:c r="H236" s="43" t="str">
        <x:v>DY10 4BS</x:v>
      </x:c>
      <x:c r="I236" s="43" t="n">
        <x:v>11</x:v>
      </x:c>
      <x:c r="J236" s="43" t="n">
        <x:v>28</x:v>
      </x:c>
      <x:c r="K236" s="43" t="str">
        <x:v>Boarding school</x:v>
      </x:c>
      <x:c r="L236" s="43" t="str">
        <x:v>Has a sixth form</x:v>
      </x:c>
      <x:c r="M236" s="43" t="n">
        <x:v>206</x:v>
      </x:c>
      <x:c r="N236" s="43" t="str"/>
      <x:c r="O236" s="43" t="str">
        <x:v>0156266894</x:v>
      </x:c>
      <x:c r="P236" s="43" t="str"/>
      <x:c r="Q236" s="43" t="str"/>
      <x:c r="R236" s="43" t="str">
        <x:v>Queued for contact research</x:v>
      </x:c>
      <x:c r="S236" s="43" t="str">
        <x:v>Not reviewed</x:v>
      </x:c>
      <x:c r="T236" s="43" t="str">
        <x:v>Hold</x:v>
      </x:c>
      <x:c r="U236" s="43" t="str">
        <x:v>No</x:v>
      </x:c>
      <x:c r="V236" s="44"/>
      <x:c r="W236" s="43" t="str"/>
      <x:c r="X236" s="43" t="str"/>
      <x:c r="Y236" s="43" t="str"/>
      <x:c r="Z236" s="43" t="str">
        <x:v>https://www.get-information-schools.service.gov.uk/Downloads</x:v>
      </x:c>
    </x:row>
    <x:row r="237">
      <x:c r="A237" s="43" t="str">
        <x:v>UK independent</x:v>
      </x:c>
      <x:c r="B237" s="43" t="str">
        <x:v>114656</x:v>
      </x:c>
      <x:c r="C237" s="43" t="n">
        <x:f>IF(K237="Boarding school",30,0)+IF(J237&gt;=18,20,0)+IF(I237&lt;=11,10,0)+IF(L237="Has a sixth form",15,0)+IF(M237&gt;=200,10,0)+IF(N237&lt;&gt;"",10,0)</x:f>
        <x:v>85</x:v>
      </x:c>
      <x:c r="D237" s="43" t="str">
        <x:f>IF(C237&gt;=85,"A",IF(C237&gt;=65,"B","C"))</x:f>
        <x:v>A</x:v>
      </x:c>
      <x:c r="E237" s="43" t="str">
        <x:v>Buckswood School</x:v>
      </x:c>
      <x:c r="F237" s="43" t="str">
        <x:v>East Sussex</x:v>
      </x:c>
      <x:c r="G237" s="43" t="str"/>
      <x:c r="H237" s="43" t="str">
        <x:v>TN35 4LT</x:v>
      </x:c>
      <x:c r="I237" s="43" t="n">
        <x:v>10</x:v>
      </x:c>
      <x:c r="J237" s="43" t="n">
        <x:v>19</x:v>
      </x:c>
      <x:c r="K237" s="43" t="str">
        <x:v>Boarding school</x:v>
      </x:c>
      <x:c r="L237" s="43" t="str">
        <x:v>Has a sixth form</x:v>
      </x:c>
      <x:c r="M237" s="43" t="n">
        <x:v>193</x:v>
      </x:c>
      <x:c r="N237" s="43" t="str">
        <x:v>http://www.buckswood.co.uk/</x:v>
      </x:c>
      <x:c r="O237" s="43" t="str">
        <x:v>01424813813</x:v>
      </x:c>
      <x:c r="P237" s="43" t="str"/>
      <x:c r="Q237" s="43" t="str"/>
      <x:c r="R237" s="43" t="str">
        <x:v>Queued for contact research</x:v>
      </x:c>
      <x:c r="S237" s="43" t="str">
        <x:v>Not reviewed</x:v>
      </x:c>
      <x:c r="T237" s="43" t="str">
        <x:v>Hold</x:v>
      </x:c>
      <x:c r="U237" s="43" t="str">
        <x:v>No</x:v>
      </x:c>
      <x:c r="V237" s="44"/>
      <x:c r="W237" s="43" t="str"/>
      <x:c r="X237" s="43" t="str"/>
      <x:c r="Y237" s="43" t="str"/>
      <x:c r="Z237" s="43" t="str">
        <x:v>https://www.get-information-schools.service.gov.uk/Downloads</x:v>
      </x:c>
    </x:row>
    <x:row r="238">
      <x:c r="A238" s="43" t="str">
        <x:v>UK independent</x:v>
      </x:c>
      <x:c r="B238" s="43" t="str">
        <x:v>117032</x:v>
      </x:c>
      <x:c r="C238" s="43" t="n">
        <x:f>IF(K238="Boarding school",30,0)+IF(J238&gt;=18,20,0)+IF(I238&lt;=11,10,0)+IF(L238="Has a sixth form",15,0)+IF(M238&gt;=200,10,0)+IF(N238&lt;&gt;"",10,0)</x:f>
        <x:v>85</x:v>
      </x:c>
      <x:c r="D238" s="43" t="str">
        <x:f>IF(C238&gt;=85,"A",IF(C238&gt;=65,"B","C"))</x:f>
        <x:v>A</x:v>
      </x:c>
      <x:c r="E238" s="43" t="str">
        <x:v>Bredon School</x:v>
      </x:c>
      <x:c r="F238" s="43" t="str">
        <x:v>Tewkesbury</x:v>
      </x:c>
      <x:c r="G238" s="43" t="str">
        <x:v>Gloucestershire</x:v>
      </x:c>
      <x:c r="H238" s="43" t="str">
        <x:v>GL20 6AH</x:v>
      </x:c>
      <x:c r="I238" s="43" t="n">
        <x:v>7</x:v>
      </x:c>
      <x:c r="J238" s="43" t="n">
        <x:v>21</x:v>
      </x:c>
      <x:c r="K238" s="43" t="str">
        <x:v>Boarding school</x:v>
      </x:c>
      <x:c r="L238" s="43" t="str">
        <x:v>Has a sixth form</x:v>
      </x:c>
      <x:c r="M238" s="43" t="n">
        <x:v>192</x:v>
      </x:c>
      <x:c r="N238" s="43" t="str">
        <x:v>https://www.bredonschool.org</x:v>
      </x:c>
      <x:c r="O238" s="43" t="str">
        <x:v>01684293156</x:v>
      </x:c>
      <x:c r="P238" s="43" t="str"/>
      <x:c r="Q238" s="43" t="str"/>
      <x:c r="R238" s="43" t="str">
        <x:v>Queued for contact research</x:v>
      </x:c>
      <x:c r="S238" s="43" t="str">
        <x:v>Not reviewed</x:v>
      </x:c>
      <x:c r="T238" s="43" t="str">
        <x:v>Hold</x:v>
      </x:c>
      <x:c r="U238" s="43" t="str">
        <x:v>No</x:v>
      </x:c>
      <x:c r="V238" s="44"/>
      <x:c r="W238" s="43" t="str"/>
      <x:c r="X238" s="43" t="str"/>
      <x:c r="Y238" s="43" t="str"/>
      <x:c r="Z238" s="43" t="str">
        <x:v>https://www.get-information-schools.service.gov.uk/Downloads</x:v>
      </x:c>
    </x:row>
    <x:row r="239">
      <x:c r="A239" s="43" t="str">
        <x:v>UK independent</x:v>
      </x:c>
      <x:c r="B239" s="43" t="str">
        <x:v>102256</x:v>
      </x:c>
      <x:c r="C239" s="43" t="n">
        <x:f>IF(K239="Boarding school",30,0)+IF(J239&gt;=18,20,0)+IF(I239&lt;=11,10,0)+IF(L239="Has a sixth form",15,0)+IF(M239&gt;=200,10,0)+IF(N239&lt;&gt;"",10,0)</x:f>
        <x:v>85</x:v>
      </x:c>
      <x:c r="D239" s="43" t="str">
        <x:f>IF(C239&gt;=85,"A",IF(C239&gt;=65,"B","C"))</x:f>
        <x:v>A</x:v>
      </x:c>
      <x:c r="E239" s="43" t="str">
        <x:v>The Purcell School</x:v>
      </x:c>
      <x:c r="F239" s="43" t="str"/>
      <x:c r="G239" s="43" t="str"/>
      <x:c r="H239" s="43" t="str">
        <x:v>WD23 2TS</x:v>
      </x:c>
      <x:c r="I239" s="43" t="n">
        <x:v>8</x:v>
      </x:c>
      <x:c r="J239" s="43" t="n">
        <x:v>19</x:v>
      </x:c>
      <x:c r="K239" s="43" t="str">
        <x:v>Boarding school</x:v>
      </x:c>
      <x:c r="L239" s="43" t="str">
        <x:v>Has a sixth form</x:v>
      </x:c>
      <x:c r="M239" s="43" t="n">
        <x:v>192</x:v>
      </x:c>
      <x:c r="N239" s="43" t="str">
        <x:v>https://www.purcell-school.org</x:v>
      </x:c>
      <x:c r="O239" s="43" t="str">
        <x:v>01923331100</x:v>
      </x:c>
      <x:c r="P239" s="43" t="str"/>
      <x:c r="Q239" s="43" t="str"/>
      <x:c r="R239" s="43" t="str">
        <x:v>Queued for contact research</x:v>
      </x:c>
      <x:c r="S239" s="43" t="str">
        <x:v>Not reviewed</x:v>
      </x:c>
      <x:c r="T239" s="43" t="str">
        <x:v>Hold</x:v>
      </x:c>
      <x:c r="U239" s="43" t="str">
        <x:v>No</x:v>
      </x:c>
      <x:c r="V239" s="44"/>
      <x:c r="W239" s="43" t="str"/>
      <x:c r="X239" s="43" t="str"/>
      <x:c r="Y239" s="43" t="str"/>
      <x:c r="Z239" s="43" t="str">
        <x:v>https://www.get-information-schools.service.gov.uk/Downloads</x:v>
      </x:c>
    </x:row>
    <x:row r="240">
      <x:c r="A240" s="43" t="str">
        <x:v>UK independent</x:v>
      </x:c>
      <x:c r="B240" s="43" t="str">
        <x:v>134908</x:v>
      </x:c>
      <x:c r="C240" s="43" t="n">
        <x:f>IF(K240="Boarding school",30,0)+IF(J240&gt;=18,20,0)+IF(I240&lt;=11,10,0)+IF(L240="Has a sixth form",15,0)+IF(M240&gt;=200,10,0)+IF(N240&lt;&gt;"",10,0)</x:f>
        <x:v>85</x:v>
      </x:c>
      <x:c r="D240" s="43" t="str">
        <x:f>IF(C240&gt;=85,"A",IF(C240&gt;=65,"B","C"))</x:f>
        <x:v>A</x:v>
      </x:c>
      <x:c r="E240" s="43" t="str">
        <x:v>Elmhurst Ballet School</x:v>
      </x:c>
      <x:c r="F240" s="43" t="str">
        <x:v>Birmingham</x:v>
      </x:c>
      <x:c r="G240" s="43" t="str">
        <x:v>West Midlands</x:v>
      </x:c>
      <x:c r="H240" s="43" t="str">
        <x:v>B5 7UH</x:v>
      </x:c>
      <x:c r="I240" s="43" t="n">
        <x:v>11</x:v>
      </x:c>
      <x:c r="J240" s="43" t="n">
        <x:v>19</x:v>
      </x:c>
      <x:c r="K240" s="43" t="str">
        <x:v>Boarding school</x:v>
      </x:c>
      <x:c r="L240" s="43" t="str">
        <x:v>Has a sixth form</x:v>
      </x:c>
      <x:c r="M240" s="43" t="n">
        <x:v>185</x:v>
      </x:c>
      <x:c r="N240" s="43" t="str">
        <x:v>https://www.elmhurstdance.co.uk</x:v>
      </x:c>
      <x:c r="O240" s="43" t="str">
        <x:v>01214726655</x:v>
      </x:c>
      <x:c r="P240" s="43" t="str"/>
      <x:c r="Q240" s="43" t="str"/>
      <x:c r="R240" s="43" t="str">
        <x:v>Queued for contact research</x:v>
      </x:c>
      <x:c r="S240" s="43" t="str">
        <x:v>Not reviewed</x:v>
      </x:c>
      <x:c r="T240" s="43" t="str">
        <x:v>Hold</x:v>
      </x:c>
      <x:c r="U240" s="43" t="str">
        <x:v>No</x:v>
      </x:c>
      <x:c r="V240" s="44"/>
      <x:c r="W240" s="43" t="str"/>
      <x:c r="X240" s="43" t="str"/>
      <x:c r="Y240" s="43" t="str"/>
      <x:c r="Z240" s="43" t="str">
        <x:v>https://www.get-information-schools.service.gov.uk/Downloads</x:v>
      </x:c>
    </x:row>
    <x:row r="241">
      <x:c r="A241" s="43" t="str">
        <x:v>UK independent</x:v>
      </x:c>
      <x:c r="B241" s="43" t="str">
        <x:v>113583</x:v>
      </x:c>
      <x:c r="C241" s="43" t="n">
        <x:f>IF(K241="Boarding school",30,0)+IF(J241&gt;=18,20,0)+IF(I241&lt;=11,10,0)+IF(L241="Has a sixth form",15,0)+IF(M241&gt;=200,10,0)+IF(N241&lt;&gt;"",10,0)</x:f>
        <x:v>85</x:v>
      </x:c>
      <x:c r="D241" s="43" t="str">
        <x:f>IF(C241&gt;=85,"A",IF(C241&gt;=65,"B","C"))</x:f>
        <x:v>A</x:v>
      </x:c>
      <x:c r="E241" s="43" t="str">
        <x:v>St John's School</x:v>
      </x:c>
      <x:c r="F241" s="43" t="str">
        <x:v>Sidmouth</x:v>
      </x:c>
      <x:c r="G241" s="43" t="str">
        <x:v>Devon</x:v>
      </x:c>
      <x:c r="H241" s="43" t="str">
        <x:v>EX10 8RG</x:v>
      </x:c>
      <x:c r="I241" s="43" t="n">
        <x:v>2</x:v>
      </x:c>
      <x:c r="J241" s="43" t="n">
        <x:v>19</x:v>
      </x:c>
      <x:c r="K241" s="43" t="str">
        <x:v>Boarding school</x:v>
      </x:c>
      <x:c r="L241" s="43" t="str">
        <x:v>Has a sixth form</x:v>
      </x:c>
      <x:c r="M241" s="43" t="n">
        <x:v>182</x:v>
      </x:c>
      <x:c r="N241" s="43" t="str">
        <x:v>https://www.stjohnsdevon.co.uk</x:v>
      </x:c>
      <x:c r="O241" s="43" t="str">
        <x:v>01395513984</x:v>
      </x:c>
      <x:c r="P241" s="43" t="str"/>
      <x:c r="Q241" s="43" t="str"/>
      <x:c r="R241" s="43" t="str">
        <x:v>Queued for contact research</x:v>
      </x:c>
      <x:c r="S241" s="43" t="str">
        <x:v>Not reviewed</x:v>
      </x:c>
      <x:c r="T241" s="43" t="str">
        <x:v>Hold</x:v>
      </x:c>
      <x:c r="U241" s="43" t="str">
        <x:v>No</x:v>
      </x:c>
      <x:c r="V241" s="44"/>
      <x:c r="W241" s="43" t="str"/>
      <x:c r="X241" s="43" t="str"/>
      <x:c r="Y241" s="43" t="str"/>
      <x:c r="Z241" s="43" t="str">
        <x:v>https://www.get-information-schools.service.gov.uk/Downloads</x:v>
      </x:c>
    </x:row>
    <x:row r="242">
      <x:c r="A242" s="43" t="str">
        <x:v>UK independent</x:v>
      </x:c>
      <x:c r="B242" s="43" t="str">
        <x:v>121245</x:v>
      </x:c>
      <x:c r="C242" s="43" t="n">
        <x:f>IF(K242="Boarding school",30,0)+IF(J242&gt;=18,20,0)+IF(I242&lt;=11,10,0)+IF(L242="Has a sixth form",15,0)+IF(M242&gt;=200,10,0)+IF(N242&lt;&gt;"",10,0)</x:f>
        <x:v>85</x:v>
      </x:c>
      <x:c r="D242" s="43" t="str">
        <x:f>IF(C242&gt;=85,"A",IF(C242&gt;=65,"B","C"))</x:f>
        <x:v>A</x:v>
      </x:c>
      <x:c r="E242" s="43" t="str">
        <x:v>Thetford Grammar School</x:v>
      </x:c>
      <x:c r="F242" s="43" t="str"/>
      <x:c r="G242" s="43" t="str"/>
      <x:c r="H242" s="43" t="str">
        <x:v>IP24 3AF</x:v>
      </x:c>
      <x:c r="I242" s="43" t="n">
        <x:v>3</x:v>
      </x:c>
      <x:c r="J242" s="43" t="n">
        <x:v>19</x:v>
      </x:c>
      <x:c r="K242" s="43" t="str">
        <x:v>Boarding school</x:v>
      </x:c>
      <x:c r="L242" s="43" t="str">
        <x:v>Has a sixth form</x:v>
      </x:c>
      <x:c r="M242" s="43" t="n">
        <x:v>180</x:v>
      </x:c>
      <x:c r="N242" s="43" t="str">
        <x:v>https://www.thetfordgrammar.co.uk</x:v>
      </x:c>
      <x:c r="O242" s="43" t="str">
        <x:v>01842752840</x:v>
      </x:c>
      <x:c r="P242" s="43" t="str"/>
      <x:c r="Q242" s="43" t="str"/>
      <x:c r="R242" s="43" t="str">
        <x:v>Queued for contact research</x:v>
      </x:c>
      <x:c r="S242" s="43" t="str">
        <x:v>Not reviewed</x:v>
      </x:c>
      <x:c r="T242" s="43" t="str">
        <x:v>Hold</x:v>
      </x:c>
      <x:c r="U242" s="43" t="str">
        <x:v>No</x:v>
      </x:c>
      <x:c r="V242" s="44"/>
      <x:c r="W242" s="43" t="str"/>
      <x:c r="X242" s="43" t="str"/>
      <x:c r="Y242" s="43" t="str"/>
      <x:c r="Z242" s="43" t="str">
        <x:v>https://www.get-information-schools.service.gov.uk/Downloads</x:v>
      </x:c>
    </x:row>
    <x:row r="243">
      <x:c r="A243" s="43" t="str">
        <x:v>UK independent</x:v>
      </x:c>
      <x:c r="B243" s="43" t="str">
        <x:v>123602</x:v>
      </x:c>
      <x:c r="C243" s="43" t="n">
        <x:f>IF(K243="Boarding school",30,0)+IF(J243&gt;=18,20,0)+IF(I243&lt;=11,10,0)+IF(L243="Has a sixth form",15,0)+IF(M243&gt;=200,10,0)+IF(N243&lt;&gt;"",10,0)</x:f>
        <x:v>85</x:v>
      </x:c>
      <x:c r="D243" s="43" t="str">
        <x:f>IF(C243&gt;=85,"A",IF(C243&gt;=65,"B","C"))</x:f>
        <x:v>A</x:v>
      </x:c>
      <x:c r="E243" s="43" t="str">
        <x:v>Adcote School for Girls</x:v>
      </x:c>
      <x:c r="F243" s="43" t="str">
        <x:v>Shrewsbury</x:v>
      </x:c>
      <x:c r="G243" s="43" t="str">
        <x:v>Shropshire</x:v>
      </x:c>
      <x:c r="H243" s="43" t="str">
        <x:v>SY4 2JY</x:v>
      </x:c>
      <x:c r="I243" s="43" t="n">
        <x:v>4</x:v>
      </x:c>
      <x:c r="J243" s="43" t="n">
        <x:v>18</x:v>
      </x:c>
      <x:c r="K243" s="43" t="str">
        <x:v>Boarding school</x:v>
      </x:c>
      <x:c r="L243" s="43" t="str">
        <x:v>Has a sixth form</x:v>
      </x:c>
      <x:c r="M243" s="43" t="n">
        <x:v>178</x:v>
      </x:c>
      <x:c r="N243" s="43" t="str">
        <x:v>http://www.adcoteschool.co.uk</x:v>
      </x:c>
      <x:c r="O243" s="43" t="str">
        <x:v>01939260202</x:v>
      </x:c>
      <x:c r="P243" s="43" t="str"/>
      <x:c r="Q243" s="43" t="str"/>
      <x:c r="R243" s="43" t="str">
        <x:v>Queued for contact research</x:v>
      </x:c>
      <x:c r="S243" s="43" t="str">
        <x:v>Not reviewed</x:v>
      </x:c>
      <x:c r="T243" s="43" t="str">
        <x:v>Hold</x:v>
      </x:c>
      <x:c r="U243" s="43" t="str">
        <x:v>No</x:v>
      </x:c>
      <x:c r="V243" s="44"/>
      <x:c r="W243" s="43" t="str"/>
      <x:c r="X243" s="43" t="str"/>
      <x:c r="Y243" s="43" t="str"/>
      <x:c r="Z243" s="43" t="str">
        <x:v>https://www.get-information-schools.service.gov.uk/Downloads</x:v>
      </x:c>
    </x:row>
    <x:row r="244">
      <x:c r="A244" s="43" t="str">
        <x:v>UK independent</x:v>
      </x:c>
      <x:c r="B244" s="43" t="str">
        <x:v>102615</x:v>
      </x:c>
      <x:c r="C244" s="43" t="n">
        <x:f>IF(K244="Boarding school",30,0)+IF(J244&gt;=18,20,0)+IF(I244&lt;=11,10,0)+IF(L244="Has a sixth form",15,0)+IF(M244&gt;=200,10,0)+IF(N244&lt;&gt;"",10,0)</x:f>
        <x:v>85</x:v>
      </x:c>
      <x:c r="D244" s="43" t="str">
        <x:f>IF(C244&gt;=85,"A",IF(C244&gt;=65,"B","C"))</x:f>
        <x:v>A</x:v>
      </x:c>
      <x:c r="E244" s="43" t="str">
        <x:v>Marymount International School</x:v>
      </x:c>
      <x:c r="F244" s="43" t="str">
        <x:v>Kingston upon Thames</x:v>
      </x:c>
      <x:c r="G244" s="43" t="str">
        <x:v>Surrey</x:v>
      </x:c>
      <x:c r="H244" s="43" t="str">
        <x:v>KT2 7PE</x:v>
      </x:c>
      <x:c r="I244" s="43" t="n">
        <x:v>11</x:v>
      </x:c>
      <x:c r="J244" s="43" t="n">
        <x:v>18</x:v>
      </x:c>
      <x:c r="K244" s="43" t="str">
        <x:v>Boarding school</x:v>
      </x:c>
      <x:c r="L244" s="43" t="str">
        <x:v>Has a sixth form</x:v>
      </x:c>
      <x:c r="M244" s="43" t="n">
        <x:v>178</x:v>
      </x:c>
      <x:c r="N244" s="43" t="str">
        <x:v>http://www.marymountlondon.com</x:v>
      </x:c>
      <x:c r="O244" s="43" t="str">
        <x:v>02089490571</x:v>
      </x:c>
      <x:c r="P244" s="43" t="str"/>
      <x:c r="Q244" s="43" t="str"/>
      <x:c r="R244" s="43" t="str">
        <x:v>Queued for contact research</x:v>
      </x:c>
      <x:c r="S244" s="43" t="str">
        <x:v>Not reviewed</x:v>
      </x:c>
      <x:c r="T244" s="43" t="str">
        <x:v>Hold</x:v>
      </x:c>
      <x:c r="U244" s="43" t="str">
        <x:v>No</x:v>
      </x:c>
      <x:c r="V244" s="44"/>
      <x:c r="W244" s="43" t="str"/>
      <x:c r="X244" s="43" t="str"/>
      <x:c r="Y244" s="43" t="str"/>
      <x:c r="Z244" s="43" t="str">
        <x:v>https://www.get-information-schools.service.gov.uk/Downloads</x:v>
      </x:c>
    </x:row>
    <x:row r="245">
      <x:c r="A245" s="43" t="str">
        <x:v>UK independent</x:v>
      </x:c>
      <x:c r="B245" s="43" t="str">
        <x:v>126132</x:v>
      </x:c>
      <x:c r="C245" s="43" t="n">
        <x:f>IF(K245="Boarding school",30,0)+IF(J245&gt;=18,20,0)+IF(I245&lt;=11,10,0)+IF(L245="Has a sixth form",15,0)+IF(M245&gt;=200,10,0)+IF(N245&lt;&gt;"",10,0)</x:f>
        <x:v>85</x:v>
      </x:c>
      <x:c r="D245" s="43" t="str">
        <x:f>IF(C245&gt;=85,"A",IF(C245&gt;=65,"B","C"))</x:f>
        <x:v>A</x:v>
      </x:c>
      <x:c r="E245" s="43" t="str">
        <x:v>Rikkyo School-in-England</x:v>
      </x:c>
      <x:c r="F245" s="43" t="str">
        <x:v>Rudgwick</x:v>
      </x:c>
      <x:c r="G245" s="43" t="str">
        <x:v>West Sussex</x:v>
      </x:c>
      <x:c r="H245" s="43" t="str">
        <x:v>RH12 3BE</x:v>
      </x:c>
      <x:c r="I245" s="43" t="n">
        <x:v>10</x:v>
      </x:c>
      <x:c r="J245" s="43" t="n">
        <x:v>18</x:v>
      </x:c>
      <x:c r="K245" s="43" t="str">
        <x:v>Boarding school</x:v>
      </x:c>
      <x:c r="L245" s="43" t="str">
        <x:v>Has a sixth form</x:v>
      </x:c>
      <x:c r="M245" s="43" t="n">
        <x:v>177</x:v>
      </x:c>
      <x:c r="N245" s="43" t="str">
        <x:v>https://www.rikkyo.co.uk</x:v>
      </x:c>
      <x:c r="O245" s="43" t="str">
        <x:v>01403822107</x:v>
      </x:c>
      <x:c r="P245" s="43" t="str"/>
      <x:c r="Q245" s="43" t="str"/>
      <x:c r="R245" s="43" t="str">
        <x:v>Queued for contact research</x:v>
      </x:c>
      <x:c r="S245" s="43" t="str">
        <x:v>Not reviewed</x:v>
      </x:c>
      <x:c r="T245" s="43" t="str">
        <x:v>Hold</x:v>
      </x:c>
      <x:c r="U245" s="43" t="str">
        <x:v>No</x:v>
      </x:c>
      <x:c r="V245" s="44"/>
      <x:c r="W245" s="43" t="str"/>
      <x:c r="X245" s="43" t="str"/>
      <x:c r="Y245" s="43" t="str"/>
      <x:c r="Z245" s="43" t="str">
        <x:v>https://www.get-information-schools.service.gov.uk/Downloads</x:v>
      </x:c>
    </x:row>
    <x:row r="246">
      <x:c r="A246" s="43" t="str">
        <x:v>UK independent</x:v>
      </x:c>
      <x:c r="B246" s="43" t="str">
        <x:v>103876</x:v>
      </x:c>
      <x:c r="C246" s="43" t="n">
        <x:f>IF(K246="Boarding school",30,0)+IF(J246&gt;=18,20,0)+IF(I246&lt;=11,10,0)+IF(L246="Has a sixth form",15,0)+IF(M246&gt;=200,10,0)+IF(N246&lt;&gt;"",10,0)</x:f>
        <x:v>85</x:v>
      </x:c>
      <x:c r="D246" s="43" t="str">
        <x:f>IF(C246&gt;=85,"A",IF(C246&gt;=65,"B","C"))</x:f>
        <x:v>A</x:v>
      </x:c>
      <x:c r="E246" s="43" t="str">
        <x:v>Elmfield Rudolf Steiner School Limited</x:v>
      </x:c>
      <x:c r="F246" s="43" t="str">
        <x:v>Stourbridge</x:v>
      </x:c>
      <x:c r="G246" s="43" t="str">
        <x:v>West Midlands</x:v>
      </x:c>
      <x:c r="H246" s="43" t="str">
        <x:v>DY8 2EA</x:v>
      </x:c>
      <x:c r="I246" s="43" t="n">
        <x:v>3</x:v>
      </x:c>
      <x:c r="J246" s="43" t="n">
        <x:v>18</x:v>
      </x:c>
      <x:c r="K246" s="43" t="str">
        <x:v>Boarding school</x:v>
      </x:c>
      <x:c r="L246" s="43" t="str">
        <x:v>Has a sixth form</x:v>
      </x:c>
      <x:c r="M246" s="43" t="n">
        <x:v>174</x:v>
      </x:c>
      <x:c r="N246" s="43" t="str">
        <x:v>https://www.elmfield.com</x:v>
      </x:c>
      <x:c r="O246" s="43" t="str">
        <x:v>01384394633</x:v>
      </x:c>
      <x:c r="P246" s="43" t="str"/>
      <x:c r="Q246" s="43" t="str"/>
      <x:c r="R246" s="43" t="str">
        <x:v>Queued for contact research</x:v>
      </x:c>
      <x:c r="S246" s="43" t="str">
        <x:v>Not reviewed</x:v>
      </x:c>
      <x:c r="T246" s="43" t="str">
        <x:v>Hold</x:v>
      </x:c>
      <x:c r="U246" s="43" t="str">
        <x:v>No</x:v>
      </x:c>
      <x:c r="V246" s="44"/>
      <x:c r="W246" s="43" t="str"/>
      <x:c r="X246" s="43" t="str"/>
      <x:c r="Y246" s="43" t="str"/>
      <x:c r="Z246" s="43" t="str">
        <x:v>https://www.get-information-schools.service.gov.uk/Downloads</x:v>
      </x:c>
    </x:row>
    <x:row r="247">
      <x:c r="A247" s="43" t="str">
        <x:v>UK independent</x:v>
      </x:c>
      <x:c r="B247" s="43" t="str">
        <x:v>100536</x:v>
      </x:c>
      <x:c r="C247" s="43" t="n">
        <x:f>IF(K247="Boarding school",30,0)+IF(J247&gt;=18,20,0)+IF(I247&lt;=11,10,0)+IF(L247="Has a sixth form",15,0)+IF(M247&gt;=200,10,0)+IF(N247&lt;&gt;"",10,0)</x:f>
        <x:v>85</x:v>
      </x:c>
      <x:c r="D247" s="43" t="str">
        <x:f>IF(C247&gt;=85,"A",IF(C247&gt;=65,"B","C"))</x:f>
        <x:v>A</x:v>
      </x:c>
      <x:c r="E247" s="43" t="str">
        <x:v>Kensington Park School</x:v>
      </x:c>
      <x:c r="F247" s="43" t="str">
        <x:v>London</x:v>
      </x:c>
      <x:c r="G247" s="43" t="str"/>
      <x:c r="H247" s="43" t="str">
        <x:v>W2 4AT</x:v>
      </x:c>
      <x:c r="I247" s="43" t="n">
        <x:v>11</x:v>
      </x:c>
      <x:c r="J247" s="43" t="n">
        <x:v>20</x:v>
      </x:c>
      <x:c r="K247" s="43" t="str">
        <x:v>Boarding school</x:v>
      </x:c>
      <x:c r="L247" s="43" t="str">
        <x:v>Has a sixth form</x:v>
      </x:c>
      <x:c r="M247" s="43" t="n">
        <x:v>173</x:v>
      </x:c>
      <x:c r="N247" s="43" t="str">
        <x:v>http://www.kps.co.uk/</x:v>
      </x:c>
      <x:c r="O247" s="43" t="str">
        <x:v>02076164400</x:v>
      </x:c>
      <x:c r="P247" s="43" t="str"/>
      <x:c r="Q247" s="43" t="str"/>
      <x:c r="R247" s="43" t="str">
        <x:v>Queued for contact research</x:v>
      </x:c>
      <x:c r="S247" s="43" t="str">
        <x:v>Not reviewed</x:v>
      </x:c>
      <x:c r="T247" s="43" t="str">
        <x:v>Hold</x:v>
      </x:c>
      <x:c r="U247" s="43" t="str">
        <x:v>No</x:v>
      </x:c>
      <x:c r="V247" s="44"/>
      <x:c r="W247" s="43" t="str"/>
      <x:c r="X247" s="43" t="str"/>
      <x:c r="Y247" s="43" t="str"/>
      <x:c r="Z247" s="43" t="str">
        <x:v>https://www.get-information-schools.service.gov.uk/Downloads</x:v>
      </x:c>
    </x:row>
    <x:row r="248">
      <x:c r="A248" s="43" t="str">
        <x:v>UK independent</x:v>
      </x:c>
      <x:c r="B248" s="43" t="str">
        <x:v>117018</x:v>
      </x:c>
      <x:c r="C248" s="43" t="n">
        <x:f>IF(K248="Boarding school",30,0)+IF(J248&gt;=18,20,0)+IF(I248&lt;=11,10,0)+IF(L248="Has a sixth form",15,0)+IF(M248&gt;=200,10,0)+IF(N248&lt;&gt;"",10,0)</x:f>
        <x:v>85</x:v>
      </x:c>
      <x:c r="D248" s="43" t="str">
        <x:f>IF(C248&gt;=85,"A",IF(C248&gt;=65,"B","C"))</x:f>
        <x:v>A</x:v>
      </x:c>
      <x:c r="E248" s="43" t="str">
        <x:v>Malvern St James</x:v>
      </x:c>
      <x:c r="F248" s="43" t="str">
        <x:v>Malvern</x:v>
      </x:c>
      <x:c r="G248" s="43" t="str">
        <x:v>Worcestershire</x:v>
      </x:c>
      <x:c r="H248" s="43" t="str">
        <x:v>WR14 3BA</x:v>
      </x:c>
      <x:c r="I248" s="43" t="n">
        <x:v>3</x:v>
      </x:c>
      <x:c r="J248" s="43" t="n">
        <x:v>20</x:v>
      </x:c>
      <x:c r="K248" s="43" t="str">
        <x:v>Boarding school</x:v>
      </x:c>
      <x:c r="L248" s="43" t="str">
        <x:v>Has a sixth form</x:v>
      </x:c>
      <x:c r="M248" s="43" t="n">
        <x:v>171</x:v>
      </x:c>
      <x:c r="N248" s="43" t="str">
        <x:v>http://www.malvernstjames.co.uk</x:v>
      </x:c>
      <x:c r="O248" s="43" t="str">
        <x:v>01684892288</x:v>
      </x:c>
      <x:c r="P248" s="43" t="str"/>
      <x:c r="Q248" s="43" t="str"/>
      <x:c r="R248" s="43" t="str">
        <x:v>Queued for contact research</x:v>
      </x:c>
      <x:c r="S248" s="43" t="str">
        <x:v>Not reviewed</x:v>
      </x:c>
      <x:c r="T248" s="43" t="str">
        <x:v>Hold</x:v>
      </x:c>
      <x:c r="U248" s="43" t="str">
        <x:v>No</x:v>
      </x:c>
      <x:c r="V248" s="44"/>
      <x:c r="W248" s="43" t="str"/>
      <x:c r="X248" s="43" t="str"/>
      <x:c r="Y248" s="43" t="str"/>
      <x:c r="Z248" s="43" t="str">
        <x:v>https://www.get-information-schools.service.gov.uk/Downloads</x:v>
      </x:c>
    </x:row>
    <x:row r="249">
      <x:c r="A249" s="43" t="str">
        <x:v>UK independent</x:v>
      </x:c>
      <x:c r="B249" s="43" t="str">
        <x:v>134140</x:v>
      </x:c>
      <x:c r="C249" s="43" t="n">
        <x:f>IF(K249="Boarding school",30,0)+IF(J249&gt;=18,20,0)+IF(I249&lt;=11,10,0)+IF(L249="Has a sixth form",15,0)+IF(M249&gt;=200,10,0)+IF(N249&lt;&gt;"",10,0)</x:f>
        <x:v>85</x:v>
      </x:c>
      <x:c r="D249" s="43" t="str">
        <x:f>IF(C249&gt;=85,"A",IF(C249&gt;=65,"B","C"))</x:f>
        <x:v>A</x:v>
      </x:c>
      <x:c r="E249" s="43" t="str">
        <x:v>Darul Uloom Dawatul Imaan</x:v>
      </x:c>
      <x:c r="F249" s="43" t="str">
        <x:v>Bradford</x:v>
      </x:c>
      <x:c r="G249" s="43" t="str">
        <x:v>West Yorkshire</x:v>
      </x:c>
      <x:c r="H249" s="43" t="str">
        <x:v>BD4 9PH</x:v>
      </x:c>
      <x:c r="I249" s="43" t="n">
        <x:v>11</x:v>
      </x:c>
      <x:c r="J249" s="43" t="n">
        <x:v>25</x:v>
      </x:c>
      <x:c r="K249" s="43" t="str">
        <x:v>Boarding school</x:v>
      </x:c>
      <x:c r="L249" s="43" t="str">
        <x:v>Has a sixth form</x:v>
      </x:c>
      <x:c r="M249" s="43" t="n">
        <x:v>169</x:v>
      </x:c>
      <x:c r="N249" s="43" t="str">
        <x:v>https://www.dawatulimaan.org</x:v>
      </x:c>
      <x:c r="O249" s="43" t="str">
        <x:v>01274402233</x:v>
      </x:c>
      <x:c r="P249" s="43" t="str"/>
      <x:c r="Q249" s="43" t="str"/>
      <x:c r="R249" s="43" t="str">
        <x:v>Queued for contact research</x:v>
      </x:c>
      <x:c r="S249" s="43" t="str">
        <x:v>Not reviewed</x:v>
      </x:c>
      <x:c r="T249" s="43" t="str">
        <x:v>Hold</x:v>
      </x:c>
      <x:c r="U249" s="43" t="str">
        <x:v>No</x:v>
      </x:c>
      <x:c r="V249" s="44"/>
      <x:c r="W249" s="43" t="str"/>
      <x:c r="X249" s="43" t="str"/>
      <x:c r="Y249" s="43" t="str"/>
      <x:c r="Z249" s="43" t="str">
        <x:v>https://www.get-information-schools.service.gov.uk/Downloads</x:v>
      </x:c>
    </x:row>
    <x:row r="250">
      <x:c r="A250" s="43" t="str">
        <x:v>UK independent</x:v>
      </x:c>
      <x:c r="B250" s="43" t="str">
        <x:v>121733</x:v>
      </x:c>
      <x:c r="C250" s="43" t="n">
        <x:f>IF(K250="Boarding school",30,0)+IF(J250&gt;=18,20,0)+IF(I250&lt;=11,10,0)+IF(L250="Has a sixth form",15,0)+IF(M250&gt;=200,10,0)+IF(N250&lt;&gt;"",10,0)</x:f>
        <x:v>85</x:v>
      </x:c>
      <x:c r="D250" s="43" t="str">
        <x:f>IF(C250&gt;=85,"A",IF(C250&gt;=65,"B","C"))</x:f>
        <x:v>A</x:v>
      </x:c>
      <x:c r="E250" s="43" t="str">
        <x:v>Fyling Hall School</x:v>
      </x:c>
      <x:c r="F250" s="43" t="str">
        <x:v>Whitby</x:v>
      </x:c>
      <x:c r="G250" s="43" t="str">
        <x:v>North Yorkshire</x:v>
      </x:c>
      <x:c r="H250" s="43" t="str">
        <x:v>YO22 4QD</x:v>
      </x:c>
      <x:c r="I250" s="43" t="n">
        <x:v>4</x:v>
      </x:c>
      <x:c r="J250" s="43" t="n">
        <x:v>19</x:v>
      </x:c>
      <x:c r="K250" s="43" t="str">
        <x:v>Boarding school</x:v>
      </x:c>
      <x:c r="L250" s="43" t="str">
        <x:v>Has a sixth form</x:v>
      </x:c>
      <x:c r="M250" s="43" t="n">
        <x:v>168</x:v>
      </x:c>
      <x:c r="N250" s="43" t="str">
        <x:v>https://www.fylinghall.org</x:v>
      </x:c>
      <x:c r="O250" s="43" t="str">
        <x:v>01947880353</x:v>
      </x:c>
      <x:c r="P250" s="43" t="str"/>
      <x:c r="Q250" s="43" t="str"/>
      <x:c r="R250" s="43" t="str">
        <x:v>Queued for contact research</x:v>
      </x:c>
      <x:c r="S250" s="43" t="str">
        <x:v>Not reviewed</x:v>
      </x:c>
      <x:c r="T250" s="43" t="str">
        <x:v>Hold</x:v>
      </x:c>
      <x:c r="U250" s="43" t="str">
        <x:v>No</x:v>
      </x:c>
      <x:c r="V250" s="44"/>
      <x:c r="W250" s="43" t="str"/>
      <x:c r="X250" s="43" t="str"/>
      <x:c r="Y250" s="43" t="str"/>
      <x:c r="Z250" s="43" t="str">
        <x:v>https://www.get-information-schools.service.gov.uk/Downloads</x:v>
      </x:c>
    </x:row>
    <x:row r="251">
      <x:c r="A251" s="43" t="str">
        <x:v>UK independent</x:v>
      </x:c>
      <x:c r="B251" s="43" t="str">
        <x:v>131119</x:v>
      </x:c>
      <x:c r="C251" s="43" t="n">
        <x:f>IF(K251="Boarding school",30,0)+IF(J251&gt;=18,20,0)+IF(I251&lt;=11,10,0)+IF(L251="Has a sixth form",15,0)+IF(M251&gt;=200,10,0)+IF(N251&lt;&gt;"",10,0)</x:f>
        <x:v>85</x:v>
      </x:c>
      <x:c r="D251" s="43" t="str">
        <x:f>IF(C251&gt;=85,"A",IF(C251&gt;=65,"B","C"))</x:f>
        <x:v>A</x:v>
      </x:c>
      <x:c r="E251" s="43" t="str">
        <x:v>Jamia Al-Hudaa Residential College</x:v>
      </x:c>
      <x:c r="F251" s="43" t="str">
        <x:v>Nottingham</x:v>
      </x:c>
      <x:c r="G251" s="43" t="str">
        <x:v>Nottinghamshire</x:v>
      </x:c>
      <x:c r="H251" s="43" t="str">
        <x:v>NG3 5TT</x:v>
      </x:c>
      <x:c r="I251" s="43" t="n">
        <x:v>11</x:v>
      </x:c>
      <x:c r="J251" s="43" t="n">
        <x:v>19</x:v>
      </x:c>
      <x:c r="K251" s="43" t="str">
        <x:v>Boarding school</x:v>
      </x:c>
      <x:c r="L251" s="43" t="str">
        <x:v>Has a sixth form</x:v>
      </x:c>
      <x:c r="M251" s="43" t="n">
        <x:v>168</x:v>
      </x:c>
      <x:c r="N251" s="43" t="str">
        <x:v>https://www.jamiaalhudaa.com</x:v>
      </x:c>
      <x:c r="O251" s="43" t="str">
        <x:v>01159690800</x:v>
      </x:c>
      <x:c r="P251" s="43" t="str"/>
      <x:c r="Q251" s="43" t="str"/>
      <x:c r="R251" s="43" t="str">
        <x:v>Queued for contact research</x:v>
      </x:c>
      <x:c r="S251" s="43" t="str">
        <x:v>Not reviewed</x:v>
      </x:c>
      <x:c r="T251" s="43" t="str">
        <x:v>Hold</x:v>
      </x:c>
      <x:c r="U251" s="43" t="str">
        <x:v>No</x:v>
      </x:c>
      <x:c r="V251" s="44"/>
      <x:c r="W251" s="43" t="str"/>
      <x:c r="X251" s="43" t="str"/>
      <x:c r="Y251" s="43" t="str"/>
      <x:c r="Z251" s="43" t="str">
        <x:v>https://www.get-information-schools.service.gov.uk/Downloads</x:v>
      </x:c>
    </x:row>
    <x:row r="252">
      <x:c r="A252" s="43" t="str">
        <x:v>UK independent</x:v>
      </x:c>
      <x:c r="B252" s="43" t="str">
        <x:v>136947</x:v>
      </x:c>
      <x:c r="C252" s="43" t="n">
        <x:f>IF(K252="Boarding school",30,0)+IF(J252&gt;=18,20,0)+IF(I252&lt;=11,10,0)+IF(L252="Has a sixth form",15,0)+IF(M252&gt;=200,10,0)+IF(N252&lt;&gt;"",10,0)</x:f>
        <x:v>85</x:v>
      </x:c>
      <x:c r="D252" s="43" t="str">
        <x:f>IF(C252&gt;=85,"A",IF(C252&gt;=65,"B","C"))</x:f>
        <x:v>A</x:v>
      </x:c>
      <x:c r="E252" s="43" t="str">
        <x:v>The Montessori Place</x:v>
      </x:c>
      <x:c r="F252" s="43" t="str">
        <x:v>Hove</x:v>
      </x:c>
      <x:c r="G252" s="43" t="str">
        <x:v>East Sussex</x:v>
      </x:c>
      <x:c r="H252" s="43" t="str">
        <x:v>BN3 3ER</x:v>
      </x:c>
      <x:c r="I252" s="43" t="n">
        <x:v>1</x:v>
      </x:c>
      <x:c r="J252" s="43" t="n">
        <x:v>19</x:v>
      </x:c>
      <x:c r="K252" s="43" t="str">
        <x:v>Boarding school</x:v>
      </x:c>
      <x:c r="L252" s="43" t="str">
        <x:v>Has a sixth form</x:v>
      </x:c>
      <x:c r="M252" s="43" t="n">
        <x:v>165</x:v>
      </x:c>
      <x:c r="N252" s="43" t="str">
        <x:v>https://themontessoriplace.org.uk</x:v>
      </x:c>
      <x:c r="O252" s="43" t="str">
        <x:v>01273773764</x:v>
      </x:c>
      <x:c r="P252" s="43" t="str"/>
      <x:c r="Q252" s="43" t="str"/>
      <x:c r="R252" s="43" t="str">
        <x:v>Queued for contact research</x:v>
      </x:c>
      <x:c r="S252" s="43" t="str">
        <x:v>Not reviewed</x:v>
      </x:c>
      <x:c r="T252" s="43" t="str">
        <x:v>Hold</x:v>
      </x:c>
      <x:c r="U252" s="43" t="str">
        <x:v>No</x:v>
      </x:c>
      <x:c r="V252" s="44"/>
      <x:c r="W252" s="43" t="str"/>
      <x:c r="X252" s="43" t="str"/>
      <x:c r="Y252" s="43" t="str"/>
      <x:c r="Z252" s="43" t="str">
        <x:v>https://www.get-information-schools.service.gov.uk/Downloads</x:v>
      </x:c>
    </x:row>
    <x:row r="253">
      <x:c r="A253" s="43" t="str">
        <x:v>UK independent</x:v>
      </x:c>
      <x:c r="B253" s="43" t="str">
        <x:v>110117</x:v>
      </x:c>
      <x:c r="C253" s="43" t="n">
        <x:f>IF(K253="Boarding school",30,0)+IF(J253&gt;=18,20,0)+IF(I253&lt;=11,10,0)+IF(L253="Has a sixth form",15,0)+IF(M253&gt;=200,10,0)+IF(N253&lt;&gt;"",10,0)</x:f>
        <x:v>85</x:v>
      </x:c>
      <x:c r="D253" s="43" t="str">
        <x:f>IF(C253&gt;=85,"A",IF(C253&gt;=65,"B","C"))</x:f>
        <x:v>A</x:v>
      </x:c>
      <x:c r="E253" s="43" t="str">
        <x:v>Heathfield School</x:v>
      </x:c>
      <x:c r="F253" s="43" t="str">
        <x:v>Ascot</x:v>
      </x:c>
      <x:c r="G253" s="43" t="str">
        <x:v>Berkshire</x:v>
      </x:c>
      <x:c r="H253" s="43" t="str">
        <x:v>SL5 8BQ</x:v>
      </x:c>
      <x:c r="I253" s="43" t="n">
        <x:v>10</x:v>
      </x:c>
      <x:c r="J253" s="43" t="n">
        <x:v>19</x:v>
      </x:c>
      <x:c r="K253" s="43" t="str">
        <x:v>Boarding school</x:v>
      </x:c>
      <x:c r="L253" s="43" t="str">
        <x:v>Has a sixth form</x:v>
      </x:c>
      <x:c r="M253" s="43" t="n">
        <x:v>157</x:v>
      </x:c>
      <x:c r="N253" s="43" t="str">
        <x:v>https://www.heathfieldschool.net</x:v>
      </x:c>
      <x:c r="O253" s="43" t="str">
        <x:v>01344898343</x:v>
      </x:c>
      <x:c r="P253" s="43" t="str"/>
      <x:c r="Q253" s="43" t="str"/>
      <x:c r="R253" s="43" t="str">
        <x:v>Queued for contact research</x:v>
      </x:c>
      <x:c r="S253" s="43" t="str">
        <x:v>Not reviewed</x:v>
      </x:c>
      <x:c r="T253" s="43" t="str">
        <x:v>Hold</x:v>
      </x:c>
      <x:c r="U253" s="43" t="str">
        <x:v>No</x:v>
      </x:c>
      <x:c r="V253" s="44"/>
      <x:c r="W253" s="43" t="str"/>
      <x:c r="X253" s="43" t="str"/>
      <x:c r="Y253" s="43" t="str"/>
      <x:c r="Z253" s="43" t="str">
        <x:v>https://www.get-information-schools.service.gov.uk/Downloads</x:v>
      </x:c>
    </x:row>
    <x:row r="254">
      <x:c r="A254" s="43" t="str">
        <x:v>UK independent</x:v>
      </x:c>
      <x:c r="B254" s="43" t="str">
        <x:v>123294</x:v>
      </x:c>
      <x:c r="C254" s="43" t="n">
        <x:f>IF(K254="Boarding school",30,0)+IF(J254&gt;=18,20,0)+IF(I254&lt;=11,10,0)+IF(L254="Has a sixth form",15,0)+IF(M254&gt;=200,10,0)+IF(N254&lt;&gt;"",10,0)</x:f>
        <x:v>85</x:v>
      </x:c>
      <x:c r="D254" s="43" t="str">
        <x:f>IF(C254&gt;=85,"A",IF(C254&gt;=65,"B","C"))</x:f>
        <x:v>A</x:v>
      </x:c>
      <x:c r="E254" s="43" t="str">
        <x:v>Wychwood School</x:v>
      </x:c>
      <x:c r="F254" s="43" t="str">
        <x:v>Oxford</x:v>
      </x:c>
      <x:c r="G254" s="43" t="str">
        <x:v>Oxfordshire</x:v>
      </x:c>
      <x:c r="H254" s="43" t="str">
        <x:v>OX2 6JR</x:v>
      </x:c>
      <x:c r="I254" s="43" t="n">
        <x:v>10</x:v>
      </x:c>
      <x:c r="J254" s="43" t="n">
        <x:v>18</x:v>
      </x:c>
      <x:c r="K254" s="43" t="str">
        <x:v>Boarding school</x:v>
      </x:c>
      <x:c r="L254" s="43" t="str">
        <x:v>Has a sixth form</x:v>
      </x:c>
      <x:c r="M254" s="43" t="n">
        <x:v>150</x:v>
      </x:c>
      <x:c r="N254" s="43" t="str">
        <x:v>https://www.wychwoodschool.org</x:v>
      </x:c>
      <x:c r="O254" s="43" t="str">
        <x:v>01865557976</x:v>
      </x:c>
      <x:c r="P254" s="43" t="str"/>
      <x:c r="Q254" s="43" t="str"/>
      <x:c r="R254" s="43" t="str">
        <x:v>Queued for contact research</x:v>
      </x:c>
      <x:c r="S254" s="43" t="str">
        <x:v>Not reviewed</x:v>
      </x:c>
      <x:c r="T254" s="43" t="str">
        <x:v>Hold</x:v>
      </x:c>
      <x:c r="U254" s="43" t="str">
        <x:v>No</x:v>
      </x:c>
      <x:c r="V254" s="44"/>
      <x:c r="W254" s="43" t="str"/>
      <x:c r="X254" s="43" t="str"/>
      <x:c r="Y254" s="43" t="str"/>
      <x:c r="Z254" s="43" t="str">
        <x:v>https://www.get-information-schools.service.gov.uk/Downloads</x:v>
      </x:c>
    </x:row>
    <x:row r="255">
      <x:c r="A255" s="43" t="str">
        <x:v>UK independent</x:v>
      </x:c>
      <x:c r="B255" s="43" t="str">
        <x:v>120345</x:v>
      </x:c>
      <x:c r="C255" s="43" t="n">
        <x:f>IF(K255="Boarding school",30,0)+IF(J255&gt;=18,20,0)+IF(I255&lt;=11,10,0)+IF(L255="Has a sixth form",15,0)+IF(M255&gt;=200,10,0)+IF(N255&lt;&gt;"",10,0)</x:f>
        <x:v>85</x:v>
      </x:c>
      <x:c r="D255" s="43" t="str">
        <x:f>IF(C255&gt;=85,"A",IF(C255&gt;=65,"B","C"))</x:f>
        <x:v>A</x:v>
      </x:c>
      <x:c r="E255" s="43" t="str">
        <x:v>Darul Uloom Leicester</x:v>
      </x:c>
      <x:c r="F255" s="43" t="str">
        <x:v>Leicester</x:v>
      </x:c>
      <x:c r="G255" s="43" t="str">
        <x:v>Leicestershire</x:v>
      </x:c>
      <x:c r="H255" s="43" t="str">
        <x:v>LE4 5LN</x:v>
      </x:c>
      <x:c r="I255" s="43" t="n">
        <x:v>11</x:v>
      </x:c>
      <x:c r="J255" s="43" t="n">
        <x:v>23</x:v>
      </x:c>
      <x:c r="K255" s="43" t="str">
        <x:v>Boarding school</x:v>
      </x:c>
      <x:c r="L255" s="43" t="str">
        <x:v>Has a sixth form</x:v>
      </x:c>
      <x:c r="M255" s="43" t="n">
        <x:v>142</x:v>
      </x:c>
      <x:c r="N255" s="43" t="str">
        <x:v>https://www.darululoomleicester.org</x:v>
      </x:c>
      <x:c r="O255" s="43" t="str">
        <x:v>01162668922</x:v>
      </x:c>
      <x:c r="P255" s="43" t="str"/>
      <x:c r="Q255" s="43" t="str"/>
      <x:c r="R255" s="43" t="str">
        <x:v>Queued for contact research</x:v>
      </x:c>
      <x:c r="S255" s="43" t="str">
        <x:v>Not reviewed</x:v>
      </x:c>
      <x:c r="T255" s="43" t="str">
        <x:v>Hold</x:v>
      </x:c>
      <x:c r="U255" s="43" t="str">
        <x:v>No</x:v>
      </x:c>
      <x:c r="V255" s="44"/>
      <x:c r="W255" s="43" t="str"/>
      <x:c r="X255" s="43" t="str"/>
      <x:c r="Y255" s="43" t="str"/>
      <x:c r="Z255" s="43" t="str">
        <x:v>https://www.get-information-schools.service.gov.uk/Downloads</x:v>
      </x:c>
    </x:row>
    <x:row r="256">
      <x:c r="A256" s="43" t="str">
        <x:v>UK independent</x:v>
      </x:c>
      <x:c r="B256" s="43" t="str">
        <x:v>101695</x:v>
      </x:c>
      <x:c r="C256" s="43" t="n">
        <x:f>IF(K256="Boarding school",30,0)+IF(J256&gt;=18,20,0)+IF(I256&lt;=11,10,0)+IF(L256="Has a sixth form",15,0)+IF(M256&gt;=200,10,0)+IF(N256&lt;&gt;"",10,0)</x:f>
        <x:v>85</x:v>
      </x:c>
      <x:c r="D256" s="43" t="str">
        <x:f>IF(C256&gt;=85,"A",IF(C256&gt;=65,"B","C"))</x:f>
        <x:v>A</x:v>
      </x:c>
      <x:c r="E256" s="43" t="str">
        <x:v>Darul Uloom London School</x:v>
      </x:c>
      <x:c r="F256" s="43" t="str"/>
      <x:c r="G256" s="43" t="str"/>
      <x:c r="H256" s="43" t="str">
        <x:v>BR7 6SD</x:v>
      </x:c>
      <x:c r="I256" s="43" t="n">
        <x:v>11</x:v>
      </x:c>
      <x:c r="J256" s="43" t="n">
        <x:v>19</x:v>
      </x:c>
      <x:c r="K256" s="43" t="str">
        <x:v>Boarding school</x:v>
      </x:c>
      <x:c r="L256" s="43" t="str">
        <x:v>Has a sixth form</x:v>
      </x:c>
      <x:c r="M256" s="43" t="n">
        <x:v>130</x:v>
      </x:c>
      <x:c r="N256" s="43" t="str">
        <x:v>https://www.darululoomlondon.co.uk</x:v>
      </x:c>
      <x:c r="O256" s="43" t="str">
        <x:v>02082950637</x:v>
      </x:c>
      <x:c r="P256" s="43" t="str"/>
      <x:c r="Q256" s="43" t="str"/>
      <x:c r="R256" s="43" t="str">
        <x:v>Queued for contact research</x:v>
      </x:c>
      <x:c r="S256" s="43" t="str">
        <x:v>Not reviewed</x:v>
      </x:c>
      <x:c r="T256" s="43" t="str">
        <x:v>Hold</x:v>
      </x:c>
      <x:c r="U256" s="43" t="str">
        <x:v>No</x:v>
      </x:c>
      <x:c r="V256" s="44"/>
      <x:c r="W256" s="43" t="str"/>
      <x:c r="X256" s="43" t="str"/>
      <x:c r="Y256" s="43" t="str"/>
      <x:c r="Z256" s="43" t="str">
        <x:v>https://www.get-information-schools.service.gov.uk/Downloads</x:v>
      </x:c>
    </x:row>
    <x:row r="257">
      <x:c r="A257" s="43" t="str">
        <x:v>UK independent</x:v>
      </x:c>
      <x:c r="B257" s="43" t="str">
        <x:v>118991</x:v>
      </x:c>
      <x:c r="C257" s="43" t="n">
        <x:f>IF(K257="Boarding school",30,0)+IF(J257&gt;=18,20,0)+IF(I257&lt;=11,10,0)+IF(L257="Has a sixth form",15,0)+IF(M257&gt;=200,10,0)+IF(N257&lt;&gt;"",10,0)</x:f>
        <x:v>85</x:v>
      </x:c>
      <x:c r="D257" s="43" t="str">
        <x:f>IF(C257&gt;=85,"A",IF(C257&gt;=65,"B","C"))</x:f>
        <x:v>A</x:v>
      </x:c>
      <x:c r="E257" s="43" t="str">
        <x:v>Cobham Hall</x:v>
      </x:c>
      <x:c r="F257" s="43" t="str"/>
      <x:c r="G257" s="43" t="str">
        <x:v>Kent</x:v>
      </x:c>
      <x:c r="H257" s="43" t="str">
        <x:v>DA12 3BL</x:v>
      </x:c>
      <x:c r="I257" s="43" t="n">
        <x:v>11</x:v>
      </x:c>
      <x:c r="J257" s="43" t="n">
        <x:v>19</x:v>
      </x:c>
      <x:c r="K257" s="43" t="str">
        <x:v>Boarding school</x:v>
      </x:c>
      <x:c r="L257" s="43" t="str">
        <x:v>Has a sixth form</x:v>
      </x:c>
      <x:c r="M257" s="43" t="n">
        <x:v>112</x:v>
      </x:c>
      <x:c r="N257" s="43" t="str">
        <x:v>https://www.cobhamhall.com</x:v>
      </x:c>
      <x:c r="O257" s="43" t="str">
        <x:v>01474823371</x:v>
      </x:c>
      <x:c r="P257" s="43" t="str"/>
      <x:c r="Q257" s="43" t="str"/>
      <x:c r="R257" s="43" t="str">
        <x:v>Queued for contact research</x:v>
      </x:c>
      <x:c r="S257" s="43" t="str">
        <x:v>Not reviewed</x:v>
      </x:c>
      <x:c r="T257" s="43" t="str">
        <x:v>Hold</x:v>
      </x:c>
      <x:c r="U257" s="43" t="str">
        <x:v>No</x:v>
      </x:c>
      <x:c r="V257" s="44"/>
      <x:c r="W257" s="43" t="str"/>
      <x:c r="X257" s="43" t="str"/>
      <x:c r="Y257" s="43" t="str"/>
      <x:c r="Z257" s="43" t="str">
        <x:v>https://www.get-information-schools.service.gov.uk/Downloads</x:v>
      </x:c>
    </x:row>
    <x:row r="258">
      <x:c r="A258" s="43" t="str">
        <x:v>UK independent</x:v>
      </x:c>
      <x:c r="B258" s="43" t="str">
        <x:v>126119</x:v>
      </x:c>
      <x:c r="C258" s="43" t="n">
        <x:f>IF(K258="Boarding school",30,0)+IF(J258&gt;=18,20,0)+IF(I258&lt;=11,10,0)+IF(L258="Has a sixth form",15,0)+IF(M258&gt;=200,10,0)+IF(N258&lt;&gt;"",10,0)</x:f>
        <x:v>85</x:v>
      </x:c>
      <x:c r="D258" s="43" t="str">
        <x:f>IF(C258&gt;=85,"A",IF(C258&gt;=65,"B","C"))</x:f>
        <x:v>A</x:v>
      </x:c>
      <x:c r="E258" s="43" t="str">
        <x:v>Slindon College</x:v>
      </x:c>
      <x:c r="F258" s="43" t="str">
        <x:v>Arundel</x:v>
      </x:c>
      <x:c r="G258" s="43" t="str">
        <x:v>West Sussex</x:v>
      </x:c>
      <x:c r="H258" s="43" t="str">
        <x:v>BN18 0RH</x:v>
      </x:c>
      <x:c r="I258" s="43" t="n">
        <x:v>8</x:v>
      </x:c>
      <x:c r="J258" s="43" t="n">
        <x:v>18</x:v>
      </x:c>
      <x:c r="K258" s="43" t="str">
        <x:v>Boarding school</x:v>
      </x:c>
      <x:c r="L258" s="43" t="str">
        <x:v>Has a sixth form</x:v>
      </x:c>
      <x:c r="M258" s="43" t="n">
        <x:v>103</x:v>
      </x:c>
      <x:c r="N258" s="43" t="str">
        <x:v>https://www.slindoncollege.co.uk</x:v>
      </x:c>
      <x:c r="O258" s="43" t="str">
        <x:v>01243814320</x:v>
      </x:c>
      <x:c r="P258" s="43" t="str"/>
      <x:c r="Q258" s="43" t="str"/>
      <x:c r="R258" s="43" t="str">
        <x:v>Queued for contact research</x:v>
      </x:c>
      <x:c r="S258" s="43" t="str">
        <x:v>Not reviewed</x:v>
      </x:c>
      <x:c r="T258" s="43" t="str">
        <x:v>Hold</x:v>
      </x:c>
      <x:c r="U258" s="43" t="str">
        <x:v>No</x:v>
      </x:c>
      <x:c r="V258" s="44"/>
      <x:c r="W258" s="43" t="str"/>
      <x:c r="X258" s="43" t="str"/>
      <x:c r="Y258" s="43" t="str"/>
      <x:c r="Z258" s="43" t="str">
        <x:v>https://www.get-information-schools.service.gov.uk/Downloads</x:v>
      </x:c>
    </x:row>
    <x:row r="259">
      <x:c r="A259" s="43" t="str">
        <x:v>UK independent</x:v>
      </x:c>
      <x:c r="B259" s="43" t="str">
        <x:v>145292</x:v>
      </x:c>
      <x:c r="C259" s="43" t="n">
        <x:f>IF(K259="Boarding school",30,0)+IF(J259&gt;=18,20,0)+IF(I259&lt;=11,10,0)+IF(L259="Has a sixth form",15,0)+IF(M259&gt;=200,10,0)+IF(N259&lt;&gt;"",10,0)</x:f>
        <x:v>85</x:v>
      </x:c>
      <x:c r="D259" s="43" t="str">
        <x:f>IF(C259&gt;=85,"A",IF(C259&gt;=65,"B","C"))</x:f>
        <x:v>A</x:v>
      </x:c>
      <x:c r="E259" s="43" t="str">
        <x:v>St Bees School</x:v>
      </x:c>
      <x:c r="F259" s="43" t="str"/>
      <x:c r="G259" s="43" t="str"/>
      <x:c r="H259" s="43" t="str">
        <x:v>CA27 0DS</x:v>
      </x:c>
      <x:c r="I259" s="43" t="n">
        <x:v>11</x:v>
      </x:c>
      <x:c r="J259" s="43" t="n">
        <x:v>18</x:v>
      </x:c>
      <x:c r="K259" s="43" t="str">
        <x:v>Boarding school</x:v>
      </x:c>
      <x:c r="L259" s="43" t="str">
        <x:v>Has a sixth form</x:v>
      </x:c>
      <x:c r="M259" s="43" t="n">
        <x:v>96</x:v>
      </x:c>
      <x:c r="N259" s="43" t="str">
        <x:v>https://www.stbeesschool.co.uk</x:v>
      </x:c>
      <x:c r="O259" s="43" t="str">
        <x:v>01946828000</x:v>
      </x:c>
      <x:c r="P259" s="43" t="str"/>
      <x:c r="Q259" s="43" t="str"/>
      <x:c r="R259" s="43" t="str">
        <x:v>Queued for contact research</x:v>
      </x:c>
      <x:c r="S259" s="43" t="str">
        <x:v>Not reviewed</x:v>
      </x:c>
      <x:c r="T259" s="43" t="str">
        <x:v>Hold</x:v>
      </x:c>
      <x:c r="U259" s="43" t="str">
        <x:v>No</x:v>
      </x:c>
      <x:c r="V259" s="44"/>
      <x:c r="W259" s="43" t="str"/>
      <x:c r="X259" s="43" t="str"/>
      <x:c r="Y259" s="43" t="str"/>
      <x:c r="Z259" s="43" t="str">
        <x:v>https://www.get-information-schools.service.gov.uk/Downloads</x:v>
      </x:c>
    </x:row>
    <x:row r="260">
      <x:c r="A260" s="43" t="str">
        <x:v>UK independent</x:v>
      </x:c>
      <x:c r="B260" s="43" t="str">
        <x:v>125428</x:v>
      </x:c>
      <x:c r="C260" s="43" t="n">
        <x:f>IF(K260="Boarding school",30,0)+IF(J260&gt;=18,20,0)+IF(I260&lt;=11,10,0)+IF(L260="Has a sixth form",15,0)+IF(M260&gt;=200,10,0)+IF(N260&lt;&gt;"",10,0)</x:f>
        <x:v>85</x:v>
      </x:c>
      <x:c r="D260" s="43" t="str">
        <x:f>IF(C260&gt;=85,"A",IF(C260&gt;=65,"B","C"))</x:f>
        <x:v>A</x:v>
      </x:c>
      <x:c r="E260" s="43" t="str">
        <x:v>The Yehudi Menuhin School</x:v>
      </x:c>
      <x:c r="F260" s="43" t="str">
        <x:v>Cobham</x:v>
      </x:c>
      <x:c r="G260" s="43" t="str">
        <x:v>Surrey</x:v>
      </x:c>
      <x:c r="H260" s="43" t="str">
        <x:v>KT11 3QQ</x:v>
      </x:c>
      <x:c r="I260" s="43" t="n">
        <x:v>8</x:v>
      </x:c>
      <x:c r="J260" s="43" t="n">
        <x:v>19</x:v>
      </x:c>
      <x:c r="K260" s="43" t="str">
        <x:v>Boarding school</x:v>
      </x:c>
      <x:c r="L260" s="43" t="str">
        <x:v>Has a sixth form</x:v>
      </x:c>
      <x:c r="M260" s="43" t="n">
        <x:v>95</x:v>
      </x:c>
      <x:c r="N260" s="43" t="str">
        <x:v>https://www.menuhinschool.co.uk</x:v>
      </x:c>
      <x:c r="O260" s="43" t="str">
        <x:v>01932864739</x:v>
      </x:c>
      <x:c r="P260" s="43" t="str"/>
      <x:c r="Q260" s="43" t="str"/>
      <x:c r="R260" s="43" t="str">
        <x:v>Queued for contact research</x:v>
      </x:c>
      <x:c r="S260" s="43" t="str">
        <x:v>Not reviewed</x:v>
      </x:c>
      <x:c r="T260" s="43" t="str">
        <x:v>Hold</x:v>
      </x:c>
      <x:c r="U260" s="43" t="str">
        <x:v>No</x:v>
      </x:c>
      <x:c r="V260" s="44"/>
      <x:c r="W260" s="43" t="str"/>
      <x:c r="X260" s="43" t="str"/>
      <x:c r="Y260" s="43" t="str"/>
      <x:c r="Z260" s="43" t="str">
        <x:v>https://www.get-information-schools.service.gov.uk/Downloads</x:v>
      </x:c>
    </x:row>
    <x:row r="261">
      <x:c r="A261" s="43" t="str">
        <x:v>UK independent</x:v>
      </x:c>
      <x:c r="B261" s="43" t="str">
        <x:v>114659</x:v>
      </x:c>
      <x:c r="C261" s="43" t="n">
        <x:f>IF(K261="Boarding school",30,0)+IF(J261&gt;=18,20,0)+IF(I261&lt;=11,10,0)+IF(L261="Has a sixth form",15,0)+IF(M261&gt;=200,10,0)+IF(N261&lt;&gt;"",10,0)</x:f>
        <x:v>85</x:v>
      </x:c>
      <x:c r="D261" s="43" t="str">
        <x:f>IF(C261&gt;=85,"A",IF(C261&gt;=65,"B","C"))</x:f>
        <x:v>A</x:v>
      </x:c>
      <x:c r="E261" s="43" t="str">
        <x:v>Greenfields School</x:v>
      </x:c>
      <x:c r="F261" s="43" t="str"/>
      <x:c r="G261" s="43" t="str"/>
      <x:c r="H261" s="43" t="str">
        <x:v>RH18 5JD</x:v>
      </x:c>
      <x:c r="I261" s="43" t="n">
        <x:v>2</x:v>
      </x:c>
      <x:c r="J261" s="43" t="n">
        <x:v>19</x:v>
      </x:c>
      <x:c r="K261" s="43" t="str">
        <x:v>Boarding school</x:v>
      </x:c>
      <x:c r="L261" s="43" t="str">
        <x:v>Has a sixth form</x:v>
      </x:c>
      <x:c r="M261" s="43" t="n">
        <x:v>93</x:v>
      </x:c>
      <x:c r="N261" s="43" t="str">
        <x:v>http://www.greenfieldsschool.com/</x:v>
      </x:c>
      <x:c r="O261" s="43" t="str">
        <x:v>01342822189</x:v>
      </x:c>
      <x:c r="P261" s="43" t="str"/>
      <x:c r="Q261" s="43" t="str"/>
      <x:c r="R261" s="43" t="str">
        <x:v>Queued for contact research</x:v>
      </x:c>
      <x:c r="S261" s="43" t="str">
        <x:v>Not reviewed</x:v>
      </x:c>
      <x:c r="T261" s="43" t="str">
        <x:v>Hold</x:v>
      </x:c>
      <x:c r="U261" s="43" t="str">
        <x:v>No</x:v>
      </x:c>
      <x:c r="V261" s="44"/>
      <x:c r="W261" s="43" t="str"/>
      <x:c r="X261" s="43" t="str"/>
      <x:c r="Y261" s="43" t="str"/>
      <x:c r="Z261" s="43" t="str">
        <x:v>https://www.get-information-schools.service.gov.uk/Downloads</x:v>
      </x:c>
    </x:row>
    <x:row r="262">
      <x:c r="A262" s="43" t="str">
        <x:v>UK independent</x:v>
      </x:c>
      <x:c r="B262" s="43" t="str">
        <x:v>131181</x:v>
      </x:c>
      <x:c r="C262" s="43" t="n">
        <x:f>IF(K262="Boarding school",30,0)+IF(J262&gt;=18,20,0)+IF(I262&lt;=11,10,0)+IF(L262="Has a sixth form",15,0)+IF(M262&gt;=200,10,0)+IF(N262&lt;&gt;"",10,0)</x:f>
        <x:v>85</x:v>
      </x:c>
      <x:c r="D262" s="43" t="str">
        <x:f>IF(C262&gt;=85,"A",IF(C262&gt;=65,"B","C"))</x:f>
        <x:v>A</x:v>
      </x:c>
      <x:c r="E262" s="43" t="str">
        <x:v>Beech Grove School</x:v>
      </x:c>
      <x:c r="F262" s="43" t="str">
        <x:v>Dover</x:v>
      </x:c>
      <x:c r="G262" s="43" t="str">
        <x:v>Kent</x:v>
      </x:c>
      <x:c r="H262" s="43" t="str">
        <x:v>CT15 4FB</x:v>
      </x:c>
      <x:c r="I262" s="43" t="n">
        <x:v>4</x:v>
      </x:c>
      <x:c r="J262" s="43" t="n">
        <x:v>19</x:v>
      </x:c>
      <x:c r="K262" s="43" t="str">
        <x:v>Boarding school</x:v>
      </x:c>
      <x:c r="L262" s="43" t="str">
        <x:v>Has a sixth form</x:v>
      </x:c>
      <x:c r="M262" s="43" t="n">
        <x:v>86</x:v>
      </x:c>
      <x:c r="N262" s="43" t="str">
        <x:v>https://beechgroveschool.co.uk</x:v>
      </x:c>
      <x:c r="O262" s="43" t="str">
        <x:v>01304842980</x:v>
      </x:c>
      <x:c r="P262" s="43" t="str"/>
      <x:c r="Q262" s="43" t="str"/>
      <x:c r="R262" s="43" t="str">
        <x:v>Queued for contact research</x:v>
      </x:c>
      <x:c r="S262" s="43" t="str">
        <x:v>Not reviewed</x:v>
      </x:c>
      <x:c r="T262" s="43" t="str">
        <x:v>Hold</x:v>
      </x:c>
      <x:c r="U262" s="43" t="str">
        <x:v>No</x:v>
      </x:c>
      <x:c r="V262" s="44"/>
      <x:c r="W262" s="43" t="str"/>
      <x:c r="X262" s="43" t="str"/>
      <x:c r="Y262" s="43" t="str"/>
      <x:c r="Z262" s="43" t="str">
        <x:v>https://www.get-information-schools.service.gov.uk/Downloads</x:v>
      </x:c>
    </x:row>
    <x:row r="263">
      <x:c r="A263" s="43" t="str">
        <x:v>UK independent</x:v>
      </x:c>
      <x:c r="B263" s="43" t="str">
        <x:v>120341</x:v>
      </x:c>
      <x:c r="C263" s="43" t="n">
        <x:f>IF(K263="Boarding school",30,0)+IF(J263&gt;=18,20,0)+IF(I263&lt;=11,10,0)+IF(L263="Has a sixth form",15,0)+IF(M263&gt;=200,10,0)+IF(N263&lt;&gt;"",10,0)</x:f>
        <x:v>85</x:v>
      </x:c>
      <x:c r="D263" s="43" t="str">
        <x:f>IF(C263&gt;=85,"A",IF(C263&gt;=65,"B","C"))</x:f>
        <x:v>A</x:v>
      </x:c>
      <x:c r="E263" s="43" t="str">
        <x:v>Brooke House College</x:v>
      </x:c>
      <x:c r="F263" s="43" t="str">
        <x:v>Market Harborough</x:v>
      </x:c>
      <x:c r="G263" s="43" t="str">
        <x:v>Leicestershire</x:v>
      </x:c>
      <x:c r="H263" s="43" t="str">
        <x:v>LE16 7AU</x:v>
      </x:c>
      <x:c r="I263" s="43" t="n">
        <x:v>11</x:v>
      </x:c>
      <x:c r="J263" s="43" t="n">
        <x:v>19</x:v>
      </x:c>
      <x:c r="K263" s="43" t="str">
        <x:v>Boarding school</x:v>
      </x:c>
      <x:c r="L263" s="43" t="str">
        <x:v>Has a sixth form</x:v>
      </x:c>
      <x:c r="M263" s="43" t="n">
        <x:v>86</x:v>
      </x:c>
      <x:c r="N263" s="43" t="str">
        <x:v>https://www.brookehousecollege.co.uk</x:v>
      </x:c>
      <x:c r="O263" s="43" t="str">
        <x:v>01858462452</x:v>
      </x:c>
      <x:c r="P263" s="43" t="str"/>
      <x:c r="Q263" s="43" t="str"/>
      <x:c r="R263" s="43" t="str">
        <x:v>Queued for contact research</x:v>
      </x:c>
      <x:c r="S263" s="43" t="str">
        <x:v>Not reviewed</x:v>
      </x:c>
      <x:c r="T263" s="43" t="str">
        <x:v>Hold</x:v>
      </x:c>
      <x:c r="U263" s="43" t="str">
        <x:v>No</x:v>
      </x:c>
      <x:c r="V263" s="44"/>
      <x:c r="W263" s="43" t="str"/>
      <x:c r="X263" s="43" t="str"/>
      <x:c r="Y263" s="43" t="str"/>
      <x:c r="Z263" s="43" t="str">
        <x:v>https://www.get-information-schools.service.gov.uk/Downloads</x:v>
      </x:c>
    </x:row>
    <x:row r="264">
      <x:c r="A264" s="43" t="str">
        <x:v>UK independent</x:v>
      </x:c>
      <x:c r="B264" s="43" t="str">
        <x:v>130285</x:v>
      </x:c>
      <x:c r="C264" s="43" t="n">
        <x:f>IF(K264="Boarding school",30,0)+IF(J264&gt;=18,20,0)+IF(I264&lt;=11,10,0)+IF(L264="Has a sixth form",15,0)+IF(M264&gt;=200,10,0)+IF(N264&lt;&gt;"",10,0)</x:f>
        <x:v>85</x:v>
      </x:c>
      <x:c r="D264" s="43" t="str">
        <x:f>IF(C264&gt;=85,"A",IF(C264&gt;=65,"B","C"))</x:f>
        <x:v>A</x:v>
      </x:c>
      <x:c r="E264" s="43" t="str">
        <x:v>Al Jamiah Al Islamiyyah</x:v>
      </x:c>
      <x:c r="F264" s="43" t="str">
        <x:v>Bolton</x:v>
      </x:c>
      <x:c r="G264" s="43" t="str">
        <x:v>Lancashire</x:v>
      </x:c>
      <x:c r="H264" s="43" t="str">
        <x:v>BL3 4HE</x:v>
      </x:c>
      <x:c r="I264" s="43" t="n">
        <x:v>11</x:v>
      </x:c>
      <x:c r="J264" s="43" t="n">
        <x:v>25</x:v>
      </x:c>
      <x:c r="K264" s="43" t="str">
        <x:v>Boarding school</x:v>
      </x:c>
      <x:c r="L264" s="43" t="str">
        <x:v>Has a sixth form</x:v>
      </x:c>
      <x:c r="M264" s="43" t="n">
        <x:v>70</x:v>
      </x:c>
      <x:c r="N264" s="43" t="str">
        <x:v>https://boltondarululoom.org.uk/</x:v>
      </x:c>
      <x:c r="O264" s="43" t="str">
        <x:v>0120462622</x:v>
      </x:c>
      <x:c r="P264" s="43" t="str"/>
      <x:c r="Q264" s="43" t="str"/>
      <x:c r="R264" s="43" t="str">
        <x:v>Queued for contact research</x:v>
      </x:c>
      <x:c r="S264" s="43" t="str">
        <x:v>Not reviewed</x:v>
      </x:c>
      <x:c r="T264" s="43" t="str">
        <x:v>Hold</x:v>
      </x:c>
      <x:c r="U264" s="43" t="str">
        <x:v>No</x:v>
      </x:c>
      <x:c r="V264" s="44"/>
      <x:c r="W264" s="43" t="str"/>
      <x:c r="X264" s="43" t="str"/>
      <x:c r="Y264" s="43" t="str"/>
      <x:c r="Z264" s="43" t="str">
        <x:v>https://www.get-information-schools.service.gov.uk/Downloads</x:v>
      </x:c>
    </x:row>
    <x:row r="265">
      <x:c r="A265" s="43" t="str">
        <x:v>UK independent</x:v>
      </x:c>
      <x:c r="B265" s="43" t="str">
        <x:v>118124</x:v>
      </x:c>
      <x:c r="C265" s="43" t="n">
        <x:f>IF(K265="Boarding school",30,0)+IF(J265&gt;=18,20,0)+IF(I265&lt;=11,10,0)+IF(L265="Has a sixth form",15,0)+IF(M265&gt;=200,10,0)+IF(N265&lt;&gt;"",10,0)</x:f>
        <x:v>85</x:v>
      </x:c>
      <x:c r="D265" s="43" t="str">
        <x:f>IF(C265&gt;=85,"A",IF(C265&gt;=65,"B","C"))</x:f>
        <x:v>A</x:v>
      </x:c>
      <x:c r="E265" s="43" t="str">
        <x:v>St James' School</x:v>
      </x:c>
      <x:c r="F265" s="43" t="str">
        <x:v>Grimsby</x:v>
      </x:c>
      <x:c r="G265" s="43" t="str"/>
      <x:c r="H265" s="43" t="str">
        <x:v>DN34 4SY</x:v>
      </x:c>
      <x:c r="I265" s="43" t="n">
        <x:v>11</x:v>
      </x:c>
      <x:c r="J265" s="43" t="n">
        <x:v>18</x:v>
      </x:c>
      <x:c r="K265" s="43" t="str">
        <x:v>Boarding school</x:v>
      </x:c>
      <x:c r="L265" s="43" t="str">
        <x:v>Has a sixth form</x:v>
      </x:c>
      <x:c r="M265" s="43" t="n">
        <x:v>66</x:v>
      </x:c>
      <x:c r="N265" s="43" t="str">
        <x:v>http://www.saintjamesschool.co.uk</x:v>
      </x:c>
      <x:c r="O265" s="43" t="str">
        <x:v>01472503260</x:v>
      </x:c>
      <x:c r="P265" s="43" t="str"/>
      <x:c r="Q265" s="43" t="str"/>
      <x:c r="R265" s="43" t="str">
        <x:v>Queued for contact research</x:v>
      </x:c>
      <x:c r="S265" s="43" t="str">
        <x:v>Not reviewed</x:v>
      </x:c>
      <x:c r="T265" s="43" t="str">
        <x:v>Hold</x:v>
      </x:c>
      <x:c r="U265" s="43" t="str">
        <x:v>No</x:v>
      </x:c>
      <x:c r="V265" s="44"/>
      <x:c r="W265" s="43" t="str"/>
      <x:c r="X265" s="43" t="str"/>
      <x:c r="Y265" s="43" t="str"/>
      <x:c r="Z265" s="43" t="str">
        <x:v>https://www.get-information-schools.service.gov.uk/Downloads</x:v>
      </x:c>
    </x:row>
    <x:row r="266">
      <x:c r="A266" s="43" t="str">
        <x:v>UK independent</x:v>
      </x:c>
      <x:c r="B266" s="43" t="str">
        <x:v>141242</x:v>
      </x:c>
      <x:c r="C266" s="43" t="n">
        <x:f>IF(K266="Boarding school",30,0)+IF(J266&gt;=18,20,0)+IF(I266&lt;=11,10,0)+IF(L266="Has a sixth form",15,0)+IF(M266&gt;=200,10,0)+IF(N266&lt;&gt;"",10,0)</x:f>
        <x:v>85</x:v>
      </x:c>
      <x:c r="D266" s="43" t="str">
        <x:f>IF(C266&gt;=85,"A",IF(C266&gt;=65,"B","C"))</x:f>
        <x:v>A</x:v>
      </x:c>
      <x:c r="E266" s="43" t="str">
        <x:v>Kimichi School</x:v>
      </x:c>
      <x:c r="F266" s="43" t="str">
        <x:v>Birmingham</x:v>
      </x:c>
      <x:c r="G266" s="43" t="str">
        <x:v>West Midlands</x:v>
      </x:c>
      <x:c r="H266" s="43" t="str">
        <x:v>B27 6LL</x:v>
      </x:c>
      <x:c r="I266" s="43" t="n">
        <x:v>9</x:v>
      </x:c>
      <x:c r="J266" s="43" t="n">
        <x:v>18</x:v>
      </x:c>
      <x:c r="K266" s="43" t="str">
        <x:v>Boarding school</x:v>
      </x:c>
      <x:c r="L266" s="43" t="str">
        <x:v>Has a sixth form</x:v>
      </x:c>
      <x:c r="M266" s="43" t="n">
        <x:v>54</x:v>
      </x:c>
      <x:c r="N266" s="43" t="str">
        <x:v>https://www.kimichischool.co.uk</x:v>
      </x:c>
      <x:c r="O266" s="43" t="str">
        <x:v>01216795298</x:v>
      </x:c>
      <x:c r="P266" s="43" t="str"/>
      <x:c r="Q266" s="43" t="str"/>
      <x:c r="R266" s="43" t="str">
        <x:v>Queued for contact research</x:v>
      </x:c>
      <x:c r="S266" s="43" t="str">
        <x:v>Not reviewed</x:v>
      </x:c>
      <x:c r="T266" s="43" t="str">
        <x:v>Hold</x:v>
      </x:c>
      <x:c r="U266" s="43" t="str">
        <x:v>No</x:v>
      </x:c>
      <x:c r="V266" s="44"/>
      <x:c r="W266" s="43" t="str"/>
      <x:c r="X266" s="43" t="str"/>
      <x:c r="Y266" s="43" t="str"/>
      <x:c r="Z266" s="43" t="str">
        <x:v>https://www.get-information-schools.service.gov.uk/Downloads</x:v>
      </x:c>
    </x:row>
    <x:row r="267">
      <x:c r="A267" s="43" t="str">
        <x:v>UK independent</x:v>
      </x:c>
      <x:c r="B267" s="43" t="str">
        <x:v>112442</x:v>
      </x:c>
      <x:c r="C267" s="43" t="n">
        <x:f>IF(K267="Boarding school",30,0)+IF(J267&gt;=18,20,0)+IF(I267&lt;=11,10,0)+IF(L267="Has a sixth form",15,0)+IF(M267&gt;=200,10,0)+IF(N267&lt;&gt;"",10,0)</x:f>
        <x:v>85</x:v>
      </x:c>
      <x:c r="D267" s="43" t="str">
        <x:f>IF(C267&gt;=85,"A",IF(C267&gt;=65,"B","C"))</x:f>
        <x:v>A</x:v>
      </x:c>
      <x:c r="E267" s="43" t="str">
        <x:v>Lime House School</x:v>
      </x:c>
      <x:c r="F267" s="43" t="str">
        <x:v>Carlisle</x:v>
      </x:c>
      <x:c r="G267" s="43" t="str">
        <x:v>Cumbria</x:v>
      </x:c>
      <x:c r="H267" s="43" t="str">
        <x:v>CA5 7BX</x:v>
      </x:c>
      <x:c r="I267" s="43" t="n">
        <x:v>7</x:v>
      </x:c>
      <x:c r="J267" s="43" t="n">
        <x:v>18</x:v>
      </x:c>
      <x:c r="K267" s="43" t="str">
        <x:v>Boarding school</x:v>
      </x:c>
      <x:c r="L267" s="43" t="str">
        <x:v>Has a sixth form</x:v>
      </x:c>
      <x:c r="M267" s="43" t="n">
        <x:v>54</x:v>
      </x:c>
      <x:c r="N267" s="43" t="str">
        <x:v>https://www.limehouseschool.co.uk</x:v>
      </x:c>
      <x:c r="O267" s="43" t="str">
        <x:v>01228710225</x:v>
      </x:c>
      <x:c r="P267" s="43" t="str"/>
      <x:c r="Q267" s="43" t="str"/>
      <x:c r="R267" s="43" t="str">
        <x:v>Queued for contact research</x:v>
      </x:c>
      <x:c r="S267" s="43" t="str">
        <x:v>Not reviewed</x:v>
      </x:c>
      <x:c r="T267" s="43" t="str">
        <x:v>Hold</x:v>
      </x:c>
      <x:c r="U267" s="43" t="str">
        <x:v>No</x:v>
      </x:c>
      <x:c r="V267" s="44"/>
      <x:c r="W267" s="43" t="str"/>
      <x:c r="X267" s="43" t="str"/>
      <x:c r="Y267" s="43" t="str"/>
      <x:c r="Z267" s="43" t="str">
        <x:v>https://www.get-information-schools.service.gov.uk/Downloads</x:v>
      </x:c>
    </x:row>
    <x:row r="268">
      <x:c r="A268" s="43" t="str">
        <x:v>UK independent</x:v>
      </x:c>
      <x:c r="B268" s="43" t="str">
        <x:v>124870</x:v>
      </x:c>
      <x:c r="C268" s="43" t="n">
        <x:f>IF(K268="Boarding school",30,0)+IF(J268&gt;=18,20,0)+IF(I268&lt;=11,10,0)+IF(L268="Has a sixth form",15,0)+IF(M268&gt;=200,10,0)+IF(N268&lt;&gt;"",10,0)</x:f>
        <x:v>85</x:v>
      </x:c>
      <x:c r="D268" s="43" t="str">
        <x:f>IF(C268&gt;=85,"A",IF(C268&gt;=65,"B","C"))</x:f>
        <x:v>A</x:v>
      </x:c>
      <x:c r="E268" s="43" t="str">
        <x:v>Summerhill School</x:v>
      </x:c>
      <x:c r="F268" s="43" t="str">
        <x:v>Leiston</x:v>
      </x:c>
      <x:c r="G268" s="43" t="str">
        <x:v>Suffolk</x:v>
      </x:c>
      <x:c r="H268" s="43" t="str">
        <x:v>IP16 4HY</x:v>
      </x:c>
      <x:c r="I268" s="43" t="n">
        <x:v>5</x:v>
      </x:c>
      <x:c r="J268" s="43" t="n">
        <x:v>18</x:v>
      </x:c>
      <x:c r="K268" s="43" t="str">
        <x:v>Boarding school</x:v>
      </x:c>
      <x:c r="L268" s="43" t="str">
        <x:v>Has a sixth form</x:v>
      </x:c>
      <x:c r="M268" s="43" t="n">
        <x:v>51</x:v>
      </x:c>
      <x:c r="N268" s="43" t="str">
        <x:v>https://www.summerhillschool.co.uk</x:v>
      </x:c>
      <x:c r="O268" s="43" t="str">
        <x:v>01728830540</x:v>
      </x:c>
      <x:c r="P268" s="43" t="str"/>
      <x:c r="Q268" s="43" t="str"/>
      <x:c r="R268" s="43" t="str">
        <x:v>Queued for contact research</x:v>
      </x:c>
      <x:c r="S268" s="43" t="str">
        <x:v>Not reviewed</x:v>
      </x:c>
      <x:c r="T268" s="43" t="str">
        <x:v>Hold</x:v>
      </x:c>
      <x:c r="U268" s="43" t="str">
        <x:v>No</x:v>
      </x:c>
      <x:c r="V268" s="44"/>
      <x:c r="W268" s="43" t="str"/>
      <x:c r="X268" s="43" t="str"/>
      <x:c r="Y268" s="43" t="str"/>
      <x:c r="Z268" s="43" t="str">
        <x:v>https://www.get-information-schools.service.gov.uk/Downloads</x:v>
      </x:c>
    </x:row>
    <x:row r="269">
      <x:c r="A269" s="43" t="str">
        <x:v>UK independent</x:v>
      </x:c>
      <x:c r="B269" s="43" t="str">
        <x:v>117640</x:v>
      </x:c>
      <x:c r="C269" s="43" t="n">
        <x:f>IF(K269="Boarding school",30,0)+IF(J269&gt;=18,20,0)+IF(I269&lt;=11,10,0)+IF(L269="Has a sixth form",15,0)+IF(M269&gt;=200,10,0)+IF(N269&lt;&gt;"",10,0)</x:f>
        <x:v>85</x:v>
      </x:c>
      <x:c r="D269" s="43" t="str">
        <x:f>IF(C269&gt;=85,"A",IF(C269&gt;=65,"B","C"))</x:f>
        <x:v>A</x:v>
      </x:c>
      <x:c r="E269" s="43" t="str">
        <x:v>Stanborough Secondary School</x:v>
      </x:c>
      <x:c r="F269" s="43" t="str">
        <x:v>Watford</x:v>
      </x:c>
      <x:c r="G269" s="43" t="str">
        <x:v>Hertfordshire</x:v>
      </x:c>
      <x:c r="H269" s="43" t="str">
        <x:v>WD25 9JT</x:v>
      </x:c>
      <x:c r="I269" s="43" t="n">
        <x:v>11</x:v>
      </x:c>
      <x:c r="J269" s="43" t="n">
        <x:v>18</x:v>
      </x:c>
      <x:c r="K269" s="43" t="str">
        <x:v>Boarding school</x:v>
      </x:c>
      <x:c r="L269" s="43" t="str">
        <x:v>Has a sixth form</x:v>
      </x:c>
      <x:c r="M269" s="43" t="n">
        <x:v>50</x:v>
      </x:c>
      <x:c r="N269" s="43" t="str">
        <x:v>https://www.spsch.org</x:v>
      </x:c>
      <x:c r="O269" s="43" t="str">
        <x:v>01923673268</x:v>
      </x:c>
      <x:c r="P269" s="43" t="str"/>
      <x:c r="Q269" s="43" t="str"/>
      <x:c r="R269" s="43" t="str">
        <x:v>Queued for contact research</x:v>
      </x:c>
      <x:c r="S269" s="43" t="str">
        <x:v>Not reviewed</x:v>
      </x:c>
      <x:c r="T269" s="43" t="str">
        <x:v>Hold</x:v>
      </x:c>
      <x:c r="U269" s="43" t="str">
        <x:v>No</x:v>
      </x:c>
      <x:c r="V269" s="44"/>
      <x:c r="W269" s="43" t="str"/>
      <x:c r="X269" s="43" t="str"/>
      <x:c r="Y269" s="43" t="str"/>
      <x:c r="Z269" s="43" t="str">
        <x:v>https://www.get-information-schools.service.gov.uk/Downloads</x:v>
      </x:c>
    </x:row>
    <x:row r="270">
      <x:c r="A270" s="43" t="str">
        <x:v>UK independent</x:v>
      </x:c>
      <x:c r="B270" s="43" t="str">
        <x:v>135901</x:v>
      </x:c>
      <x:c r="C270" s="43" t="n">
        <x:f>IF(K270="Boarding school",30,0)+IF(J270&gt;=18,20,0)+IF(I270&lt;=11,10,0)+IF(L270="Has a sixth form",15,0)+IF(M270&gt;=200,10,0)+IF(N270&lt;&gt;"",10,0)</x:f>
        <x:v>85</x:v>
      </x:c>
      <x:c r="D270" s="43" t="str">
        <x:f>IF(C270&gt;=85,"A",IF(C270&gt;=65,"B","C"))</x:f>
        <x:v>A</x:v>
      </x:c>
      <x:c r="E270" s="43" t="str">
        <x:v>Marathon Science School</x:v>
      </x:c>
      <x:c r="F270" s="43" t="str">
        <x:v>London</x:v>
      </x:c>
      <x:c r="G270" s="43" t="str"/>
      <x:c r="H270" s="43" t="str">
        <x:v>SE8 5RQ</x:v>
      </x:c>
      <x:c r="I270" s="43" t="n">
        <x:v>10</x:v>
      </x:c>
      <x:c r="J270" s="43" t="n">
        <x:v>19</x:v>
      </x:c>
      <x:c r="K270" s="43" t="str">
        <x:v>Boarding school</x:v>
      </x:c>
      <x:c r="L270" s="43" t="str">
        <x:v>Has a sixth form</x:v>
      </x:c>
      <x:c r="M270" s="43" t="n">
        <x:v>35</x:v>
      </x:c>
      <x:c r="N270" s="43" t="str">
        <x:v>https://www.marathonschool.com</x:v>
      </x:c>
      <x:c r="O270" s="43" t="str">
        <x:v>02072313232</x:v>
      </x:c>
      <x:c r="P270" s="43" t="str"/>
      <x:c r="Q270" s="43" t="str"/>
      <x:c r="R270" s="43" t="str">
        <x:v>Queued for contact research</x:v>
      </x:c>
      <x:c r="S270" s="43" t="str">
        <x:v>Not reviewed</x:v>
      </x:c>
      <x:c r="T270" s="43" t="str">
        <x:v>Hold</x:v>
      </x:c>
      <x:c r="U270" s="43" t="str">
        <x:v>No</x:v>
      </x:c>
      <x:c r="V270" s="44"/>
      <x:c r="W270" s="43" t="str"/>
      <x:c r="X270" s="43" t="str"/>
      <x:c r="Y270" s="43" t="str"/>
      <x:c r="Z270" s="43" t="str">
        <x:v>https://www.get-information-schools.service.gov.uk/Downloads</x:v>
      </x:c>
    </x:row>
    <x:row r="271">
      <x:c r="A271" s="43" t="str">
        <x:v>UK independent</x:v>
      </x:c>
      <x:c r="B271" s="43" t="str">
        <x:v>124899</x:v>
      </x:c>
      <x:c r="C271" s="43" t="n">
        <x:f>IF(K271="Boarding school",30,0)+IF(J271&gt;=18,20,0)+IF(I271&lt;=11,10,0)+IF(L271="Has a sixth form",15,0)+IF(M271&gt;=200,10,0)+IF(N271&lt;&gt;"",10,0)</x:f>
        <x:v>85</x:v>
      </x:c>
      <x:c r="D271" s="43" t="str">
        <x:f>IF(C271&gt;=85,"A",IF(C271&gt;=65,"B","C"))</x:f>
        <x:v>A</x:v>
      </x:c>
      <x:c r="E271" s="43" t="str">
        <x:v>Felixstowe International College</x:v>
      </x:c>
      <x:c r="F271" s="43" t="str">
        <x:v>Felixstowe</x:v>
      </x:c>
      <x:c r="G271" s="43" t="str">
        <x:v>Suffolk</x:v>
      </x:c>
      <x:c r="H271" s="43" t="str">
        <x:v>IP11 7NA</x:v>
      </x:c>
      <x:c r="I271" s="43" t="n">
        <x:v>9</x:v>
      </x:c>
      <x:c r="J271" s="43" t="n">
        <x:v>19</x:v>
      </x:c>
      <x:c r="K271" s="43" t="str">
        <x:v>Boarding school</x:v>
      </x:c>
      <x:c r="L271" s="43" t="str">
        <x:v>Has a sixth form</x:v>
      </x:c>
      <x:c r="M271" s="43" t="n">
        <x:v>28</x:v>
      </x:c>
      <x:c r="N271" s="43" t="str">
        <x:v>https://ficedu.org</x:v>
      </x:c>
      <x:c r="O271" s="43" t="str">
        <x:v>01394282388</x:v>
      </x:c>
      <x:c r="P271" s="43" t="str"/>
      <x:c r="Q271" s="43" t="str"/>
      <x:c r="R271" s="43" t="str">
        <x:v>Queued for contact research</x:v>
      </x:c>
      <x:c r="S271" s="43" t="str">
        <x:v>Not reviewed</x:v>
      </x:c>
      <x:c r="T271" s="43" t="str">
        <x:v>Hold</x:v>
      </x:c>
      <x:c r="U271" s="43" t="str">
        <x:v>No</x:v>
      </x:c>
      <x:c r="V271" s="44"/>
      <x:c r="W271" s="43" t="str"/>
      <x:c r="X271" s="43" t="str"/>
      <x:c r="Y271" s="43" t="str"/>
      <x:c r="Z271" s="43" t="str">
        <x:v>https://www.get-information-schools.service.gov.uk/Downloads</x:v>
      </x:c>
    </x:row>
    <x:row r="272">
      <x:c r="A272" s="43" t="str">
        <x:v>UK independent</x:v>
      </x:c>
      <x:c r="B272" s="43" t="str">
        <x:v>134582</x:v>
      </x:c>
      <x:c r="C272" s="43" t="n">
        <x:f>IF(K272="Boarding school",30,0)+IF(J272&gt;=18,20,0)+IF(I272&lt;=11,10,0)+IF(L272="Has a sixth form",15,0)+IF(M272&gt;=200,10,0)+IF(N272&lt;&gt;"",10,0)</x:f>
        <x:v>85</x:v>
      </x:c>
      <x:c r="D272" s="43" t="str">
        <x:f>IF(C272&gt;=85,"A",IF(C272&gt;=65,"B","C"))</x:f>
        <x:v>A</x:v>
      </x:c>
      <x:c r="E272" s="43" t="str">
        <x:v>Kent College International Study Centre</x:v>
      </x:c>
      <x:c r="F272" s="43" t="str">
        <x:v>Canterbury</x:v>
      </x:c>
      <x:c r="G272" s="43" t="str">
        <x:v>Kent</x:v>
      </x:c>
      <x:c r="H272" s="43" t="str">
        <x:v>CT2 9DT</x:v>
      </x:c>
      <x:c r="I272" s="43" t="n">
        <x:v>11</x:v>
      </x:c>
      <x:c r="J272" s="43" t="n">
        <x:v>18</x:v>
      </x:c>
      <x:c r="K272" s="43" t="str">
        <x:v>Boarding school</x:v>
      </x:c>
      <x:c r="L272" s="43" t="str">
        <x:v>Has a sixth form</x:v>
      </x:c>
      <x:c r="M272" s="43" t="n">
        <x:v>10</x:v>
      </x:c>
      <x:c r="N272" s="43" t="str">
        <x:v>https://www.kentcollege.com</x:v>
      </x:c>
      <x:c r="O272" s="43" t="str">
        <x:v>01227763231</x:v>
      </x:c>
      <x:c r="P272" s="43" t="str"/>
      <x:c r="Q272" s="43" t="str"/>
      <x:c r="R272" s="43" t="str">
        <x:v>Queued for contact research</x:v>
      </x:c>
      <x:c r="S272" s="43" t="str">
        <x:v>Not reviewed</x:v>
      </x:c>
      <x:c r="T272" s="43" t="str">
        <x:v>Hold</x:v>
      </x:c>
      <x:c r="U272" s="43" t="str">
        <x:v>No</x:v>
      </x:c>
      <x:c r="V272" s="44"/>
      <x:c r="W272" s="43" t="str"/>
      <x:c r="X272" s="43" t="str"/>
      <x:c r="Y272" s="43" t="str"/>
      <x:c r="Z272" s="43" t="str">
        <x:v>https://www.get-information-schools.service.gov.uk/Downloads</x:v>
      </x:c>
    </x:row>
    <x:row r="273">
      <x:c r="A273" s="43" t="str">
        <x:v>UK independent</x:v>
      </x:c>
      <x:c r="B273" s="43" t="str">
        <x:v>110548</x:v>
      </x:c>
      <x:c r="C273" s="43" t="n">
        <x:f>IF(K273="Boarding school",30,0)+IF(J273&gt;=18,20,0)+IF(I273&lt;=11,10,0)+IF(L273="Has a sixth form",15,0)+IF(M273&gt;=200,10,0)+IF(N273&lt;&gt;"",10,0)</x:f>
        <x:v>75</x:v>
      </x:c>
      <x:c r="D273" s="43" t="str">
        <x:f>IF(C273&gt;=85,"A",IF(C273&gt;=65,"B","C"))</x:f>
        <x:v>B</x:v>
      </x:c>
      <x:c r="E273" s="43" t="str">
        <x:v>Stowe School</x:v>
      </x:c>
      <x:c r="F273" s="43" t="str">
        <x:v>Buckingham</x:v>
      </x:c>
      <x:c r="G273" s="43" t="str">
        <x:v>Buckinghamshire</x:v>
      </x:c>
      <x:c r="H273" s="43" t="str">
        <x:v>MK18 5EH</x:v>
      </x:c>
      <x:c r="I273" s="43" t="n">
        <x:v>12</x:v>
      </x:c>
      <x:c r="J273" s="43" t="n">
        <x:v>19</x:v>
      </x:c>
      <x:c r="K273" s="43" t="str">
        <x:v>Boarding school</x:v>
      </x:c>
      <x:c r="L273" s="43" t="str">
        <x:v>Has a sixth form</x:v>
      </x:c>
      <x:c r="M273" s="43" t="n">
        <x:v>876</x:v>
      </x:c>
      <x:c r="N273" s="43" t="str"/>
      <x:c r="O273" s="43" t="str">
        <x:v>01280818000</x:v>
      </x:c>
      <x:c r="P273" s="43" t="str"/>
      <x:c r="Q273" s="43" t="str"/>
      <x:c r="R273" s="43" t="str">
        <x:v>Queued for contact research</x:v>
      </x:c>
      <x:c r="S273" s="43" t="str">
        <x:v>Not reviewed</x:v>
      </x:c>
      <x:c r="T273" s="43" t="str">
        <x:v>Hold</x:v>
      </x:c>
      <x:c r="U273" s="43" t="str">
        <x:v>No</x:v>
      </x:c>
      <x:c r="V273" s="44"/>
      <x:c r="W273" s="43" t="str"/>
      <x:c r="X273" s="43" t="str"/>
      <x:c r="Y273" s="43" t="str"/>
      <x:c r="Z273" s="43" t="str">
        <x:v>https://www.get-information-schools.service.gov.uk/Downloads</x:v>
      </x:c>
    </x:row>
    <x:row r="274">
      <x:c r="A274" s="43" t="str">
        <x:v>UK independent</x:v>
      </x:c>
      <x:c r="B274" s="43" t="str">
        <x:v>115797</x:v>
      </x:c>
      <x:c r="C274" s="43" t="n">
        <x:f>IF(K274="Boarding school",30,0)+IF(J274&gt;=18,20,0)+IF(I274&lt;=11,10,0)+IF(L274="Has a sixth form",15,0)+IF(M274&gt;=200,10,0)+IF(N274&lt;&gt;"",10,0)</x:f>
        <x:v>75</x:v>
      </x:c>
      <x:c r="D274" s="43" t="str">
        <x:f>IF(C274&gt;=85,"A",IF(C274&gt;=65,"B","C"))</x:f>
        <x:v>B</x:v>
      </x:c>
      <x:c r="E274" s="43" t="str">
        <x:v>Dean Close School</x:v>
      </x:c>
      <x:c r="F274" s="43" t="str">
        <x:v>Cheltenham</x:v>
      </x:c>
      <x:c r="G274" s="43" t="str">
        <x:v>Gloucestershire</x:v>
      </x:c>
      <x:c r="H274" s="43" t="str">
        <x:v>GL51 6HE</x:v>
      </x:c>
      <x:c r="I274" s="43" t="n">
        <x:v>12</x:v>
      </x:c>
      <x:c r="J274" s="43" t="n">
        <x:v>19</x:v>
      </x:c>
      <x:c r="K274" s="43" t="str">
        <x:v>Boarding school</x:v>
      </x:c>
      <x:c r="L274" s="43" t="str">
        <x:v>Has a sixth form</x:v>
      </x:c>
      <x:c r="M274" s="43" t="n">
        <x:v>488</x:v>
      </x:c>
      <x:c r="N274" s="43" t="str"/>
      <x:c r="O274" s="43" t="str">
        <x:v>01242258000</x:v>
      </x:c>
      <x:c r="P274" s="43" t="str"/>
      <x:c r="Q274" s="43" t="str"/>
      <x:c r="R274" s="43" t="str">
        <x:v>Queued for contact research</x:v>
      </x:c>
      <x:c r="S274" s="43" t="str">
        <x:v>Not reviewed</x:v>
      </x:c>
      <x:c r="T274" s="43" t="str">
        <x:v>Hold</x:v>
      </x:c>
      <x:c r="U274" s="43" t="str">
        <x:v>No</x:v>
      </x:c>
      <x:c r="V274" s="44"/>
      <x:c r="W274" s="43" t="str"/>
      <x:c r="X274" s="43" t="str"/>
      <x:c r="Y274" s="43" t="str"/>
      <x:c r="Z274" s="43" t="str">
        <x:v>https://www.get-information-schools.service.gov.uk/Downloads</x:v>
      </x:c>
    </x:row>
    <x:row r="275">
      <x:c r="A275" s="43" t="str">
        <x:v>UK independent</x:v>
      </x:c>
      <x:c r="B275" s="43" t="str">
        <x:v>123320</x:v>
      </x:c>
      <x:c r="C275" s="43" t="n">
        <x:f>IF(K275="Boarding school",30,0)+IF(J275&gt;=18,20,0)+IF(I275&lt;=11,10,0)+IF(L275="Has a sixth form",15,0)+IF(M275&gt;=200,10,0)+IF(N275&lt;&gt;"",10,0)</x:f>
        <x:v>75</x:v>
      </x:c>
      <x:c r="D275" s="43" t="str">
        <x:f>IF(C275&gt;=85,"A",IF(C275&gt;=65,"B","C"))</x:f>
        <x:v>B</x:v>
      </x:c>
      <x:c r="E275" s="43" t="str">
        <x:v>Bruern Abbey School</x:v>
      </x:c>
      <x:c r="F275" s="43" t="str">
        <x:v>Bicester</x:v>
      </x:c>
      <x:c r="G275" s="43" t="str">
        <x:v>Oxfordshire</x:v>
      </x:c>
      <x:c r="H275" s="43" t="str">
        <x:v>OX26 1UY</x:v>
      </x:c>
      <x:c r="I275" s="43" t="n">
        <x:v>7</x:v>
      </x:c>
      <x:c r="J275" s="43" t="n">
        <x:v>17</x:v>
      </x:c>
      <x:c r="K275" s="43" t="str">
        <x:v>Boarding school</x:v>
      </x:c>
      <x:c r="L275" s="43" t="str">
        <x:v>Has a sixth form</x:v>
      </x:c>
      <x:c r="M275" s="43" t="n">
        <x:v>214</x:v>
      </x:c>
      <x:c r="N275" s="43" t="str">
        <x:v>https://www.bruernabbey.org</x:v>
      </x:c>
      <x:c r="O275" s="43" t="str">
        <x:v>01869242448</x:v>
      </x:c>
      <x:c r="P275" s="43" t="str"/>
      <x:c r="Q275" s="43" t="str"/>
      <x:c r="R275" s="43" t="str">
        <x:v>Queued for contact research</x:v>
      </x:c>
      <x:c r="S275" s="43" t="str">
        <x:v>Not reviewed</x:v>
      </x:c>
      <x:c r="T275" s="43" t="str">
        <x:v>Hold</x:v>
      </x:c>
      <x:c r="U275" s="43" t="str">
        <x:v>No</x:v>
      </x:c>
      <x:c r="V275" s="44"/>
      <x:c r="W275" s="43" t="str"/>
      <x:c r="X275" s="43" t="str"/>
      <x:c r="Y275" s="43" t="str"/>
      <x:c r="Z275" s="43" t="str">
        <x:v>https://www.get-information-schools.service.gov.uk/Downloads</x:v>
      </x:c>
    </x:row>
    <x:row r="276">
      <x:c r="A276" s="43" t="str">
        <x:v>UK independent</x:v>
      </x:c>
      <x:c r="B276" s="43" t="str">
        <x:v>113932</x:v>
      </x:c>
      <x:c r="C276" s="43" t="n">
        <x:f>IF(K276="Boarding school",30,0)+IF(J276&gt;=18,20,0)+IF(I276&lt;=11,10,0)+IF(L276="Has a sixth form",15,0)+IF(M276&gt;=200,10,0)+IF(N276&lt;&gt;"",10,0)</x:f>
        <x:v>75</x:v>
      </x:c>
      <x:c r="D276" s="43" t="str">
        <x:f>IF(C276&gt;=85,"A",IF(C276&gt;=65,"B","C"))</x:f>
        <x:v>B</x:v>
      </x:c>
      <x:c r="E276" s="43" t="str">
        <x:v>Milton Abbey School</x:v>
      </x:c>
      <x:c r="F276" s="43" t="str">
        <x:v>Blandford Forum</x:v>
      </x:c>
      <x:c r="G276" s="43" t="str">
        <x:v>Dorset</x:v>
      </x:c>
      <x:c r="H276" s="43" t="str">
        <x:v>DT11 0BZ</x:v>
      </x:c>
      <x:c r="I276" s="43" t="n">
        <x:v>13</x:v>
      </x:c>
      <x:c r="J276" s="43" t="n">
        <x:v>19</x:v>
      </x:c>
      <x:c r="K276" s="43" t="str">
        <x:v>Boarding school</x:v>
      </x:c>
      <x:c r="L276" s="43" t="str">
        <x:v>Has a sixth form</x:v>
      </x:c>
      <x:c r="M276" s="43" t="n">
        <x:v>190</x:v>
      </x:c>
      <x:c r="N276" s="43" t="str">
        <x:v>http://www.miltonabbey.co.uk</x:v>
      </x:c>
      <x:c r="O276" s="43" t="str">
        <x:v>01258880484</x:v>
      </x:c>
      <x:c r="P276" s="43" t="str"/>
      <x:c r="Q276" s="43" t="str"/>
      <x:c r="R276" s="43" t="str">
        <x:v>Queued for contact research</x:v>
      </x:c>
      <x:c r="S276" s="43" t="str">
        <x:v>Not reviewed</x:v>
      </x:c>
      <x:c r="T276" s="43" t="str">
        <x:v>Hold</x:v>
      </x:c>
      <x:c r="U276" s="43" t="str">
        <x:v>No</x:v>
      </x:c>
      <x:c r="V276" s="44"/>
      <x:c r="W276" s="43" t="str"/>
      <x:c r="X276" s="43" t="str"/>
      <x:c r="Y276" s="43" t="str"/>
      <x:c r="Z276" s="43" t="str">
        <x:v>https://www.get-information-schools.service.gov.uk/Downloads</x:v>
      </x:c>
    </x:row>
    <x:row r="277">
      <x:c r="A277" s="43" t="str">
        <x:v>UK independent</x:v>
      </x:c>
      <x:c r="B277" s="43" t="str">
        <x:v>143105</x:v>
      </x:c>
      <x:c r="C277" s="43" t="n">
        <x:f>IF(K277="Boarding school",30,0)+IF(J277&gt;=18,20,0)+IF(I277&lt;=11,10,0)+IF(L277="Has a sixth form",15,0)+IF(M277&gt;=200,10,0)+IF(N277&lt;&gt;"",10,0)</x:f>
        <x:v>75</x:v>
      </x:c>
      <x:c r="D277" s="43" t="str">
        <x:f>IF(C277&gt;=85,"A",IF(C277&gt;=65,"B","C"))</x:f>
        <x:v>B</x:v>
      </x:c>
      <x:c r="E277" s="43" t="str">
        <x:v>The National Mathematics and Science College</x:v>
      </x:c>
      <x:c r="F277" s="43" t="str"/>
      <x:c r="G277" s="43" t="str"/>
      <x:c r="H277" s="43" t="str">
        <x:v>CV4 8JB</x:v>
      </x:c>
      <x:c r="I277" s="43" t="n">
        <x:v>15</x:v>
      </x:c>
      <x:c r="J277" s="43" t="n">
        <x:v>20</x:v>
      </x:c>
      <x:c r="K277" s="43" t="str">
        <x:v>Boarding school</x:v>
      </x:c>
      <x:c r="L277" s="43" t="str">
        <x:v>Has a sixth form</x:v>
      </x:c>
      <x:c r="M277" s="43" t="n">
        <x:v>159</x:v>
      </x:c>
      <x:c r="N277" s="43" t="str">
        <x:v>http://natmatsci.ac.uk</x:v>
      </x:c>
      <x:c r="O277" s="43" t="str">
        <x:v>02475092950</x:v>
      </x:c>
      <x:c r="P277" s="43" t="str"/>
      <x:c r="Q277" s="43" t="str"/>
      <x:c r="R277" s="43" t="str">
        <x:v>Queued for contact research</x:v>
      </x:c>
      <x:c r="S277" s="43" t="str">
        <x:v>Not reviewed</x:v>
      </x:c>
      <x:c r="T277" s="43" t="str">
        <x:v>Hold</x:v>
      </x:c>
      <x:c r="U277" s="43" t="str">
        <x:v>No</x:v>
      </x:c>
      <x:c r="V277" s="44"/>
      <x:c r="W277" s="43" t="str"/>
      <x:c r="X277" s="43" t="str"/>
      <x:c r="Y277" s="43" t="str"/>
      <x:c r="Z277" s="43" t="str">
        <x:v>https://www.get-information-schools.service.gov.uk/Downloads</x:v>
      </x:c>
    </x:row>
    <x:row r="278">
      <x:c r="A278" s="43" t="str">
        <x:v>UK independent</x:v>
      </x:c>
      <x:c r="B278" s="43" t="str">
        <x:v>149337</x:v>
      </x:c>
      <x:c r="C278" s="43" t="n">
        <x:f>IF(K278="Boarding school",30,0)+IF(J278&gt;=18,20,0)+IF(I278&lt;=11,10,0)+IF(L278="Has a sixth form",15,0)+IF(M278&gt;=200,10,0)+IF(N278&lt;&gt;"",10,0)</x:f>
        <x:v>75</x:v>
      </x:c>
      <x:c r="D278" s="43" t="str">
        <x:f>IF(C278&gt;=85,"A",IF(C278&gt;=65,"B","C"))</x:f>
        <x:v>B</x:v>
      </x:c>
      <x:c r="E278" s="43" t="str">
        <x:v>Oxford International College, Brighton</x:v>
      </x:c>
      <x:c r="F278" s="43" t="str">
        <x:v>Brighton</x:v>
      </x:c>
      <x:c r="G278" s="43" t="str">
        <x:v>East Sussex</x:v>
      </x:c>
      <x:c r="H278" s="43" t="str">
        <x:v>BN2 7BA</x:v>
      </x:c>
      <x:c r="I278" s="43" t="n">
        <x:v>13</x:v>
      </x:c>
      <x:c r="J278" s="43" t="n">
        <x:v>19</x:v>
      </x:c>
      <x:c r="K278" s="43" t="str">
        <x:v>Boarding school</x:v>
      </x:c>
      <x:c r="L278" s="43" t="str">
        <x:v>Has a sixth form</x:v>
      </x:c>
      <x:c r="M278" s="43" t="n">
        <x:v>158</x:v>
      </x:c>
      <x:c r="N278" s="43" t="str">
        <x:v>https://www.oicbrighton.com</x:v>
      </x:c>
      <x:c r="O278" s="43" t="str">
        <x:v>03003733334</x:v>
      </x:c>
      <x:c r="P278" s="43" t="str"/>
      <x:c r="Q278" s="43" t="str"/>
      <x:c r="R278" s="43" t="str">
        <x:v>Queued for contact research</x:v>
      </x:c>
      <x:c r="S278" s="43" t="str">
        <x:v>Not reviewed</x:v>
      </x:c>
      <x:c r="T278" s="43" t="str">
        <x:v>Hold</x:v>
      </x:c>
      <x:c r="U278" s="43" t="str">
        <x:v>No</x:v>
      </x:c>
      <x:c r="V278" s="44"/>
      <x:c r="W278" s="43" t="str"/>
      <x:c r="X278" s="43" t="str"/>
      <x:c r="Y278" s="43" t="str"/>
      <x:c r="Z278" s="43" t="str">
        <x:v>https://www.get-information-schools.service.gov.uk/Downloads</x:v>
      </x:c>
    </x:row>
    <x:row r="279">
      <x:c r="A279" s="43" t="str">
        <x:v>UK independent</x:v>
      </x:c>
      <x:c r="B279" s="43" t="str">
        <x:v>105601</x:v>
      </x:c>
      <x:c r="C279" s="43" t="n">
        <x:f>IF(K279="Boarding school",30,0)+IF(J279&gt;=18,20,0)+IF(I279&lt;=11,10,0)+IF(L279="Has a sixth form",15,0)+IF(M279&gt;=200,10,0)+IF(N279&lt;&gt;"",10,0)</x:f>
        <x:v>75</x:v>
      </x:c>
      <x:c r="D279" s="43" t="str">
        <x:f>IF(C279&gt;=85,"A",IF(C279&gt;=65,"B","C"))</x:f>
        <x:v>B</x:v>
      </x:c>
      <x:c r="E279" s="43" t="str">
        <x:v>Abbey College Manchester</x:v>
      </x:c>
      <x:c r="F279" s="43" t="str"/>
      <x:c r="G279" s="43" t="str"/>
      <x:c r="H279" s="43" t="str">
        <x:v>M2 4WG</x:v>
      </x:c>
      <x:c r="I279" s="43" t="n">
        <x:v>14</x:v>
      </x:c>
      <x:c r="J279" s="43" t="n">
        <x:v>23</x:v>
      </x:c>
      <x:c r="K279" s="43" t="str">
        <x:v>Boarding school</x:v>
      </x:c>
      <x:c r="L279" s="43" t="str">
        <x:v>Has a sixth form</x:v>
      </x:c>
      <x:c r="M279" s="43" t="n">
        <x:v>155</x:v>
      </x:c>
      <x:c r="N279" s="43" t="str">
        <x:v>https://www.abbeymanchester.co.uk</x:v>
      </x:c>
      <x:c r="O279" s="43" t="str">
        <x:v>01618172700</x:v>
      </x:c>
      <x:c r="P279" s="43" t="str"/>
      <x:c r="Q279" s="43" t="str"/>
      <x:c r="R279" s="43" t="str">
        <x:v>Queued for contact research</x:v>
      </x:c>
      <x:c r="S279" s="43" t="str">
        <x:v>Not reviewed</x:v>
      </x:c>
      <x:c r="T279" s="43" t="str">
        <x:v>Hold</x:v>
      </x:c>
      <x:c r="U279" s="43" t="str">
        <x:v>No</x:v>
      </x:c>
      <x:c r="V279" s="44"/>
      <x:c r="W279" s="43" t="str"/>
      <x:c r="X279" s="43" t="str"/>
      <x:c r="Y279" s="43" t="str"/>
      <x:c r="Z279" s="43" t="str">
        <x:v>https://www.get-information-schools.service.gov.uk/Downloads</x:v>
      </x:c>
    </x:row>
    <x:row r="280">
      <x:c r="A280" s="43" t="str">
        <x:v>UK independent</x:v>
      </x:c>
      <x:c r="B280" s="43" t="str">
        <x:v>137333</x:v>
      </x:c>
      <x:c r="C280" s="43" t="n">
        <x:f>IF(K280="Boarding school",30,0)+IF(J280&gt;=18,20,0)+IF(I280&lt;=11,10,0)+IF(L280="Has a sixth form",15,0)+IF(M280&gt;=200,10,0)+IF(N280&lt;&gt;"",10,0)</x:f>
        <x:v>75</x:v>
      </x:c>
      <x:c r="D280" s="43" t="str">
        <x:f>IF(C280&gt;=85,"A",IF(C280&gt;=65,"B","C"))</x:f>
        <x:v>B</x:v>
      </x:c>
      <x:c r="E280" s="43" t="str">
        <x:v>Guildhouse School</x:v>
      </x:c>
      <x:c r="F280" s="43" t="str">
        <x:v>London</x:v>
      </x:c>
      <x:c r="G280" s="43" t="str"/>
      <x:c r="H280" s="43" t="str">
        <x:v>WC1A 2RA</x:v>
      </x:c>
      <x:c r="I280" s="43" t="n">
        <x:v>15</x:v>
      </x:c>
      <x:c r="J280" s="43" t="n">
        <x:v>24</x:v>
      </x:c>
      <x:c r="K280" s="43" t="str">
        <x:v>Boarding school</x:v>
      </x:c>
      <x:c r="L280" s="43" t="str">
        <x:v>Has a sixth form</x:v>
      </x:c>
      <x:c r="M280" s="43" t="n">
        <x:v>143</x:v>
      </x:c>
      <x:c r="N280" s="43" t="str">
        <x:v>https://www.guildhouseschool.com</x:v>
      </x:c>
      <x:c r="O280" s="43" t="str">
        <x:v>02045290844</x:v>
      </x:c>
      <x:c r="P280" s="43" t="str"/>
      <x:c r="Q280" s="43" t="str"/>
      <x:c r="R280" s="43" t="str">
        <x:v>Queued for contact research</x:v>
      </x:c>
      <x:c r="S280" s="43" t="str">
        <x:v>Not reviewed</x:v>
      </x:c>
      <x:c r="T280" s="43" t="str">
        <x:v>Hold</x:v>
      </x:c>
      <x:c r="U280" s="43" t="str">
        <x:v>No</x:v>
      </x:c>
      <x:c r="V280" s="44"/>
      <x:c r="W280" s="43" t="str"/>
      <x:c r="X280" s="43" t="str"/>
      <x:c r="Y280" s="43" t="str"/>
      <x:c r="Z280" s="43" t="str">
        <x:v>https://www.get-information-schools.service.gov.uk/Downloads</x:v>
      </x:c>
    </x:row>
    <x:row r="281">
      <x:c r="A281" s="43" t="str">
        <x:v>UK independent</x:v>
      </x:c>
      <x:c r="B281" s="43" t="str">
        <x:v>110932</x:v>
      </x:c>
      <x:c r="C281" s="43" t="n">
        <x:f>IF(K281="Boarding school",30,0)+IF(J281&gt;=18,20,0)+IF(I281&lt;=11,10,0)+IF(L281="Has a sixth form",15,0)+IF(M281&gt;=200,10,0)+IF(N281&lt;&gt;"",10,0)</x:f>
        <x:v>75</x:v>
      </x:c>
      <x:c r="D281" s="43" t="str">
        <x:f>IF(C281&gt;=85,"A",IF(C281&gt;=65,"B","C"))</x:f>
        <x:v>B</x:v>
      </x:c>
      <x:c r="E281" s="43" t="str">
        <x:v>St. Andrew's College Cambridge</x:v>
      </x:c>
      <x:c r="F281" s="43" t="str">
        <x:v>Cambridge</x:v>
      </x:c>
      <x:c r="G281" s="43" t="str">
        <x:v>Cambridgeshire</x:v>
      </x:c>
      <x:c r="H281" s="43" t="str">
        <x:v>CB1 2JB</x:v>
      </x:c>
      <x:c r="I281" s="43" t="n">
        <x:v>15</x:v>
      </x:c>
      <x:c r="J281" s="43" t="n">
        <x:v>22</x:v>
      </x:c>
      <x:c r="K281" s="43" t="str">
        <x:v>Boarding school</x:v>
      </x:c>
      <x:c r="L281" s="43" t="str">
        <x:v>Has a sixth form</x:v>
      </x:c>
      <x:c r="M281" s="43" t="n">
        <x:v>123</x:v>
      </x:c>
      <x:c r="N281" s="43" t="str">
        <x:v>https://www.standrewscambridge.co.uk</x:v>
      </x:c>
      <x:c r="O281" s="43" t="str">
        <x:v>01223903048</x:v>
      </x:c>
      <x:c r="P281" s="43" t="str"/>
      <x:c r="Q281" s="43" t="str"/>
      <x:c r="R281" s="43" t="str">
        <x:v>Queued for contact research</x:v>
      </x:c>
      <x:c r="S281" s="43" t="str">
        <x:v>Not reviewed</x:v>
      </x:c>
      <x:c r="T281" s="43" t="str">
        <x:v>Hold</x:v>
      </x:c>
      <x:c r="U281" s="43" t="str">
        <x:v>No</x:v>
      </x:c>
      <x:c r="V281" s="44"/>
      <x:c r="W281" s="43" t="str"/>
      <x:c r="X281" s="43" t="str"/>
      <x:c r="Y281" s="43" t="str"/>
      <x:c r="Z281" s="43" t="str">
        <x:v>https://www.get-information-schools.service.gov.uk/Downloads</x:v>
      </x:c>
    </x:row>
    <x:row r="282">
      <x:c r="A282" s="43" t="str">
        <x:v>UK independent</x:v>
      </x:c>
      <x:c r="B282" s="43" t="str">
        <x:v>138147</x:v>
      </x:c>
      <x:c r="C282" s="43" t="n">
        <x:f>IF(K282="Boarding school",30,0)+IF(J282&gt;=18,20,0)+IF(I282&lt;=11,10,0)+IF(L282="Has a sixth form",15,0)+IF(M282&gt;=200,10,0)+IF(N282&lt;&gt;"",10,0)</x:f>
        <x:v>75</x:v>
      </x:c>
      <x:c r="D282" s="43" t="str">
        <x:f>IF(C282&gt;=85,"A",IF(C282&gt;=65,"B","C"))</x:f>
        <x:v>B</x:v>
      </x:c>
      <x:c r="E282" s="43" t="str">
        <x:v>Bath Academy</x:v>
      </x:c>
      <x:c r="F282" s="43" t="str">
        <x:v>Bath</x:v>
      </x:c>
      <x:c r="G282" s="43" t="str">
        <x:v>Somerset</x:v>
      </x:c>
      <x:c r="H282" s="43" t="str">
        <x:v>BA1 2HX</x:v>
      </x:c>
      <x:c r="I282" s="43" t="n">
        <x:v>14</x:v>
      </x:c>
      <x:c r="J282" s="43" t="n">
        <x:v>19</x:v>
      </x:c>
      <x:c r="K282" s="43" t="str">
        <x:v>Boarding school</x:v>
      </x:c>
      <x:c r="L282" s="43" t="str">
        <x:v>Has a sixth form</x:v>
      </x:c>
      <x:c r="M282" s="43" t="n">
        <x:v>114</x:v>
      </x:c>
      <x:c r="N282" s="43" t="str">
        <x:v>https://www.bathacademy.co.uk</x:v>
      </x:c>
      <x:c r="O282" s="43" t="str">
        <x:v>01225334577</x:v>
      </x:c>
      <x:c r="P282" s="43" t="str"/>
      <x:c r="Q282" s="43" t="str"/>
      <x:c r="R282" s="43" t="str">
        <x:v>Queued for contact research</x:v>
      </x:c>
      <x:c r="S282" s="43" t="str">
        <x:v>Not reviewed</x:v>
      </x:c>
      <x:c r="T282" s="43" t="str">
        <x:v>Hold</x:v>
      </x:c>
      <x:c r="U282" s="43" t="str">
        <x:v>No</x:v>
      </x:c>
      <x:c r="V282" s="44"/>
      <x:c r="W282" s="43" t="str"/>
      <x:c r="X282" s="43" t="str"/>
      <x:c r="Y282" s="43" t="str"/>
      <x:c r="Z282" s="43" t="str">
        <x:v>https://www.get-information-schools.service.gov.uk/Downloads</x:v>
      </x:c>
    </x:row>
    <x:row r="283">
      <x:c r="A283" s="43" t="str">
        <x:v>UK independent</x:v>
      </x:c>
      <x:c r="B283" s="43" t="str">
        <x:v>138405</x:v>
      </x:c>
      <x:c r="C283" s="43" t="n">
        <x:f>IF(K283="Boarding school",30,0)+IF(J283&gt;=18,20,0)+IF(I283&lt;=11,10,0)+IF(L283="Has a sixth form",15,0)+IF(M283&gt;=200,10,0)+IF(N283&lt;&gt;"",10,0)</x:f>
        <x:v>75</x:v>
      </x:c>
      <x:c r="D283" s="43" t="str">
        <x:f>IF(C283&gt;=85,"A",IF(C283&gt;=65,"B","C"))</x:f>
        <x:v>B</x:v>
      </x:c>
      <x:c r="E283" s="43" t="str">
        <x:v>Earlscliffe (Sussex Summer Schools Ltd)</x:v>
      </x:c>
      <x:c r="F283" s="43" t="str">
        <x:v>Folkestone</x:v>
      </x:c>
      <x:c r="G283" s="43" t="str">
        <x:v>Kent</x:v>
      </x:c>
      <x:c r="H283" s="43" t="str">
        <x:v>CT20 2NB</x:v>
      </x:c>
      <x:c r="I283" s="43" t="n">
        <x:v>14</x:v>
      </x:c>
      <x:c r="J283" s="43" t="n">
        <x:v>19</x:v>
      </x:c>
      <x:c r="K283" s="43" t="str">
        <x:v>Boarding school</x:v>
      </x:c>
      <x:c r="L283" s="43" t="str">
        <x:v>Has a sixth form</x:v>
      </x:c>
      <x:c r="M283" s="43" t="n">
        <x:v>101</x:v>
      </x:c>
      <x:c r="N283" s="43" t="str">
        <x:v>https://www.earlscliffe.co.uk</x:v>
      </x:c>
      <x:c r="O283" s="43" t="str">
        <x:v>01303253951</x:v>
      </x:c>
      <x:c r="P283" s="43" t="str"/>
      <x:c r="Q283" s="43" t="str"/>
      <x:c r="R283" s="43" t="str">
        <x:v>Queued for contact research</x:v>
      </x:c>
      <x:c r="S283" s="43" t="str">
        <x:v>Not reviewed</x:v>
      </x:c>
      <x:c r="T283" s="43" t="str">
        <x:v>Hold</x:v>
      </x:c>
      <x:c r="U283" s="43" t="str">
        <x:v>No</x:v>
      </x:c>
      <x:c r="V283" s="44"/>
      <x:c r="W283" s="43" t="str"/>
      <x:c r="X283" s="43" t="str"/>
      <x:c r="Y283" s="43" t="str"/>
      <x:c r="Z283" s="43" t="str">
        <x:v>https://www.get-information-schools.service.gov.uk/Downloads</x:v>
      </x:c>
    </x:row>
    <x:row r="284">
      <x:c r="A284" s="43" t="str">
        <x:v>UK independent</x:v>
      </x:c>
      <x:c r="B284" s="43" t="str">
        <x:v>149027</x:v>
      </x:c>
      <x:c r="C284" s="43" t="n">
        <x:f>IF(K284="Boarding school",30,0)+IF(J284&gt;=18,20,0)+IF(I284&lt;=11,10,0)+IF(L284="Has a sixth form",15,0)+IF(M284&gt;=200,10,0)+IF(N284&lt;&gt;"",10,0)</x:f>
        <x:v>75</x:v>
      </x:c>
      <x:c r="D284" s="43" t="str">
        <x:f>IF(C284&gt;=85,"A",IF(C284&gt;=65,"B","C"))</x:f>
        <x:v>B</x:v>
      </x:c>
      <x:c r="E284" s="43" t="str">
        <x:v>Cardiff Sixth Form College, Cambridge</x:v>
      </x:c>
      <x:c r="F284" s="43" t="str"/>
      <x:c r="G284" s="43" t="str">
        <x:v>Cambridgeshire</x:v>
      </x:c>
      <x:c r="H284" s="43" t="str">
        <x:v>CB1 2AW</x:v>
      </x:c>
      <x:c r="I284" s="43" t="n">
        <x:v>14</x:v>
      </x:c>
      <x:c r="J284" s="43" t="n">
        <x:v>19</x:v>
      </x:c>
      <x:c r="K284" s="43" t="str">
        <x:v>Boarding school</x:v>
      </x:c>
      <x:c r="L284" s="43" t="str">
        <x:v>Has a sixth form</x:v>
      </x:c>
      <x:c r="M284" s="43" t="n">
        <x:v>100</x:v>
      </x:c>
      <x:c r="N284" s="43" t="str">
        <x:v>https://www.ccoex.com</x:v>
      </x:c>
      <x:c r="O284" s="43" t="str">
        <x:v>01223903080</x:v>
      </x:c>
      <x:c r="P284" s="43" t="str"/>
      <x:c r="Q284" s="43" t="str"/>
      <x:c r="R284" s="43" t="str">
        <x:v>Queued for contact research</x:v>
      </x:c>
      <x:c r="S284" s="43" t="str">
        <x:v>Not reviewed</x:v>
      </x:c>
      <x:c r="T284" s="43" t="str">
        <x:v>Hold</x:v>
      </x:c>
      <x:c r="U284" s="43" t="str">
        <x:v>No</x:v>
      </x:c>
      <x:c r="V284" s="44"/>
      <x:c r="W284" s="43" t="str"/>
      <x:c r="X284" s="43" t="str"/>
      <x:c r="Y284" s="43" t="str"/>
      <x:c r="Z284" s="43" t="str">
        <x:v>https://www.get-information-schools.service.gov.uk/Downloads</x:v>
      </x:c>
    </x:row>
    <x:row r="285">
      <x:c r="A285" s="43" t="str">
        <x:v>UK independent</x:v>
      </x:c>
      <x:c r="B285" s="43" t="str">
        <x:v>135822</x:v>
      </x:c>
      <x:c r="C285" s="43" t="n">
        <x:f>IF(K285="Boarding school",30,0)+IF(J285&gt;=18,20,0)+IF(I285&lt;=11,10,0)+IF(L285="Has a sixth form",15,0)+IF(M285&gt;=200,10,0)+IF(N285&lt;&gt;"",10,0)</x:f>
        <x:v>75</x:v>
      </x:c>
      <x:c r="D285" s="43" t="str">
        <x:f>IF(C285&gt;=85,"A",IF(C285&gt;=65,"B","C"))</x:f>
        <x:v>B</x:v>
      </x:c>
      <x:c r="E285" s="43" t="str">
        <x:v>Abrar Academy</x:v>
      </x:c>
      <x:c r="F285" s="43" t="str">
        <x:v>Preston</x:v>
      </x:c>
      <x:c r="G285" s="43" t="str">
        <x:v>Lancashire</x:v>
      </x:c>
      <x:c r="H285" s="43" t="str">
        <x:v>PR1 1NA</x:v>
      </x:c>
      <x:c r="I285" s="43" t="n">
        <x:v>11</x:v>
      </x:c>
      <x:c r="J285" s="43" t="n">
        <x:v>21</x:v>
      </x:c>
      <x:c r="K285" s="43" t="str">
        <x:v>Boarding school</x:v>
      </x:c>
      <x:c r="L285" s="43" t="str">
        <x:v>Has a sixth form</x:v>
      </x:c>
      <x:c r="M285" s="43" t="n">
        <x:v>81</x:v>
      </x:c>
      <x:c r="N285" s="43" t="str"/>
      <x:c r="O285" s="43" t="str">
        <x:v>01772828732</x:v>
      </x:c>
      <x:c r="P285" s="43" t="str"/>
      <x:c r="Q285" s="43" t="str"/>
      <x:c r="R285" s="43" t="str">
        <x:v>Queued for contact research</x:v>
      </x:c>
      <x:c r="S285" s="43" t="str">
        <x:v>Not reviewed</x:v>
      </x:c>
      <x:c r="T285" s="43" t="str">
        <x:v>Hold</x:v>
      </x:c>
      <x:c r="U285" s="43" t="str">
        <x:v>No</x:v>
      </x:c>
      <x:c r="V285" s="44"/>
      <x:c r="W285" s="43" t="str"/>
      <x:c r="X285" s="43" t="str"/>
      <x:c r="Y285" s="43" t="str"/>
      <x:c r="Z285" s="43" t="str">
        <x:v>https://www.get-information-schools.service.gov.uk/Downloads</x:v>
      </x:c>
    </x:row>
    <x:row r="286">
      <x:c r="A286" s="43" t="str">
        <x:v>UK independent</x:v>
      </x:c>
      <x:c r="B286" s="43" t="str">
        <x:v>143046</x:v>
      </x:c>
      <x:c r="C286" s="43" t="n">
        <x:f>IF(K286="Boarding school",30,0)+IF(J286&gt;=18,20,0)+IF(I286&lt;=11,10,0)+IF(L286="Has a sixth form",15,0)+IF(M286&gt;=200,10,0)+IF(N286&lt;&gt;"",10,0)</x:f>
        <x:v>75</x:v>
      </x:c>
      <x:c r="D286" s="43" t="str">
        <x:f>IF(C286&gt;=85,"A",IF(C286&gt;=65,"B","C"))</x:f>
        <x:v>B</x:v>
      </x:c>
      <x:c r="E286" s="43" t="str">
        <x:v>Kings Brighton</x:v>
      </x:c>
      <x:c r="F286" s="43" t="str">
        <x:v>Brighton</x:v>
      </x:c>
      <x:c r="G286" s="43" t="str"/>
      <x:c r="H286" s="43" t="str">
        <x:v>BN1 4SB</x:v>
      </x:c>
      <x:c r="I286" s="43" t="n">
        <x:v>14</x:v>
      </x:c>
      <x:c r="J286" s="43" t="n">
        <x:v>19</x:v>
      </x:c>
      <x:c r="K286" s="43" t="str">
        <x:v>Boarding school</x:v>
      </x:c>
      <x:c r="L286" s="43" t="str">
        <x:v>Has a sixth form</x:v>
      </x:c>
      <x:c r="M286" s="43" t="n">
        <x:v>79</x:v>
      </x:c>
      <x:c r="N286" s="43" t="str">
        <x:v>https://www.kingseducation.com/study-locations/brighton/</x:v>
      </x:c>
      <x:c r="O286" s="43" t="str">
        <x:v>01273443403</x:v>
      </x:c>
      <x:c r="P286" s="43" t="str"/>
      <x:c r="Q286" s="43" t="str"/>
      <x:c r="R286" s="43" t="str">
        <x:v>Queued for contact research</x:v>
      </x:c>
      <x:c r="S286" s="43" t="str">
        <x:v>Not reviewed</x:v>
      </x:c>
      <x:c r="T286" s="43" t="str">
        <x:v>Hold</x:v>
      </x:c>
      <x:c r="U286" s="43" t="str">
        <x:v>No</x:v>
      </x:c>
      <x:c r="V286" s="44"/>
      <x:c r="W286" s="43" t="str"/>
      <x:c r="X286" s="43" t="str"/>
      <x:c r="Y286" s="43" t="str"/>
      <x:c r="Z286" s="43" t="str">
        <x:v>https://www.get-information-schools.service.gov.uk/Downloads</x:v>
      </x:c>
    </x:row>
    <x:row r="287">
      <x:c r="A287" s="43" t="str">
        <x:v>UK independent</x:v>
      </x:c>
      <x:c r="B287" s="43" t="str">
        <x:v>116574</x:v>
      </x:c>
      <x:c r="C287" s="43" t="n">
        <x:f>IF(K287="Boarding school",30,0)+IF(J287&gt;=18,20,0)+IF(I287&lt;=11,10,0)+IF(L287="Has a sixth form",15,0)+IF(M287&gt;=200,10,0)+IF(N287&lt;&gt;"",10,0)</x:f>
        <x:v>75</x:v>
      </x:c>
      <x:c r="D287" s="43" t="str">
        <x:f>IF(C287&gt;=85,"A",IF(C287&gt;=65,"B","C"))</x:f>
        <x:v>B</x:v>
      </x:c>
      <x:c r="E287" s="43" t="str">
        <x:v>Brockwood Park School</x:v>
      </x:c>
      <x:c r="F287" s="43" t="str">
        <x:v>Alresford</x:v>
      </x:c>
      <x:c r="G287" s="43" t="str">
        <x:v>Hampshire</x:v>
      </x:c>
      <x:c r="H287" s="43" t="str">
        <x:v>SO24 0LQ</x:v>
      </x:c>
      <x:c r="I287" s="43" t="n">
        <x:v>13</x:v>
      </x:c>
      <x:c r="J287" s="43" t="n">
        <x:v>20</x:v>
      </x:c>
      <x:c r="K287" s="43" t="str">
        <x:v>Boarding school</x:v>
      </x:c>
      <x:c r="L287" s="43" t="str">
        <x:v>Has a sixth form</x:v>
      </x:c>
      <x:c r="M287" s="43" t="n">
        <x:v>77</x:v>
      </x:c>
      <x:c r="N287" s="43" t="str">
        <x:v>http://www.brockwood.org.uk/</x:v>
      </x:c>
      <x:c r="O287" s="43" t="str">
        <x:v>01962771744</x:v>
      </x:c>
      <x:c r="P287" s="43" t="str"/>
      <x:c r="Q287" s="43" t="str"/>
      <x:c r="R287" s="43" t="str">
        <x:v>Queued for contact research</x:v>
      </x:c>
      <x:c r="S287" s="43" t="str">
        <x:v>Not reviewed</x:v>
      </x:c>
      <x:c r="T287" s="43" t="str">
        <x:v>Hold</x:v>
      </x:c>
      <x:c r="U287" s="43" t="str">
        <x:v>No</x:v>
      </x:c>
      <x:c r="V287" s="44"/>
      <x:c r="W287" s="43" t="str"/>
      <x:c r="X287" s="43" t="str"/>
      <x:c r="Y287" s="43" t="str"/>
      <x:c r="Z287" s="43" t="str">
        <x:v>https://www.get-information-schools.service.gov.uk/Downloads</x:v>
      </x:c>
    </x:row>
    <x:row r="288">
      <x:c r="A288" s="43" t="str">
        <x:v>UK independent</x:v>
      </x:c>
      <x:c r="B288" s="43" t="str">
        <x:v>138602</x:v>
      </x:c>
      <x:c r="C288" s="43" t="n">
        <x:f>IF(K288="Boarding school",30,0)+IF(J288&gt;=18,20,0)+IF(I288&lt;=11,10,0)+IF(L288="Has a sixth form",15,0)+IF(M288&gt;=200,10,0)+IF(N288&lt;&gt;"",10,0)</x:f>
        <x:v>75</x:v>
      </x:c>
      <x:c r="D288" s="43" t="str">
        <x:f>IF(C288&gt;=85,"A",IF(C288&gt;=65,"B","C"))</x:f>
        <x:v>B</x:v>
      </x:c>
      <x:c r="E288" s="43" t="str">
        <x:v>Kings Education (Oxford)</x:v>
      </x:c>
      <x:c r="F288" s="43" t="str">
        <x:v>Oxford</x:v>
      </x:c>
      <x:c r="G288" s="43" t="str">
        <x:v>Oxfordshire</x:v>
      </x:c>
      <x:c r="H288" s="43" t="str">
        <x:v>OX4 2UJ</x:v>
      </x:c>
      <x:c r="I288" s="43" t="n">
        <x:v>15</x:v>
      </x:c>
      <x:c r="J288" s="43" t="n">
        <x:v>25</x:v>
      </x:c>
      <x:c r="K288" s="43" t="str">
        <x:v>Boarding school</x:v>
      </x:c>
      <x:c r="L288" s="43" t="str">
        <x:v>Has a sixth form</x:v>
      </x:c>
      <x:c r="M288" s="43" t="n">
        <x:v>77</x:v>
      </x:c>
      <x:c r="N288" s="43" t="str">
        <x:v>http://kingseducation.com</x:v>
      </x:c>
      <x:c r="O288" s="43" t="str">
        <x:v>01865711829</x:v>
      </x:c>
      <x:c r="P288" s="43" t="str"/>
      <x:c r="Q288" s="43" t="str"/>
      <x:c r="R288" s="43" t="str">
        <x:v>Queued for contact research</x:v>
      </x:c>
      <x:c r="S288" s="43" t="str">
        <x:v>Not reviewed</x:v>
      </x:c>
      <x:c r="T288" s="43" t="str">
        <x:v>Hold</x:v>
      </x:c>
      <x:c r="U288" s="43" t="str">
        <x:v>No</x:v>
      </x:c>
      <x:c r="V288" s="44"/>
      <x:c r="W288" s="43" t="str"/>
      <x:c r="X288" s="43" t="str"/>
      <x:c r="Y288" s="43" t="str"/>
      <x:c r="Z288" s="43" t="str">
        <x:v>https://www.get-information-schools.service.gov.uk/Downloads</x:v>
      </x:c>
    </x:row>
    <x:row r="289">
      <x:c r="A289" s="43" t="str">
        <x:v>UK independent</x:v>
      </x:c>
      <x:c r="B289" s="43" t="str">
        <x:v>116594</x:v>
      </x:c>
      <x:c r="C289" s="43" t="n">
        <x:f>IF(K289="Boarding school",30,0)+IF(J289&gt;=18,20,0)+IF(I289&lt;=11,10,0)+IF(L289="Has a sixth form",15,0)+IF(M289&gt;=200,10,0)+IF(N289&lt;&gt;"",10,0)</x:f>
        <x:v>75</x:v>
      </x:c>
      <x:c r="D289" s="43" t="str">
        <x:f>IF(C289&gt;=85,"A",IF(C289&gt;=65,"B","C"))</x:f>
        <x:v>B</x:v>
      </x:c>
      <x:c r="E289" s="43" t="str">
        <x:v>St Michael's School</x:v>
      </x:c>
      <x:c r="F289" s="43" t="str">
        <x:v>Newbury</x:v>
      </x:c>
      <x:c r="G289" s="43" t="str">
        <x:v>Berkshire</x:v>
      </x:c>
      <x:c r="H289" s="43" t="str">
        <x:v>RG20 9JW</x:v>
      </x:c>
      <x:c r="I289" s="43" t="n">
        <x:v>5</x:v>
      </x:c>
      <x:c r="J289" s="43" t="n">
        <x:v>18</x:v>
      </x:c>
      <x:c r="K289" s="43" t="str">
        <x:v>Boarding school</x:v>
      </x:c>
      <x:c r="L289" s="43" t="str">
        <x:v>Has a sixth form</x:v>
      </x:c>
      <x:c r="M289" s="43" t="n">
        <x:v>72</x:v>
      </x:c>
      <x:c r="N289" s="43" t="str"/>
      <x:c r="O289" s="43" t="str">
        <x:v>01635278137</x:v>
      </x:c>
      <x:c r="P289" s="43" t="str"/>
      <x:c r="Q289" s="43" t="str"/>
      <x:c r="R289" s="43" t="str">
        <x:v>Queued for contact research</x:v>
      </x:c>
      <x:c r="S289" s="43" t="str">
        <x:v>Not reviewed</x:v>
      </x:c>
      <x:c r="T289" s="43" t="str">
        <x:v>Hold</x:v>
      </x:c>
      <x:c r="U289" s="43" t="str">
        <x:v>No</x:v>
      </x:c>
      <x:c r="V289" s="44"/>
      <x:c r="W289" s="43" t="str"/>
      <x:c r="X289" s="43" t="str"/>
      <x:c r="Y289" s="43" t="str"/>
      <x:c r="Z289" s="43" t="str">
        <x:v>https://www.get-information-schools.service.gov.uk/Downloads</x:v>
      </x:c>
    </x:row>
    <x:row r="290">
      <x:c r="A290" s="43" t="str">
        <x:v>UK independent</x:v>
      </x:c>
      <x:c r="B290" s="43" t="str">
        <x:v>138333</x:v>
      </x:c>
      <x:c r="C290" s="43" t="n">
        <x:f>IF(K290="Boarding school",30,0)+IF(J290&gt;=18,20,0)+IF(I290&lt;=11,10,0)+IF(L290="Has a sixth form",15,0)+IF(M290&gt;=200,10,0)+IF(N290&lt;&gt;"",10,0)</x:f>
        <x:v>75</x:v>
      </x:c>
      <x:c r="D290" s="43" t="str">
        <x:f>IF(C290&gt;=85,"A",IF(C290&gt;=65,"B","C"))</x:f>
        <x:v>B</x:v>
      </x:c>
      <x:c r="E290" s="43" t="str">
        <x:v>Kings Bournemouth</x:v>
      </x:c>
      <x:c r="F290" s="43" t="str">
        <x:v>Bournemouth</x:v>
      </x:c>
      <x:c r="G290" s="43" t="str">
        <x:v>Dorset</x:v>
      </x:c>
      <x:c r="H290" s="43" t="str">
        <x:v>BH2 6LD</x:v>
      </x:c>
      <x:c r="I290" s="43" t="n">
        <x:v>14</x:v>
      </x:c>
      <x:c r="J290" s="43" t="n">
        <x:v>25</x:v>
      </x:c>
      <x:c r="K290" s="43" t="str">
        <x:v>Boarding school</x:v>
      </x:c>
      <x:c r="L290" s="43" t="str">
        <x:v>Has a sixth form</x:v>
      </x:c>
      <x:c r="M290" s="43" t="n">
        <x:v>65</x:v>
      </x:c>
      <x:c r="N290" s="43" t="str">
        <x:v>https://www.kingseducation.com</x:v>
      </x:c>
      <x:c r="O290" s="43" t="str">
        <x:v>01202293535</x:v>
      </x:c>
      <x:c r="P290" s="43" t="str"/>
      <x:c r="Q290" s="43" t="str"/>
      <x:c r="R290" s="43" t="str">
        <x:v>Queued for contact research</x:v>
      </x:c>
      <x:c r="S290" s="43" t="str">
        <x:v>Not reviewed</x:v>
      </x:c>
      <x:c r="T290" s="43" t="str">
        <x:v>Hold</x:v>
      </x:c>
      <x:c r="U290" s="43" t="str">
        <x:v>No</x:v>
      </x:c>
      <x:c r="V290" s="44"/>
      <x:c r="W290" s="43" t="str"/>
      <x:c r="X290" s="43" t="str"/>
      <x:c r="Y290" s="43" t="str"/>
      <x:c r="Z290" s="43" t="str">
        <x:v>https://www.get-information-schools.service.gov.uk/Downloads</x:v>
      </x:c>
    </x:row>
    <x:row r="291">
      <x:c r="A291" s="43" t="str">
        <x:v>UK independent</x:v>
      </x:c>
      <x:c r="B291" s="43" t="str">
        <x:v>110570</x:v>
      </x:c>
      <x:c r="C291" s="43" t="n">
        <x:f>IF(K291="Boarding school",30,0)+IF(J291&gt;=18,20,0)+IF(I291&lt;=11,10,0)+IF(L291="Has a sixth form",15,0)+IF(M291&gt;=200,10,0)+IF(N291&lt;&gt;"",10,0)</x:f>
        <x:v>75</x:v>
      </x:c>
      <x:c r="D291" s="43" t="str">
        <x:f>IF(C291&gt;=85,"A",IF(C291&gt;=65,"B","C"))</x:f>
        <x:v>B</x:v>
      </x:c>
      <x:c r="E291" s="43" t="str">
        <x:v>Teikyo School UK</x:v>
      </x:c>
      <x:c r="F291" s="43" t="str"/>
      <x:c r="G291" s="43" t="str">
        <x:v>Buckinghamshire</x:v>
      </x:c>
      <x:c r="H291" s="43" t="str">
        <x:v>SL2 4QS</x:v>
      </x:c>
      <x:c r="I291" s="43" t="n">
        <x:v>15</x:v>
      </x:c>
      <x:c r="J291" s="43" t="n">
        <x:v>19</x:v>
      </x:c>
      <x:c r="K291" s="43" t="str">
        <x:v>Boarding school</x:v>
      </x:c>
      <x:c r="L291" s="43" t="str">
        <x:v>Has a sixth form</x:v>
      </x:c>
      <x:c r="M291" s="43" t="n">
        <x:v>43</x:v>
      </x:c>
      <x:c r="N291" s="43" t="str">
        <x:v>https://www.teikyofoundation.com</x:v>
      </x:c>
      <x:c r="O291" s="43" t="str">
        <x:v>01753663711</x:v>
      </x:c>
      <x:c r="P291" s="43" t="str"/>
      <x:c r="Q291" s="43" t="str"/>
      <x:c r="R291" s="43" t="str">
        <x:v>Queued for contact research</x:v>
      </x:c>
      <x:c r="S291" s="43" t="str">
        <x:v>Not reviewed</x:v>
      </x:c>
      <x:c r="T291" s="43" t="str">
        <x:v>Hold</x:v>
      </x:c>
      <x:c r="U291" s="43" t="str">
        <x:v>No</x:v>
      </x:c>
      <x:c r="V291" s="44"/>
      <x:c r="W291" s="43" t="str"/>
      <x:c r="X291" s="43" t="str"/>
      <x:c r="Y291" s="43" t="str"/>
      <x:c r="Z291" s="43" t="str">
        <x:v>https://www.get-information-schools.service.gov.uk/Downloads</x:v>
      </x:c>
    </x:row>
    <x:row r="292">
      <x:c r="A292" s="43" t="str">
        <x:v>UK independent</x:v>
      </x:c>
      <x:c r="B292" s="43" t="str">
        <x:v>148010</x:v>
      </x:c>
      <x:c r="C292" s="43" t="n">
        <x:f>IF(K292="Boarding school",30,0)+IF(J292&gt;=18,20,0)+IF(I292&lt;=11,10,0)+IF(L292="Has a sixth form",15,0)+IF(M292&gt;=200,10,0)+IF(N292&lt;&gt;"",10,0)</x:f>
        <x:v>75</x:v>
      </x:c>
      <x:c r="D292" s="43" t="str">
        <x:f>IF(C292&gt;=85,"A",IF(C292&gt;=65,"B","C"))</x:f>
        <x:v>B</x:v>
      </x:c>
      <x:c r="E292" s="43" t="str">
        <x:v>International School of Creative Arts</x:v>
      </x:c>
      <x:c r="F292" s="43" t="str">
        <x:v>Ascot</x:v>
      </x:c>
      <x:c r="G292" s="43" t="str">
        <x:v>Berkshire</x:v>
      </x:c>
      <x:c r="H292" s="43" t="str">
        <x:v>SL5 8BQ</x:v>
      </x:c>
      <x:c r="I292" s="43" t="n">
        <x:v>14</x:v>
      </x:c>
      <x:c r="J292" s="43" t="n">
        <x:v>19</x:v>
      </x:c>
      <x:c r="K292" s="43" t="str">
        <x:v>Boarding school</x:v>
      </x:c>
      <x:c r="L292" s="43" t="str">
        <x:v>Has a sixth form</x:v>
      </x:c>
      <x:c r="M292" s="43" t="n">
        <x:v>42</x:v>
      </x:c>
      <x:c r="N292" s="43" t="str">
        <x:v>https://www.isca.uk.com</x:v>
      </x:c>
      <x:c r="O292" s="43" t="str">
        <x:v>01753208820</x:v>
      </x:c>
      <x:c r="P292" s="43" t="str"/>
      <x:c r="Q292" s="43" t="str"/>
      <x:c r="R292" s="43" t="str">
        <x:v>Queued for contact research</x:v>
      </x:c>
      <x:c r="S292" s="43" t="str">
        <x:v>Not reviewed</x:v>
      </x:c>
      <x:c r="T292" s="43" t="str">
        <x:v>Hold</x:v>
      </x:c>
      <x:c r="U292" s="43" t="str">
        <x:v>No</x:v>
      </x:c>
      <x:c r="V292" s="44"/>
      <x:c r="W292" s="43" t="str"/>
      <x:c r="X292" s="43" t="str"/>
      <x:c r="Y292" s="43" t="str"/>
      <x:c r="Z292" s="43" t="str">
        <x:v>https://www.get-information-schools.service.gov.uk/Downloads</x:v>
      </x:c>
    </x:row>
    <x:row r="293">
      <x:c r="A293" s="43" t="str">
        <x:v>UK independent</x:v>
      </x:c>
      <x:c r="B293" s="43" t="str">
        <x:v>117035</x:v>
      </x:c>
      <x:c r="C293" s="43" t="n">
        <x:f>IF(K293="Boarding school",30,0)+IF(J293&gt;=18,20,0)+IF(I293&lt;=11,10,0)+IF(L293="Has a sixth form",15,0)+IF(M293&gt;=200,10,0)+IF(N293&lt;&gt;"",10,0)</x:f>
        <x:v>75</x:v>
      </x:c>
      <x:c r="D293" s="43" t="str">
        <x:f>IF(C293&gt;=85,"A",IF(C293&gt;=65,"B","C"))</x:f>
        <x:v>B</x:v>
      </x:c>
      <x:c r="E293" s="43" t="str">
        <x:v>Abbey College in Malvern</x:v>
      </x:c>
      <x:c r="F293" s="43" t="str">
        <x:v>Malvern</x:v>
      </x:c>
      <x:c r="G293" s="43" t="str">
        <x:v>Worcestershire</x:v>
      </x:c>
      <x:c r="H293" s="43" t="str">
        <x:v>WR14 4JF</x:v>
      </x:c>
      <x:c r="I293" s="43" t="n">
        <x:v>14</x:v>
      </x:c>
      <x:c r="J293" s="43" t="n">
        <x:v>19</x:v>
      </x:c>
      <x:c r="K293" s="43" t="str">
        <x:v>Boarding school</x:v>
      </x:c>
      <x:c r="L293" s="43" t="str">
        <x:v>Has a sixth form</x:v>
      </x:c>
      <x:c r="M293" s="43" t="n">
        <x:v>20</x:v>
      </x:c>
      <x:c r="N293" s="43" t="str">
        <x:v>https://www.abbeycollege.co.uk</x:v>
      </x:c>
      <x:c r="O293" s="43" t="str">
        <x:v>01684892300</x:v>
      </x:c>
      <x:c r="P293" s="43" t="str"/>
      <x:c r="Q293" s="43" t="str"/>
      <x:c r="R293" s="43" t="str">
        <x:v>Queued for contact research</x:v>
      </x:c>
      <x:c r="S293" s="43" t="str">
        <x:v>Not reviewed</x:v>
      </x:c>
      <x:c r="T293" s="43" t="str">
        <x:v>Hold</x:v>
      </x:c>
      <x:c r="U293" s="43" t="str">
        <x:v>No</x:v>
      </x:c>
      <x:c r="V293" s="44"/>
      <x:c r="W293" s="43" t="str"/>
      <x:c r="X293" s="43" t="str"/>
      <x:c r="Y293" s="43" t="str"/>
      <x:c r="Z293" s="43" t="str">
        <x:v>https://www.get-information-schools.service.gov.uk/Downloads</x:v>
      </x:c>
    </x:row>
    <x:row r="294">
      <x:c r="A294" s="43" t="str">
        <x:v>UK independent</x:v>
      </x:c>
      <x:c r="B294" s="43" t="str">
        <x:v>143042</x:v>
      </x:c>
      <x:c r="C294" s="43" t="n">
        <x:f>IF(K294="Boarding school",30,0)+IF(J294&gt;=18,20,0)+IF(I294&lt;=11,10,0)+IF(L294="Has a sixth form",15,0)+IF(M294&gt;=200,10,0)+IF(N294&lt;&gt;"",10,0)</x:f>
        <x:v>75</x:v>
      </x:c>
      <x:c r="D294" s="43" t="str">
        <x:f>IF(C294&gt;=85,"A",IF(C294&gt;=65,"B","C"))</x:f>
        <x:v>B</x:v>
      </x:c>
      <x:c r="E294" s="43" t="str">
        <x:v>Cherwell College Oxford</x:v>
      </x:c>
      <x:c r="F294" s="43" t="str">
        <x:v>Oxford</x:v>
      </x:c>
      <x:c r="G294" s="43" t="str"/>
      <x:c r="H294" s="43" t="str">
        <x:v>OX1 1BZ</x:v>
      </x:c>
      <x:c r="I294" s="43" t="n">
        <x:v>12</x:v>
      </x:c>
      <x:c r="J294" s="43" t="n">
        <x:v>25</x:v>
      </x:c>
      <x:c r="K294" s="43" t="str">
        <x:v>Boarding school</x:v>
      </x:c>
      <x:c r="L294" s="43" t="str">
        <x:v>Has a sixth form</x:v>
      </x:c>
      <x:c r="M294" s="43" t="n">
        <x:v>20</x:v>
      </x:c>
      <x:c r="N294" s="43" t="str">
        <x:v>https://www.cherwell-college.co.uk</x:v>
      </x:c>
      <x:c r="O294" s="43" t="str">
        <x:v>01865242670</x:v>
      </x:c>
      <x:c r="P294" s="43" t="str"/>
      <x:c r="Q294" s="43" t="str"/>
      <x:c r="R294" s="43" t="str">
        <x:v>Queued for contact research</x:v>
      </x:c>
      <x:c r="S294" s="43" t="str">
        <x:v>Not reviewed</x:v>
      </x:c>
      <x:c r="T294" s="43" t="str">
        <x:v>Hold</x:v>
      </x:c>
      <x:c r="U294" s="43" t="str">
        <x:v>No</x:v>
      </x:c>
      <x:c r="V294" s="44"/>
      <x:c r="W294" s="43" t="str"/>
      <x:c r="X294" s="43" t="str"/>
      <x:c r="Y294" s="43" t="str"/>
      <x:c r="Z294" s="43" t="str">
        <x:v>https://www.get-information-schools.service.gov.uk/Downloads</x:v>
      </x:c>
    </x:row>
    <x:row r="295">
      <x:c r="A295" s="43" t="str">
        <x:v>UK independent</x:v>
      </x:c>
      <x:c r="B295" s="43" t="str">
        <x:v>151571</x:v>
      </x:c>
      <x:c r="C295" s="43" t="n">
        <x:f>IF(K295="Boarding school",30,0)+IF(J295&gt;=18,20,0)+IF(I295&lt;=11,10,0)+IF(L295="Has a sixth form",15,0)+IF(M295&gt;=200,10,0)+IF(N295&lt;&gt;"",10,0)</x:f>
        <x:v>75</x:v>
      </x:c>
      <x:c r="D295" s="43" t="str">
        <x:f>IF(C295&gt;=85,"A",IF(C295&gt;=65,"B","C"))</x:f>
        <x:v>B</x:v>
      </x:c>
      <x:c r="E295" s="43" t="str">
        <x:v>St Michael Abbey School</x:v>
      </x:c>
      <x:c r="F295" s="43" t="str">
        <x:v>Tenbury Wells</x:v>
      </x:c>
      <x:c r="G295" s="43" t="str">
        <x:v>Worcestershire</x:v>
      </x:c>
      <x:c r="H295" s="43" t="str">
        <x:v>WR15 8PH</x:v>
      </x:c>
      <x:c r="I295" s="43" t="n">
        <x:v>13</x:v>
      </x:c>
      <x:c r="J295" s="43" t="n">
        <x:v>19</x:v>
      </x:c>
      <x:c r="K295" s="43" t="str">
        <x:v>Boarding school</x:v>
      </x:c>
      <x:c r="L295" s="43" t="str">
        <x:v>Has a sixth form</x:v>
      </x:c>
      <x:c r="M295" s="43" t="n">
        <x:v>6</x:v>
      </x:c>
      <x:c r="N295" s="43" t="str">
        <x:v>https://sma-school.com/</x:v>
      </x:c>
      <x:c r="O295" s="43" t="str">
        <x:v>01584701702</x:v>
      </x:c>
      <x:c r="P295" s="43" t="str"/>
      <x:c r="Q295" s="43" t="str"/>
      <x:c r="R295" s="43" t="str">
        <x:v>Queued for contact research</x:v>
      </x:c>
      <x:c r="S295" s="43" t="str">
        <x:v>Not reviewed</x:v>
      </x:c>
      <x:c r="T295" s="43" t="str">
        <x:v>Hold</x:v>
      </x:c>
      <x:c r="U295" s="43" t="str">
        <x:v>No</x:v>
      </x:c>
      <x:c r="V295" s="44"/>
      <x:c r="W295" s="43" t="str"/>
      <x:c r="X295" s="43" t="str"/>
      <x:c r="Y295" s="43" t="str"/>
      <x:c r="Z295" s="43" t="str">
        <x:v>https://www.get-information-schools.service.gov.uk/Downloads</x:v>
      </x:c>
    </x:row>
    <x:row r="296">
      <x:c r="A296" s="43" t="str">
        <x:v>UK independent</x:v>
      </x:c>
      <x:c r="B296" s="43" t="str">
        <x:v>100547</x:v>
      </x:c>
      <x:c r="C296" s="43" t="n">
        <x:f>IF(K296="Boarding school",30,0)+IF(J296&gt;=18,20,0)+IF(I296&lt;=11,10,0)+IF(L296="Has a sixth form",15,0)+IF(M296&gt;=200,10,0)+IF(N296&lt;&gt;"",10,0)</x:f>
        <x:v>65</x:v>
      </x:c>
      <x:c r="D296" s="43" t="str">
        <x:f>IF(C296&gt;=85,"A",IF(C296&gt;=65,"B","C"))</x:f>
        <x:v>B</x:v>
      </x:c>
      <x:c r="E296" s="43" t="str">
        <x:v>Lycee Francais Charles de Gaulle</x:v>
      </x:c>
      <x:c r="F296" s="43" t="str">
        <x:v>London</x:v>
      </x:c>
      <x:c r="G296" s="43" t="str"/>
      <x:c r="H296" s="43" t="str">
        <x:v>SW7 2DG</x:v>
      </x:c>
      <x:c r="I296" s="43" t="n">
        <x:v>2</x:v>
      </x:c>
      <x:c r="J296" s="43" t="n">
        <x:v>19</x:v>
      </x:c>
      <x:c r="K296" s="43" t="str">
        <x:v>No boarders</x:v>
      </x:c>
      <x:c r="L296" s="43" t="str">
        <x:v>Has a sixth form</x:v>
      </x:c>
      <x:c r="M296" s="43" t="n">
        <x:v>3420</x:v>
      </x:c>
      <x:c r="N296" s="43" t="str">
        <x:v>https://www.lyceefrancais.org.uk</x:v>
      </x:c>
      <x:c r="O296" s="43" t="str">
        <x:v>02075846322</x:v>
      </x:c>
      <x:c r="P296" s="43" t="str"/>
      <x:c r="Q296" s="43" t="str"/>
      <x:c r="R296" s="43" t="str">
        <x:v>Queued for contact research</x:v>
      </x:c>
      <x:c r="S296" s="43" t="str">
        <x:v>Not reviewed</x:v>
      </x:c>
      <x:c r="T296" s="43" t="str">
        <x:v>Hold</x:v>
      </x:c>
      <x:c r="U296" s="43" t="str">
        <x:v>No</x:v>
      </x:c>
      <x:c r="V296" s="44"/>
      <x:c r="W296" s="43" t="str"/>
      <x:c r="X296" s="43" t="str"/>
      <x:c r="Y296" s="43" t="str"/>
      <x:c r="Z296" s="43" t="str">
        <x:v>https://www.get-information-schools.service.gov.uk/Downloads</x:v>
      </x:c>
    </x:row>
    <x:row r="297">
      <x:c r="A297" s="43" t="str">
        <x:v>UK independent</x:v>
      </x:c>
      <x:c r="B297" s="43" t="str">
        <x:v>108113</x:v>
      </x:c>
      <x:c r="C297" s="43" t="n">
        <x:f>IF(K297="Boarding school",30,0)+IF(J297&gt;=18,20,0)+IF(I297&lt;=11,10,0)+IF(L297="Has a sixth form",15,0)+IF(M297&gt;=200,10,0)+IF(N297&lt;&gt;"",10,0)</x:f>
        <x:v>65</x:v>
      </x:c>
      <x:c r="D297" s="43" t="str">
        <x:f>IF(C297&gt;=85,"A",IF(C297&gt;=65,"B","C"))</x:f>
        <x:v>B</x:v>
      </x:c>
      <x:c r="E297" s="43" t="str">
        <x:v>The Grammar School At Leeds</x:v>
      </x:c>
      <x:c r="F297" s="43" t="str">
        <x:v>Leeds</x:v>
      </x:c>
      <x:c r="G297" s="43" t="str">
        <x:v>West Yorkshire</x:v>
      </x:c>
      <x:c r="H297" s="43" t="str">
        <x:v>LS17 8GS</x:v>
      </x:c>
      <x:c r="I297" s="43" t="n">
        <x:v>2</x:v>
      </x:c>
      <x:c r="J297" s="43" t="n">
        <x:v>19</x:v>
      </x:c>
      <x:c r="K297" s="43" t="str">
        <x:v>No boarders</x:v>
      </x:c>
      <x:c r="L297" s="43" t="str">
        <x:v>Has a sixth form</x:v>
      </x:c>
      <x:c r="M297" s="43" t="n">
        <x:v>2071</x:v>
      </x:c>
      <x:c r="N297" s="43" t="str">
        <x:v>https://www.gsal.org.uk</x:v>
      </x:c>
      <x:c r="O297" s="43" t="str">
        <x:v>01132291552</x:v>
      </x:c>
      <x:c r="P297" s="43" t="str"/>
      <x:c r="Q297" s="43" t="str"/>
      <x:c r="R297" s="43" t="str">
        <x:v>Queued for contact research</x:v>
      </x:c>
      <x:c r="S297" s="43" t="str">
        <x:v>Not reviewed</x:v>
      </x:c>
      <x:c r="T297" s="43" t="str">
        <x:v>Hold</x:v>
      </x:c>
      <x:c r="U297" s="43" t="str">
        <x:v>No</x:v>
      </x:c>
      <x:c r="V297" s="44"/>
      <x:c r="W297" s="43" t="str"/>
      <x:c r="X297" s="43" t="str"/>
      <x:c r="Y297" s="43" t="str"/>
      <x:c r="Z297" s="43" t="str">
        <x:v>https://www.get-information-schools.service.gov.uk/Downloads</x:v>
      </x:c>
    </x:row>
    <x:row r="298">
      <x:c r="A298" s="43" t="str">
        <x:v>UK independent</x:v>
      </x:c>
      <x:c r="B298" s="43" t="str">
        <x:v>102163</x:v>
      </x:c>
      <x:c r="C298" s="43" t="n">
        <x:f>IF(K298="Boarding school",30,0)+IF(J298&gt;=18,20,0)+IF(I298&lt;=11,10,0)+IF(L298="Has a sixth form",15,0)+IF(M298&gt;=200,10,0)+IF(N298&lt;&gt;"",10,0)</x:f>
        <x:v>65</x:v>
      </x:c>
      <x:c r="D298" s="43" t="str">
        <x:f>IF(C298&gt;=85,"A",IF(C298&gt;=65,"B","C"))</x:f>
        <x:v>B</x:v>
      </x:c>
      <x:c r="E298" s="43" t="str">
        <x:v>Highgate School</x:v>
      </x:c>
      <x:c r="F298" s="43" t="str"/>
      <x:c r="G298" s="43" t="str"/>
      <x:c r="H298" s="43" t="str">
        <x:v>N6 4AY</x:v>
      </x:c>
      <x:c r="I298" s="43" t="n">
        <x:v>3</x:v>
      </x:c>
      <x:c r="J298" s="43" t="n">
        <x:v>19</x:v>
      </x:c>
      <x:c r="K298" s="43" t="str">
        <x:v>No boarders</x:v>
      </x:c>
      <x:c r="L298" s="43" t="str">
        <x:v>Has a sixth form</x:v>
      </x:c>
      <x:c r="M298" s="43" t="n">
        <x:v>1938</x:v>
      </x:c>
      <x:c r="N298" s="43" t="str">
        <x:v>https://www.highgateschool.org.uk</x:v>
      </x:c>
      <x:c r="O298" s="43" t="str">
        <x:v>02083401524</x:v>
      </x:c>
      <x:c r="P298" s="43" t="str"/>
      <x:c r="Q298" s="43" t="str"/>
      <x:c r="R298" s="43" t="str">
        <x:v>Queued for contact research</x:v>
      </x:c>
      <x:c r="S298" s="43" t="str">
        <x:v>Not reviewed</x:v>
      </x:c>
      <x:c r="T298" s="43" t="str">
        <x:v>Hold</x:v>
      </x:c>
      <x:c r="U298" s="43" t="str">
        <x:v>No</x:v>
      </x:c>
      <x:c r="V298" s="44"/>
      <x:c r="W298" s="43" t="str"/>
      <x:c r="X298" s="43" t="str"/>
      <x:c r="Y298" s="43" t="str"/>
      <x:c r="Z298" s="43" t="str">
        <x:v>https://www.get-information-schools.service.gov.uk/Downloads</x:v>
      </x:c>
    </x:row>
    <x:row r="299">
      <x:c r="A299" s="43" t="str">
        <x:v>UK independent</x:v>
      </x:c>
      <x:c r="B299" s="43" t="str">
        <x:v>110923</x:v>
      </x:c>
      <x:c r="C299" s="43" t="n">
        <x:f>IF(K299="Boarding school",30,0)+IF(J299&gt;=18,20,0)+IF(I299&lt;=11,10,0)+IF(L299="Has a sixth form",15,0)+IF(M299&gt;=200,10,0)+IF(N299&lt;&gt;"",10,0)</x:f>
        <x:v>65</x:v>
      </x:c>
      <x:c r="D299" s="43" t="str">
        <x:f>IF(C299&gt;=85,"A",IF(C299&gt;=65,"B","C"))</x:f>
        <x:v>B</x:v>
      </x:c>
      <x:c r="E299" s="43" t="str">
        <x:v>The Perse School</x:v>
      </x:c>
      <x:c r="F299" s="43" t="str"/>
      <x:c r="G299" s="43" t="str"/>
      <x:c r="H299" s="43" t="str">
        <x:v>CB2 8QF</x:v>
      </x:c>
      <x:c r="I299" s="43" t="n">
        <x:v>3</x:v>
      </x:c>
      <x:c r="J299" s="43" t="n">
        <x:v>18</x:v>
      </x:c>
      <x:c r="K299" s="43" t="str">
        <x:v>No boarders</x:v>
      </x:c>
      <x:c r="L299" s="43" t="str">
        <x:v>Has a sixth form</x:v>
      </x:c>
      <x:c r="M299" s="43" t="n">
        <x:v>1774</x:v>
      </x:c>
      <x:c r="N299" s="43" t="str">
        <x:v>https://www.perse.co.uk</x:v>
      </x:c>
      <x:c r="O299" s="43" t="str">
        <x:v>01223403800</x:v>
      </x:c>
      <x:c r="P299" s="43" t="str"/>
      <x:c r="Q299" s="43" t="str"/>
      <x:c r="R299" s="43" t="str">
        <x:v>Queued for contact research</x:v>
      </x:c>
      <x:c r="S299" s="43" t="str">
        <x:v>Not reviewed</x:v>
      </x:c>
      <x:c r="T299" s="43" t="str">
        <x:v>Hold</x:v>
      </x:c>
      <x:c r="U299" s="43" t="str">
        <x:v>No</x:v>
      </x:c>
      <x:c r="V299" s="44"/>
      <x:c r="W299" s="43" t="str"/>
      <x:c r="X299" s="43" t="str"/>
      <x:c r="Y299" s="43" t="str"/>
      <x:c r="Z299" s="43" t="str">
        <x:v>https://www.get-information-schools.service.gov.uk/Downloads</x:v>
      </x:c>
    </x:row>
    <x:row r="300">
      <x:c r="A300" s="43" t="str">
        <x:v>UK independent</x:v>
      </x:c>
      <x:c r="B300" s="43" t="str">
        <x:v>123627</x:v>
      </x:c>
      <x:c r="C300" s="43" t="n">
        <x:f>IF(K300="Boarding school",30,0)+IF(J300&gt;=18,20,0)+IF(I300&lt;=11,10,0)+IF(L300="Has a sixth form",15,0)+IF(M300&gt;=200,10,0)+IF(N300&lt;&gt;"",10,0)</x:f>
        <x:v>65</x:v>
      </x:c>
      <x:c r="D300" s="43" t="str">
        <x:f>IF(C300&gt;=85,"A",IF(C300&gt;=65,"B","C"))</x:f>
        <x:v>B</x:v>
      </x:c>
      <x:c r="E300" s="43" t="str">
        <x:v>Thomas Telford School</x:v>
      </x:c>
      <x:c r="F300" s="43" t="str">
        <x:v>Telford</x:v>
      </x:c>
      <x:c r="G300" s="43" t="str">
        <x:v>Shropshire</x:v>
      </x:c>
      <x:c r="H300" s="43" t="str">
        <x:v>TF3 4NW</x:v>
      </x:c>
      <x:c r="I300" s="43" t="n">
        <x:v>11</x:v>
      </x:c>
      <x:c r="J300" s="43" t="n">
        <x:v>18</x:v>
      </x:c>
      <x:c r="K300" s="43" t="str">
        <x:v>No boarders</x:v>
      </x:c>
      <x:c r="L300" s="43" t="str">
        <x:v>Has a sixth form</x:v>
      </x:c>
      <x:c r="M300" s="43" t="n">
        <x:v>1657</x:v>
      </x:c>
      <x:c r="N300" s="43" t="str">
        <x:v>http://www.ttsonline.net/</x:v>
      </x:c>
      <x:c r="O300" s="43" t="str">
        <x:v>01952200000</x:v>
      </x:c>
      <x:c r="P300" s="43" t="str"/>
      <x:c r="Q300" s="43" t="str"/>
      <x:c r="R300" s="43" t="str">
        <x:v>Queued for contact research</x:v>
      </x:c>
      <x:c r="S300" s="43" t="str">
        <x:v>Not reviewed</x:v>
      </x:c>
      <x:c r="T300" s="43" t="str">
        <x:v>Hold</x:v>
      </x:c>
      <x:c r="U300" s="43" t="str">
        <x:v>No</x:v>
      </x:c>
      <x:c r="V300" s="44"/>
      <x:c r="W300" s="43" t="str"/>
      <x:c r="X300" s="43" t="str"/>
      <x:c r="Y300" s="43" t="str"/>
      <x:c r="Z300" s="43" t="str">
        <x:v>https://www.get-information-schools.service.gov.uk/Downloads</x:v>
      </x:c>
    </x:row>
    <x:row r="301">
      <x:c r="A301" s="43" t="str">
        <x:v>UK independent</x:v>
      </x:c>
      <x:c r="B301" s="43" t="str">
        <x:v>105591</x:v>
      </x:c>
      <x:c r="C301" s="43" t="n">
        <x:f>IF(K301="Boarding school",30,0)+IF(J301&gt;=18,20,0)+IF(I301&lt;=11,10,0)+IF(L301="Has a sixth form",15,0)+IF(M301&gt;=200,10,0)+IF(N301&lt;&gt;"",10,0)</x:f>
        <x:v>65</x:v>
      </x:c>
      <x:c r="D301" s="43" t="str">
        <x:f>IF(C301&gt;=85,"A",IF(C301&gt;=65,"B","C"))</x:f>
        <x:v>B</x:v>
      </x:c>
      <x:c r="E301" s="43" t="str">
        <x:v>The Manchester Grammar School</x:v>
      </x:c>
      <x:c r="F301" s="43" t="str">
        <x:v>Manchester</x:v>
      </x:c>
      <x:c r="G301" s="43" t="str">
        <x:v>Lancashire</x:v>
      </x:c>
      <x:c r="H301" s="43" t="str">
        <x:v>M13 0XT</x:v>
      </x:c>
      <x:c r="I301" s="43" t="n">
        <x:v>7</x:v>
      </x:c>
      <x:c r="J301" s="43" t="n">
        <x:v>18</x:v>
      </x:c>
      <x:c r="K301" s="43" t="str">
        <x:v>No boarders</x:v>
      </x:c>
      <x:c r="L301" s="43" t="str">
        <x:v>Has a sixth form</x:v>
      </x:c>
      <x:c r="M301" s="43" t="n">
        <x:v>1642</x:v>
      </x:c>
      <x:c r="N301" s="43" t="str">
        <x:v>https://www.mgs.org/</x:v>
      </x:c>
      <x:c r="O301" s="43" t="str">
        <x:v>01612247201</x:v>
      </x:c>
      <x:c r="P301" s="43" t="str"/>
      <x:c r="Q301" s="43" t="str"/>
      <x:c r="R301" s="43" t="str">
        <x:v>Queued for contact research</x:v>
      </x:c>
      <x:c r="S301" s="43" t="str">
        <x:v>Not reviewed</x:v>
      </x:c>
      <x:c r="T301" s="43" t="str">
        <x:v>Hold</x:v>
      </x:c>
      <x:c r="U301" s="43" t="str">
        <x:v>No</x:v>
      </x:c>
      <x:c r="V301" s="44"/>
      <x:c r="W301" s="43" t="str"/>
      <x:c r="X301" s="43" t="str"/>
      <x:c r="Y301" s="43" t="str"/>
      <x:c r="Z301" s="43" t="str">
        <x:v>https://www.get-information-schools.service.gov.uk/Downloads</x:v>
      </x:c>
    </x:row>
    <x:row r="302">
      <x:c r="A302" s="43" t="str">
        <x:v>UK independent</x:v>
      </x:c>
      <x:c r="B302" s="43" t="str">
        <x:v>102946</x:v>
      </x:c>
      <x:c r="C302" s="43" t="n">
        <x:f>IF(K302="Boarding school",30,0)+IF(J302&gt;=18,20,0)+IF(I302&lt;=11,10,0)+IF(L302="Has a sixth form",15,0)+IF(M302&gt;=200,10,0)+IF(N302&lt;&gt;"",10,0)</x:f>
        <x:v>65</x:v>
      </x:c>
      <x:c r="D302" s="43" t="str">
        <x:f>IF(C302&gt;=85,"A",IF(C302&gt;=65,"B","C"))</x:f>
        <x:v>B</x:v>
      </x:c>
      <x:c r="E302" s="43" t="str">
        <x:v>Hampton School</x:v>
      </x:c>
      <x:c r="F302" s="43" t="str">
        <x:v>Hampton</x:v>
      </x:c>
      <x:c r="G302" s="43" t="str">
        <x:v>Middlesex</x:v>
      </x:c>
      <x:c r="H302" s="43" t="str">
        <x:v>TW12 3HD</x:v>
      </x:c>
      <x:c r="I302" s="43" t="n">
        <x:v>2</x:v>
      </x:c>
      <x:c r="J302" s="43" t="n">
        <x:v>19</x:v>
      </x:c>
      <x:c r="K302" s="43" t="str">
        <x:v>No boarders</x:v>
      </x:c>
      <x:c r="L302" s="43" t="str">
        <x:v>Has a sixth form</x:v>
      </x:c>
      <x:c r="M302" s="43" t="n">
        <x:v>1578</x:v>
      </x:c>
      <x:c r="N302" s="43" t="str">
        <x:v>https://www.hamptonschool.org.uk</x:v>
      </x:c>
      <x:c r="O302" s="43" t="str">
        <x:v>02089795526</x:v>
      </x:c>
      <x:c r="P302" s="43" t="str"/>
      <x:c r="Q302" s="43" t="str"/>
      <x:c r="R302" s="43" t="str">
        <x:v>Queued for contact research</x:v>
      </x:c>
      <x:c r="S302" s="43" t="str">
        <x:v>Not reviewed</x:v>
      </x:c>
      <x:c r="T302" s="43" t="str">
        <x:v>Hold</x:v>
      </x:c>
      <x:c r="U302" s="43" t="str">
        <x:v>No</x:v>
      </x:c>
      <x:c r="V302" s="44"/>
      <x:c r="W302" s="43" t="str"/>
      <x:c r="X302" s="43" t="str"/>
      <x:c r="Y302" s="43" t="str"/>
      <x:c r="Z302" s="43" t="str">
        <x:v>https://www.get-information-schools.service.gov.uk/Downloads</x:v>
      </x:c>
    </x:row>
    <x:row r="303">
      <x:c r="A303" s="43" t="str">
        <x:v>UK independent</x:v>
      </x:c>
      <x:c r="B303" s="43" t="str">
        <x:v>125422</x:v>
      </x:c>
      <x:c r="C303" s="43" t="n">
        <x:f>IF(K303="Boarding school",30,0)+IF(J303&gt;=18,20,0)+IF(I303&lt;=11,10,0)+IF(L303="Has a sixth form",15,0)+IF(M303&gt;=200,10,0)+IF(N303&lt;&gt;"",10,0)</x:f>
        <x:v>65</x:v>
      </x:c>
      <x:c r="D303" s="43" t="str">
        <x:f>IF(C303&gt;=85,"A",IF(C303&gt;=65,"B","C"))</x:f>
        <x:v>B</x:v>
      </x:c>
      <x:c r="E303" s="43" t="str">
        <x:v>Reigate Grammar School</x:v>
      </x:c>
      <x:c r="F303" s="43" t="str">
        <x:v>Reigate</x:v>
      </x:c>
      <x:c r="G303" s="43" t="str">
        <x:v>Surrey</x:v>
      </x:c>
      <x:c r="H303" s="43" t="str">
        <x:v>RH2 0QS</x:v>
      </x:c>
      <x:c r="I303" s="43" t="n">
        <x:v>2</x:v>
      </x:c>
      <x:c r="J303" s="43" t="n">
        <x:v>18</x:v>
      </x:c>
      <x:c r="K303" s="43" t="str">
        <x:v>No boarders</x:v>
      </x:c>
      <x:c r="L303" s="43" t="str">
        <x:v>Has a sixth form</x:v>
      </x:c>
      <x:c r="M303" s="43" t="n">
        <x:v>1566</x:v>
      </x:c>
      <x:c r="N303" s="43" t="str">
        <x:v>https://www.reigategrammar.org</x:v>
      </x:c>
      <x:c r="O303" s="43" t="str">
        <x:v>01737222231</x:v>
      </x:c>
      <x:c r="P303" s="43" t="str"/>
      <x:c r="Q303" s="43" t="str"/>
      <x:c r="R303" s="43" t="str">
        <x:v>Queued for contact research</x:v>
      </x:c>
      <x:c r="S303" s="43" t="str">
        <x:v>Not reviewed</x:v>
      </x:c>
      <x:c r="T303" s="43" t="str">
        <x:v>Hold</x:v>
      </x:c>
      <x:c r="U303" s="43" t="str">
        <x:v>No</x:v>
      </x:c>
      <x:c r="V303" s="44"/>
      <x:c r="W303" s="43" t="str"/>
      <x:c r="X303" s="43" t="str"/>
      <x:c r="Y303" s="43" t="str"/>
      <x:c r="Z303" s="43" t="str">
        <x:v>https://www.get-information-schools.service.gov.uk/Downloads</x:v>
      </x:c>
    </x:row>
    <x:row r="304">
      <x:c r="A304" s="43" t="str">
        <x:v>UK independent</x:v>
      </x:c>
      <x:c r="B304" s="43" t="str">
        <x:v>104124</x:v>
      </x:c>
      <x:c r="C304" s="43" t="n">
        <x:f>IF(K304="Boarding school",30,0)+IF(J304&gt;=18,20,0)+IF(I304&lt;=11,10,0)+IF(L304="Has a sixth form",15,0)+IF(M304&gt;=200,10,0)+IF(N304&lt;&gt;"",10,0)</x:f>
        <x:v>65</x:v>
      </x:c>
      <x:c r="D304" s="43" t="str">
        <x:f>IF(C304&gt;=85,"A",IF(C304&gt;=65,"B","C"))</x:f>
        <x:v>B</x:v>
      </x:c>
      <x:c r="E304" s="43" t="str">
        <x:v>Solihull School</x:v>
      </x:c>
      <x:c r="F304" s="43" t="str">
        <x:v>Solihull</x:v>
      </x:c>
      <x:c r="G304" s="43" t="str">
        <x:v>West Midlands</x:v>
      </x:c>
      <x:c r="H304" s="43" t="str">
        <x:v>B91 3DJ</x:v>
      </x:c>
      <x:c r="I304" s="43" t="n">
        <x:v>3</x:v>
      </x:c>
      <x:c r="J304" s="43" t="n">
        <x:v>19</x:v>
      </x:c>
      <x:c r="K304" s="43" t="str">
        <x:v>No boarders</x:v>
      </x:c>
      <x:c r="L304" s="43" t="str">
        <x:v>Has a sixth form</x:v>
      </x:c>
      <x:c r="M304" s="43" t="n">
        <x:v>1565</x:v>
      </x:c>
      <x:c r="N304" s="43" t="str">
        <x:v>http://www.solsch.org.uk</x:v>
      </x:c>
      <x:c r="O304" s="43" t="str">
        <x:v>01217050958</x:v>
      </x:c>
      <x:c r="P304" s="43" t="str"/>
      <x:c r="Q304" s="43" t="str"/>
      <x:c r="R304" s="43" t="str">
        <x:v>Queued for contact research</x:v>
      </x:c>
      <x:c r="S304" s="43" t="str">
        <x:v>Not reviewed</x:v>
      </x:c>
      <x:c r="T304" s="43" t="str">
        <x:v>Hold</x:v>
      </x:c>
      <x:c r="U304" s="43" t="str">
        <x:v>No</x:v>
      </x:c>
      <x:c r="V304" s="44"/>
      <x:c r="W304" s="43" t="str"/>
      <x:c r="X304" s="43" t="str"/>
      <x:c r="Y304" s="43" t="str"/>
      <x:c r="Z304" s="43" t="str">
        <x:v>https://www.get-information-schools.service.gov.uk/Downloads</x:v>
      </x:c>
    </x:row>
    <x:row r="305">
      <x:c r="A305" s="43" t="str">
        <x:v>UK independent</x:v>
      </x:c>
      <x:c r="B305" s="43" t="str">
        <x:v>108420</x:v>
      </x:c>
      <x:c r="C305" s="43" t="n">
        <x:f>IF(K305="Boarding school",30,0)+IF(J305&gt;=18,20,0)+IF(I305&lt;=11,10,0)+IF(L305="Has a sixth form",15,0)+IF(M305&gt;=200,10,0)+IF(N305&lt;&gt;"",10,0)</x:f>
        <x:v>65</x:v>
      </x:c>
      <x:c r="D305" s="43" t="str">
        <x:f>IF(C305&gt;=85,"A",IF(C305&gt;=65,"B","C"))</x:f>
        <x:v>B</x:v>
      </x:c>
      <x:c r="E305" s="43" t="str">
        <x:v>Emmanuel College</x:v>
      </x:c>
      <x:c r="F305" s="43" t="str">
        <x:v>Gateshead</x:v>
      </x:c>
      <x:c r="G305" s="43" t="str">
        <x:v>Tyne and Wear</x:v>
      </x:c>
      <x:c r="H305" s="43" t="str">
        <x:v>NE11 0AN</x:v>
      </x:c>
      <x:c r="I305" s="43" t="n">
        <x:v>11</x:v>
      </x:c>
      <x:c r="J305" s="43" t="n">
        <x:v>18</x:v>
      </x:c>
      <x:c r="K305" s="43" t="str">
        <x:v>No boarders</x:v>
      </x:c>
      <x:c r="L305" s="43" t="str">
        <x:v>Has a sixth form</x:v>
      </x:c>
      <x:c r="M305" s="43" t="n">
        <x:v>1564</x:v>
      </x:c>
      <x:c r="N305" s="43" t="str">
        <x:v>https://www.emmanuelcollege.org.uk/</x:v>
      </x:c>
      <x:c r="O305" s="43" t="str">
        <x:v>01914602099</x:v>
      </x:c>
      <x:c r="P305" s="43" t="str"/>
      <x:c r="Q305" s="43" t="str"/>
      <x:c r="R305" s="43" t="str">
        <x:v>Queued for contact research</x:v>
      </x:c>
      <x:c r="S305" s="43" t="str">
        <x:v>Not reviewed</x:v>
      </x:c>
      <x:c r="T305" s="43" t="str">
        <x:v>Hold</x:v>
      </x:c>
      <x:c r="U305" s="43" t="str">
        <x:v>No</x:v>
      </x:c>
      <x:c r="V305" s="44"/>
      <x:c r="W305" s="43" t="str"/>
      <x:c r="X305" s="43" t="str"/>
      <x:c r="Y305" s="43" t="str"/>
      <x:c r="Z305" s="43" t="str">
        <x:v>https://www.get-information-schools.service.gov.uk/Downloads</x:v>
      </x:c>
    </x:row>
    <x:row r="306">
      <x:c r="A306" s="43" t="str">
        <x:v>UK independent</x:v>
      </x:c>
      <x:c r="B306" s="43" t="str">
        <x:v>102611</x:v>
      </x:c>
      <x:c r="C306" s="43" t="n">
        <x:f>IF(K306="Boarding school",30,0)+IF(J306&gt;=18,20,0)+IF(I306&lt;=11,10,0)+IF(L306="Has a sixth form",15,0)+IF(M306&gt;=200,10,0)+IF(N306&lt;&gt;"",10,0)</x:f>
        <x:v>65</x:v>
      </x:c>
      <x:c r="D306" s="43" t="str">
        <x:f>IF(C306&gt;=85,"A",IF(C306&gt;=65,"B","C"))</x:f>
        <x:v>B</x:v>
      </x:c>
      <x:c r="E306" s="43" t="str">
        <x:v>Surbiton High School</x:v>
      </x:c>
      <x:c r="F306" s="43" t="str">
        <x:v>Kingston upon Thames</x:v>
      </x:c>
      <x:c r="G306" s="43" t="str">
        <x:v>Surrey</x:v>
      </x:c>
      <x:c r="H306" s="43" t="str">
        <x:v>KT1 2JT</x:v>
      </x:c>
      <x:c r="I306" s="43" t="n">
        <x:v>4</x:v>
      </x:c>
      <x:c r="J306" s="43" t="n">
        <x:v>18</x:v>
      </x:c>
      <x:c r="K306" s="43" t="str">
        <x:v>No boarders</x:v>
      </x:c>
      <x:c r="L306" s="43" t="str">
        <x:v>Has a sixth form</x:v>
      </x:c>
      <x:c r="M306" s="43" t="n">
        <x:v>1540</x:v>
      </x:c>
      <x:c r="N306" s="43" t="str">
        <x:v>http://www.surbitonhigh.com/</x:v>
      </x:c>
      <x:c r="O306" s="43" t="str">
        <x:v>02085465245</x:v>
      </x:c>
      <x:c r="P306" s="43" t="str"/>
      <x:c r="Q306" s="43" t="str"/>
      <x:c r="R306" s="43" t="str">
        <x:v>Queued for contact research</x:v>
      </x:c>
      <x:c r="S306" s="43" t="str">
        <x:v>Not reviewed</x:v>
      </x:c>
      <x:c r="T306" s="43" t="str">
        <x:v>Hold</x:v>
      </x:c>
      <x:c r="U306" s="43" t="str">
        <x:v>No</x:v>
      </x:c>
      <x:c r="V306" s="44"/>
      <x:c r="W306" s="43" t="str"/>
      <x:c r="X306" s="43" t="str"/>
      <x:c r="Y306" s="43" t="str"/>
      <x:c r="Z306" s="43" t="str">
        <x:v>https://www.get-information-schools.service.gov.uk/Downloads</x:v>
      </x:c>
    </x:row>
    <x:row r="307">
      <x:c r="A307" s="43" t="str">
        <x:v>UK independent</x:v>
      </x:c>
      <x:c r="B307" s="43" t="str">
        <x:v>102684</x:v>
      </x:c>
      <x:c r="C307" s="43" t="n">
        <x:f>IF(K307="Boarding school",30,0)+IF(J307&gt;=18,20,0)+IF(I307&lt;=11,10,0)+IF(L307="Has a sixth form",15,0)+IF(M307&gt;=200,10,0)+IF(N307&lt;&gt;"",10,0)</x:f>
        <x:v>65</x:v>
      </x:c>
      <x:c r="D307" s="43" t="str">
        <x:f>IF(C307&gt;=85,"A",IF(C307&gt;=65,"B","C"))</x:f>
        <x:v>B</x:v>
      </x:c>
      <x:c r="E307" s="43" t="str">
        <x:v>King's College School</x:v>
      </x:c>
      <x:c r="F307" s="43" t="str">
        <x:v>London</x:v>
      </x:c>
      <x:c r="G307" s="43" t="str"/>
      <x:c r="H307" s="43" t="str">
        <x:v>SW19 4TT</x:v>
      </x:c>
      <x:c r="I307" s="43" t="n">
        <x:v>7</x:v>
      </x:c>
      <x:c r="J307" s="43" t="n">
        <x:v>19</x:v>
      </x:c>
      <x:c r="K307" s="43" t="str">
        <x:v>No boarders</x:v>
      </x:c>
      <x:c r="L307" s="43" t="str">
        <x:v>Has a sixth form</x:v>
      </x:c>
      <x:c r="M307" s="43" t="n">
        <x:v>1498</x:v>
      </x:c>
      <x:c r="N307" s="43" t="str">
        <x:v>https://www.kcs.org.uk</x:v>
      </x:c>
      <x:c r="O307" s="43" t="str">
        <x:v>02082555300</x:v>
      </x:c>
      <x:c r="P307" s="43" t="str"/>
      <x:c r="Q307" s="43" t="str"/>
      <x:c r="R307" s="43" t="str">
        <x:v>Queued for contact research</x:v>
      </x:c>
      <x:c r="S307" s="43" t="str">
        <x:v>Not reviewed</x:v>
      </x:c>
      <x:c r="T307" s="43" t="str">
        <x:v>Hold</x:v>
      </x:c>
      <x:c r="U307" s="43" t="str">
        <x:v>No</x:v>
      </x:c>
      <x:c r="V307" s="44"/>
      <x:c r="W307" s="43" t="str"/>
      <x:c r="X307" s="43" t="str"/>
      <x:c r="Y307" s="43" t="str"/>
      <x:c r="Z307" s="43" t="str">
        <x:v>https://www.get-information-schools.service.gov.uk/Downloads</x:v>
      </x:c>
    </x:row>
    <x:row r="308">
      <x:c r="A308" s="43" t="str">
        <x:v>UK independent</x:v>
      </x:c>
      <x:c r="B308" s="43" t="str">
        <x:v>100864</x:v>
      </x:c>
      <x:c r="C308" s="43" t="n">
        <x:f>IF(K308="Boarding school",30,0)+IF(J308&gt;=18,20,0)+IF(I308&lt;=11,10,0)+IF(L308="Has a sixth form",15,0)+IF(M308&gt;=200,10,0)+IF(N308&lt;&gt;"",10,0)</x:f>
        <x:v>65</x:v>
      </x:c>
      <x:c r="D308" s="43" t="str">
        <x:f>IF(C308&gt;=85,"A",IF(C308&gt;=65,"B","C"))</x:f>
        <x:v>B</x:v>
      </x:c>
      <x:c r="E308" s="43" t="str">
        <x:v>Alleyn's School</x:v>
      </x:c>
      <x:c r="F308" s="43" t="str">
        <x:v>London</x:v>
      </x:c>
      <x:c r="G308" s="43" t="str"/>
      <x:c r="H308" s="43" t="str">
        <x:v>SE22 8SU</x:v>
      </x:c>
      <x:c r="I308" s="43" t="n">
        <x:v>4</x:v>
      </x:c>
      <x:c r="J308" s="43" t="n">
        <x:v>18</x:v>
      </x:c>
      <x:c r="K308" s="43" t="str">
        <x:v>No boarders</x:v>
      </x:c>
      <x:c r="L308" s="43" t="str">
        <x:v>Has a sixth form</x:v>
      </x:c>
      <x:c r="M308" s="43" t="n">
        <x:v>1453</x:v>
      </x:c>
      <x:c r="N308" s="43" t="str">
        <x:v>https://www.alleyns.org.uk</x:v>
      </x:c>
      <x:c r="O308" s="43" t="str">
        <x:v>02085571500</x:v>
      </x:c>
      <x:c r="P308" s="43" t="str"/>
      <x:c r="Q308" s="43" t="str"/>
      <x:c r="R308" s="43" t="str">
        <x:v>Queued for contact research</x:v>
      </x:c>
      <x:c r="S308" s="43" t="str">
        <x:v>Not reviewed</x:v>
      </x:c>
      <x:c r="T308" s="43" t="str">
        <x:v>Hold</x:v>
      </x:c>
      <x:c r="U308" s="43" t="str">
        <x:v>No</x:v>
      </x:c>
      <x:c r="V308" s="44"/>
      <x:c r="W308" s="43" t="str"/>
      <x:c r="X308" s="43" t="str"/>
      <x:c r="Y308" s="43" t="str"/>
      <x:c r="Z308" s="43" t="str">
        <x:v>https://www.get-information-schools.service.gov.uk/Downloads</x:v>
      </x:c>
    </x:row>
    <x:row r="309">
      <x:c r="A309" s="43" t="str">
        <x:v>UK independent</x:v>
      </x:c>
      <x:c r="B309" s="43" t="str">
        <x:v>106156</x:v>
      </x:c>
      <x:c r="C309" s="43" t="n">
        <x:f>IF(K309="Boarding school",30,0)+IF(J309&gt;=18,20,0)+IF(I309&lt;=11,10,0)+IF(L309="Has a sixth form",15,0)+IF(M309&gt;=200,10,0)+IF(N309&lt;&gt;"",10,0)</x:f>
        <x:v>65</x:v>
      </x:c>
      <x:c r="D309" s="43" t="str">
        <x:f>IF(C309&gt;=85,"A",IF(C309&gt;=65,"B","C"))</x:f>
        <x:v>B</x:v>
      </x:c>
      <x:c r="E309" s="43" t="str">
        <x:v>Stockport Grammar School</x:v>
      </x:c>
      <x:c r="F309" s="43" t="str">
        <x:v>Stockport</x:v>
      </x:c>
      <x:c r="G309" s="43" t="str">
        <x:v>Cheshire</x:v>
      </x:c>
      <x:c r="H309" s="43" t="str">
        <x:v>SK2 7AF</x:v>
      </x:c>
      <x:c r="I309" s="43" t="n">
        <x:v>3</x:v>
      </x:c>
      <x:c r="J309" s="43" t="n">
        <x:v>18</x:v>
      </x:c>
      <x:c r="K309" s="43" t="str">
        <x:v>No boarders</x:v>
      </x:c>
      <x:c r="L309" s="43" t="str">
        <x:v>Has a sixth form</x:v>
      </x:c>
      <x:c r="M309" s="43" t="n">
        <x:v>1448</x:v>
      </x:c>
      <x:c r="N309" s="43" t="str">
        <x:v>https://www.stockportgrammar.co.uk/</x:v>
      </x:c>
      <x:c r="O309" s="43" t="str">
        <x:v>01614569000</x:v>
      </x:c>
      <x:c r="P309" s="43" t="str"/>
      <x:c r="Q309" s="43" t="str"/>
      <x:c r="R309" s="43" t="str">
        <x:v>Queued for contact research</x:v>
      </x:c>
      <x:c r="S309" s="43" t="str">
        <x:v>Not reviewed</x:v>
      </x:c>
      <x:c r="T309" s="43" t="str">
        <x:v>Hold</x:v>
      </x:c>
      <x:c r="U309" s="43" t="str">
        <x:v>No</x:v>
      </x:c>
      <x:c r="V309" s="44"/>
      <x:c r="W309" s="43" t="str"/>
      <x:c r="X309" s="43" t="str"/>
      <x:c r="Y309" s="43" t="str"/>
      <x:c r="Z309" s="43" t="str">
        <x:v>https://www.get-information-schools.service.gov.uk/Downloads</x:v>
      </x:c>
    </x:row>
    <x:row r="310">
      <x:c r="A310" s="43" t="str">
        <x:v>UK independent</x:v>
      </x:c>
      <x:c r="B310" s="43" t="str">
        <x:v>100370</x:v>
      </x:c>
      <x:c r="C310" s="43" t="n">
        <x:f>IF(K310="Boarding school",30,0)+IF(J310&gt;=18,20,0)+IF(I310&lt;=11,10,0)+IF(L310="Has a sixth form",15,0)+IF(M310&gt;=200,10,0)+IF(N310&lt;&gt;"",10,0)</x:f>
        <x:v>65</x:v>
      </x:c>
      <x:c r="D310" s="43" t="str">
        <x:f>IF(C310&gt;=85,"A",IF(C310&gt;=65,"B","C"))</x:f>
        <x:v>B</x:v>
      </x:c>
      <x:c r="E310" s="43" t="str">
        <x:v>Latymer Upper School and Latymer Prep</x:v>
      </x:c>
      <x:c r="F310" s="43" t="str">
        <x:v>London</x:v>
      </x:c>
      <x:c r="G310" s="43" t="str"/>
      <x:c r="H310" s="43" t="str">
        <x:v>W6 9LR</x:v>
      </x:c>
      <x:c r="I310" s="43" t="n">
        <x:v>7</x:v>
      </x:c>
      <x:c r="J310" s="43" t="n">
        <x:v>19</x:v>
      </x:c>
      <x:c r="K310" s="43" t="str">
        <x:v>No boarders</x:v>
      </x:c>
      <x:c r="L310" s="43" t="str">
        <x:v>Has a sixth form</x:v>
      </x:c>
      <x:c r="M310" s="43" t="n">
        <x:v>1443</x:v>
      </x:c>
      <x:c r="N310" s="43" t="str">
        <x:v>https://www.latymer-upper.org</x:v>
      </x:c>
      <x:c r="O310" s="43" t="str">
        <x:v>02086292024</x:v>
      </x:c>
      <x:c r="P310" s="43" t="str"/>
      <x:c r="Q310" s="43" t="str"/>
      <x:c r="R310" s="43" t="str">
        <x:v>Queued for contact research</x:v>
      </x:c>
      <x:c r="S310" s="43" t="str">
        <x:v>Not reviewed</x:v>
      </x:c>
      <x:c r="T310" s="43" t="str">
        <x:v>Hold</x:v>
      </x:c>
      <x:c r="U310" s="43" t="str">
        <x:v>No</x:v>
      </x:c>
      <x:c r="V310" s="44"/>
      <x:c r="W310" s="43" t="str"/>
      <x:c r="X310" s="43" t="str"/>
      <x:c r="Y310" s="43" t="str"/>
      <x:c r="Z310" s="43" t="str">
        <x:v>https://www.get-information-schools.service.gov.uk/Downloads</x:v>
      </x:c>
    </x:row>
    <x:row r="311">
      <x:c r="A311" s="43" t="str">
        <x:v>UK independent</x:v>
      </x:c>
      <x:c r="B311" s="43" t="str">
        <x:v>101168</x:v>
      </x:c>
      <x:c r="C311" s="43" t="n">
        <x:f>IF(K311="Boarding school",30,0)+IF(J311&gt;=18,20,0)+IF(I311&lt;=11,10,0)+IF(L311="Has a sixth form",15,0)+IF(M311&gt;=200,10,0)+IF(N311&lt;&gt;"",10,0)</x:f>
        <x:v>65</x:v>
      </x:c>
      <x:c r="D311" s="43" t="str">
        <x:f>IF(C311&gt;=85,"A",IF(C311&gt;=65,"B","C"))</x:f>
        <x:v>B</x:v>
      </x:c>
      <x:c r="E311" s="43" t="str">
        <x:v>The American School in London</x:v>
      </x:c>
      <x:c r="F311" s="43" t="str">
        <x:v>London</x:v>
      </x:c>
      <x:c r="G311" s="43" t="str"/>
      <x:c r="H311" s="43" t="str">
        <x:v>NW8 0NP</x:v>
      </x:c>
      <x:c r="I311" s="43" t="n">
        <x:v>4</x:v>
      </x:c>
      <x:c r="J311" s="43" t="n">
        <x:v>18</x:v>
      </x:c>
      <x:c r="K311" s="43" t="str">
        <x:v>No boarders</x:v>
      </x:c>
      <x:c r="L311" s="43" t="str">
        <x:v>Has a sixth form</x:v>
      </x:c>
      <x:c r="M311" s="43" t="n">
        <x:v>1428</x:v>
      </x:c>
      <x:c r="N311" s="43" t="str">
        <x:v>https://www.asl.org</x:v>
      </x:c>
      <x:c r="O311" s="43" t="str">
        <x:v>02074491200</x:v>
      </x:c>
      <x:c r="P311" s="43" t="str"/>
      <x:c r="Q311" s="43" t="str"/>
      <x:c r="R311" s="43" t="str">
        <x:v>Queued for contact research</x:v>
      </x:c>
      <x:c r="S311" s="43" t="str">
        <x:v>Not reviewed</x:v>
      </x:c>
      <x:c r="T311" s="43" t="str">
        <x:v>Hold</x:v>
      </x:c>
      <x:c r="U311" s="43" t="str">
        <x:v>No</x:v>
      </x:c>
      <x:c r="V311" s="44"/>
      <x:c r="W311" s="43" t="str"/>
      <x:c r="X311" s="43" t="str"/>
      <x:c r="Y311" s="43" t="str"/>
      <x:c r="Z311" s="43" t="str">
        <x:v>https://www.get-information-schools.service.gov.uk/Downloads</x:v>
      </x:c>
    </x:row>
    <x:row r="312">
      <x:c r="A312" s="43" t="str">
        <x:v>UK independent</x:v>
      </x:c>
      <x:c r="B312" s="43" t="str">
        <x:v>117038</x:v>
      </x:c>
      <x:c r="C312" s="43" t="n">
        <x:f>IF(K312="Boarding school",30,0)+IF(J312&gt;=18,20,0)+IF(I312&lt;=11,10,0)+IF(L312="Has a sixth form",15,0)+IF(M312&gt;=200,10,0)+IF(N312&lt;&gt;"",10,0)</x:f>
        <x:v>65</x:v>
      </x:c>
      <x:c r="D312" s="43" t="str">
        <x:f>IF(C312&gt;=85,"A",IF(C312&gt;=65,"B","C"))</x:f>
        <x:v>B</x:v>
      </x:c>
      <x:c r="E312" s="43" t="str">
        <x:v>Royal Grammar School Worcester</x:v>
      </x:c>
      <x:c r="F312" s="43" t="str">
        <x:v>Worcester</x:v>
      </x:c>
      <x:c r="G312" s="43" t="str">
        <x:v>Worcestershire</x:v>
      </x:c>
      <x:c r="H312" s="43" t="str">
        <x:v>WR1 1HP</x:v>
      </x:c>
      <x:c r="I312" s="43" t="n">
        <x:v>2</x:v>
      </x:c>
      <x:c r="J312" s="43" t="n">
        <x:v>19</x:v>
      </x:c>
      <x:c r="K312" s="43" t="str">
        <x:v>No boarders</x:v>
      </x:c>
      <x:c r="L312" s="43" t="str">
        <x:v>Has a sixth form</x:v>
      </x:c>
      <x:c r="M312" s="43" t="n">
        <x:v>1397</x:v>
      </x:c>
      <x:c r="N312" s="43" t="str">
        <x:v>http://www.rgsw.org.uk/</x:v>
      </x:c>
      <x:c r="O312" s="43" t="str">
        <x:v>01905613391</x:v>
      </x:c>
      <x:c r="P312" s="43" t="str"/>
      <x:c r="Q312" s="43" t="str"/>
      <x:c r="R312" s="43" t="str">
        <x:v>Queued for contact research</x:v>
      </x:c>
      <x:c r="S312" s="43" t="str">
        <x:v>Not reviewed</x:v>
      </x:c>
      <x:c r="T312" s="43" t="str">
        <x:v>Hold</x:v>
      </x:c>
      <x:c r="U312" s="43" t="str">
        <x:v>No</x:v>
      </x:c>
      <x:c r="V312" s="44"/>
      <x:c r="W312" s="43" t="str"/>
      <x:c r="X312" s="43" t="str"/>
      <x:c r="Y312" s="43" t="str"/>
      <x:c r="Z312" s="43" t="str">
        <x:v>https://www.get-information-schools.service.gov.uk/Downloads</x:v>
      </x:c>
    </x:row>
    <x:row r="313">
      <x:c r="A313" s="43" t="str">
        <x:v>UK independent</x:v>
      </x:c>
      <x:c r="B313" s="43" t="str">
        <x:v>109369</x:v>
      </x:c>
      <x:c r="C313" s="43" t="n">
        <x:f>IF(K313="Boarding school",30,0)+IF(J313&gt;=18,20,0)+IF(I313&lt;=11,10,0)+IF(L313="Has a sixth form",15,0)+IF(M313&gt;=200,10,0)+IF(N313&lt;&gt;"",10,0)</x:f>
        <x:v>65</x:v>
      </x:c>
      <x:c r="D313" s="43" t="str">
        <x:f>IF(C313&gt;=85,"A",IF(C313&gt;=65,"B","C"))</x:f>
        <x:v>B</x:v>
      </x:c>
      <x:c r="E313" s="43" t="str">
        <x:v>Bristol Grammar School</x:v>
      </x:c>
      <x:c r="F313" s="43" t="str">
        <x:v>Bristol</x:v>
      </x:c>
      <x:c r="G313" s="43" t="str"/>
      <x:c r="H313" s="43" t="str">
        <x:v>BS8 1SR</x:v>
      </x:c>
      <x:c r="I313" s="43" t="n">
        <x:v>4</x:v>
      </x:c>
      <x:c r="J313" s="43" t="n">
        <x:v>18</x:v>
      </x:c>
      <x:c r="K313" s="43" t="str">
        <x:v>No boarders</x:v>
      </x:c>
      <x:c r="L313" s="43" t="str">
        <x:v>Has a sixth form</x:v>
      </x:c>
      <x:c r="M313" s="43" t="n">
        <x:v>1377</x:v>
      </x:c>
      <x:c r="N313" s="43" t="str">
        <x:v>https://www.bristolgrammarschool.co.uk</x:v>
      </x:c>
      <x:c r="O313" s="43" t="str">
        <x:v>01179736006</x:v>
      </x:c>
      <x:c r="P313" s="43" t="str"/>
      <x:c r="Q313" s="43" t="str"/>
      <x:c r="R313" s="43" t="str">
        <x:v>Queued for contact research</x:v>
      </x:c>
      <x:c r="S313" s="43" t="str">
        <x:v>Not reviewed</x:v>
      </x:c>
      <x:c r="T313" s="43" t="str">
        <x:v>Hold</x:v>
      </x:c>
      <x:c r="U313" s="43" t="str">
        <x:v>No</x:v>
      </x:c>
      <x:c r="V313" s="44"/>
      <x:c r="W313" s="43" t="str"/>
      <x:c r="X313" s="43" t="str"/>
      <x:c r="Y313" s="43" t="str"/>
      <x:c r="Z313" s="43" t="str">
        <x:v>https://www.get-information-schools.service.gov.uk/Downloads</x:v>
      </x:c>
    </x:row>
    <x:row r="314">
      <x:c r="A314" s="43" t="str">
        <x:v>UK independent</x:v>
      </x:c>
      <x:c r="B314" s="43" t="str">
        <x:v>116579</x:v>
      </x:c>
      <x:c r="C314" s="43" t="n">
        <x:f>IF(K314="Boarding school",30,0)+IF(J314&gt;=18,20,0)+IF(I314&lt;=11,10,0)+IF(L314="Has a sixth form",15,0)+IF(M314&gt;=200,10,0)+IF(N314&lt;&gt;"",10,0)</x:f>
        <x:v>65</x:v>
      </x:c>
      <x:c r="D314" s="43" t="str">
        <x:f>IF(C314&gt;=85,"A",IF(C314&gt;=65,"B","C"))</x:f>
        <x:v>B</x:v>
      </x:c>
      <x:c r="E314" s="43" t="str">
        <x:v>Churcher's College</x:v>
      </x:c>
      <x:c r="F314" s="43" t="str">
        <x:v>Petersfield</x:v>
      </x:c>
      <x:c r="G314" s="43" t="str">
        <x:v>Hampshire</x:v>
      </x:c>
      <x:c r="H314" s="43" t="str">
        <x:v>GU31 4AS</x:v>
      </x:c>
      <x:c r="I314" s="43" t="n">
        <x:v>2</x:v>
      </x:c>
      <x:c r="J314" s="43" t="n">
        <x:v>19</x:v>
      </x:c>
      <x:c r="K314" s="43" t="str">
        <x:v>No boarders</x:v>
      </x:c>
      <x:c r="L314" s="43" t="str">
        <x:v>Has a sixth form</x:v>
      </x:c>
      <x:c r="M314" s="43" t="n">
        <x:v>1359</x:v>
      </x:c>
      <x:c r="N314" s="43" t="str">
        <x:v>https://www.churcherscollege.com</x:v>
      </x:c>
      <x:c r="O314" s="43" t="str">
        <x:v>01730263033</x:v>
      </x:c>
      <x:c r="P314" s="43" t="str"/>
      <x:c r="Q314" s="43" t="str"/>
      <x:c r="R314" s="43" t="str">
        <x:v>Queued for contact research</x:v>
      </x:c>
      <x:c r="S314" s="43" t="str">
        <x:v>Not reviewed</x:v>
      </x:c>
      <x:c r="T314" s="43" t="str">
        <x:v>Hold</x:v>
      </x:c>
      <x:c r="U314" s="43" t="str">
        <x:v>No</x:v>
      </x:c>
      <x:c r="V314" s="44"/>
      <x:c r="W314" s="43" t="str"/>
      <x:c r="X314" s="43" t="str"/>
      <x:c r="Y314" s="43" t="str"/>
      <x:c r="Z314" s="43" t="str">
        <x:v>https://www.get-information-schools.service.gov.uk/Downloads</x:v>
      </x:c>
    </x:row>
    <x:row r="315">
      <x:c r="A315" s="43" t="str">
        <x:v>UK independent</x:v>
      </x:c>
      <x:c r="B315" s="43" t="str">
        <x:v>108549</x:v>
      </x:c>
      <x:c r="C315" s="43" t="n">
        <x:f>IF(K315="Boarding school",30,0)+IF(J315&gt;=18,20,0)+IF(I315&lt;=11,10,0)+IF(L315="Has a sixth form",15,0)+IF(M315&gt;=200,10,0)+IF(N315&lt;&gt;"",10,0)</x:f>
        <x:v>65</x:v>
      </x:c>
      <x:c r="D315" s="43" t="str">
        <x:f>IF(C315&gt;=85,"A",IF(C315&gt;=65,"B","C"))</x:f>
        <x:v>B</x:v>
      </x:c>
      <x:c r="E315" s="43" t="str">
        <x:v>Royal Grammar School</x:v>
      </x:c>
      <x:c r="F315" s="43" t="str">
        <x:v>Newcastle-upon-Tyne</x:v>
      </x:c>
      <x:c r="G315" s="43" t="str">
        <x:v>Tyne and Wear</x:v>
      </x:c>
      <x:c r="H315" s="43" t="str">
        <x:v>NE2 4DX</x:v>
      </x:c>
      <x:c r="I315" s="43" t="n">
        <x:v>7</x:v>
      </x:c>
      <x:c r="J315" s="43" t="n">
        <x:v>19</x:v>
      </x:c>
      <x:c r="K315" s="43" t="str">
        <x:v>No boarders</x:v>
      </x:c>
      <x:c r="L315" s="43" t="str">
        <x:v>Has a sixth form</x:v>
      </x:c>
      <x:c r="M315" s="43" t="n">
        <x:v>1332</x:v>
      </x:c>
      <x:c r="N315" s="43" t="str">
        <x:v>http://www.rgs.newcastle.sch.uk/</x:v>
      </x:c>
      <x:c r="O315" s="43" t="str">
        <x:v>01912815711</x:v>
      </x:c>
      <x:c r="P315" s="43" t="str"/>
      <x:c r="Q315" s="43" t="str"/>
      <x:c r="R315" s="43" t="str">
        <x:v>Queued for contact research</x:v>
      </x:c>
      <x:c r="S315" s="43" t="str">
        <x:v>Not reviewed</x:v>
      </x:c>
      <x:c r="T315" s="43" t="str">
        <x:v>Hold</x:v>
      </x:c>
      <x:c r="U315" s="43" t="str">
        <x:v>No</x:v>
      </x:c>
      <x:c r="V315" s="44"/>
      <x:c r="W315" s="43" t="str"/>
      <x:c r="X315" s="43" t="str"/>
      <x:c r="Y315" s="43" t="str"/>
      <x:c r="Z315" s="43" t="str">
        <x:v>https://www.get-information-schools.service.gov.uk/Downloads</x:v>
      </x:c>
    </x:row>
    <x:row r="316">
      <x:c r="A316" s="43" t="str">
        <x:v>UK independent</x:v>
      </x:c>
      <x:c r="B316" s="43" t="str">
        <x:v>100202</x:v>
      </x:c>
      <x:c r="C316" s="43" t="n">
        <x:f>IF(K316="Boarding school",30,0)+IF(J316&gt;=18,20,0)+IF(I316&lt;=11,10,0)+IF(L316="Has a sixth form",15,0)+IF(M316&gt;=200,10,0)+IF(N316&lt;&gt;"",10,0)</x:f>
        <x:v>65</x:v>
      </x:c>
      <x:c r="D316" s="43" t="str">
        <x:f>IF(C316&gt;=85,"A",IF(C316&gt;=65,"B","C"))</x:f>
        <x:v>B</x:v>
      </x:c>
      <x:c r="E316" s="43" t="str">
        <x:v>Colfe's School</x:v>
      </x:c>
      <x:c r="F316" s="43" t="str">
        <x:v>London</x:v>
      </x:c>
      <x:c r="G316" s="43" t="str"/>
      <x:c r="H316" s="43" t="str">
        <x:v>SE12 8AW</x:v>
      </x:c>
      <x:c r="I316" s="43" t="n">
        <x:v>3</x:v>
      </x:c>
      <x:c r="J316" s="43" t="n">
        <x:v>19</x:v>
      </x:c>
      <x:c r="K316" s="43" t="str">
        <x:v>No boarders</x:v>
      </x:c>
      <x:c r="L316" s="43" t="str">
        <x:v>Has a sixth form</x:v>
      </x:c>
      <x:c r="M316" s="43" t="n">
        <x:v>1325</x:v>
      </x:c>
      <x:c r="N316" s="43" t="str">
        <x:v>https://www.colfes.com</x:v>
      </x:c>
      <x:c r="O316" s="43" t="str">
        <x:v>02084638104</x:v>
      </x:c>
      <x:c r="P316" s="43" t="str"/>
      <x:c r="Q316" s="43" t="str"/>
      <x:c r="R316" s="43" t="str">
        <x:v>Queued for contact research</x:v>
      </x:c>
      <x:c r="S316" s="43" t="str">
        <x:v>Not reviewed</x:v>
      </x:c>
      <x:c r="T316" s="43" t="str">
        <x:v>Hold</x:v>
      </x:c>
      <x:c r="U316" s="43" t="str">
        <x:v>No</x:v>
      </x:c>
      <x:c r="V316" s="44"/>
      <x:c r="W316" s="43" t="str"/>
      <x:c r="X316" s="43" t="str"/>
      <x:c r="Y316" s="43" t="str"/>
      <x:c r="Z316" s="43" t="str">
        <x:v>https://www.get-information-schools.service.gov.uk/Downloads</x:v>
      </x:c>
    </x:row>
    <x:row r="317">
      <x:c r="A317" s="43" t="str">
        <x:v>UK independent</x:v>
      </x:c>
      <x:c r="B317" s="43" t="str">
        <x:v>125424</x:v>
      </x:c>
      <x:c r="C317" s="43" t="n">
        <x:f>IF(K317="Boarding school",30,0)+IF(J317&gt;=18,20,0)+IF(I317&lt;=11,10,0)+IF(L317="Has a sixth form",15,0)+IF(M317&gt;=200,10,0)+IF(N317&lt;&gt;"",10,0)</x:f>
        <x:v>65</x:v>
      </x:c>
      <x:c r="D317" s="43" t="str">
        <x:f>IF(C317&gt;=85,"A",IF(C317&gt;=65,"B","C"))</x:f>
        <x:v>B</x:v>
      </x:c>
      <x:c r="E317" s="43" t="str">
        <x:v>Royal Grammar School Guildford</x:v>
      </x:c>
      <x:c r="F317" s="43" t="str"/>
      <x:c r="G317" s="43" t="str"/>
      <x:c r="H317" s="43" t="str">
        <x:v>GU1 3BB</x:v>
      </x:c>
      <x:c r="I317" s="43" t="n">
        <x:v>3</x:v>
      </x:c>
      <x:c r="J317" s="43" t="n">
        <x:v>18</x:v>
      </x:c>
      <x:c r="K317" s="43" t="str">
        <x:v>No boarders</x:v>
      </x:c>
      <x:c r="L317" s="43" t="str">
        <x:v>Has a sixth form</x:v>
      </x:c>
      <x:c r="M317" s="43" t="n">
        <x:v>1325</x:v>
      </x:c>
      <x:c r="N317" s="43" t="str">
        <x:v>https://www.rgsg.co.uk</x:v>
      </x:c>
      <x:c r="O317" s="43" t="str">
        <x:v>01483880600</x:v>
      </x:c>
      <x:c r="P317" s="43" t="str"/>
      <x:c r="Q317" s="43" t="str"/>
      <x:c r="R317" s="43" t="str">
        <x:v>Queued for contact research</x:v>
      </x:c>
      <x:c r="S317" s="43" t="str">
        <x:v>Not reviewed</x:v>
      </x:c>
      <x:c r="T317" s="43" t="str">
        <x:v>Hold</x:v>
      </x:c>
      <x:c r="U317" s="43" t="str">
        <x:v>No</x:v>
      </x:c>
      <x:c r="V317" s="44"/>
      <x:c r="W317" s="43" t="str"/>
      <x:c r="X317" s="43" t="str"/>
      <x:c r="Y317" s="43" t="str"/>
      <x:c r="Z317" s="43" t="str">
        <x:v>https://www.get-information-schools.service.gov.uk/Downloads</x:v>
      </x:c>
    </x:row>
    <x:row r="318">
      <x:c r="A318" s="43" t="str">
        <x:v>UK independent</x:v>
      </x:c>
      <x:c r="B318" s="43" t="str">
        <x:v>111473</x:v>
      </x:c>
      <x:c r="C318" s="43" t="n">
        <x:f>IF(K318="Boarding school",30,0)+IF(J318&gt;=18,20,0)+IF(I318&lt;=11,10,0)+IF(L318="Has a sixth form",15,0)+IF(M318&gt;=200,10,0)+IF(N318&lt;&gt;"",10,0)</x:f>
        <x:v>65</x:v>
      </x:c>
      <x:c r="D318" s="43" t="str">
        <x:f>IF(C318&gt;=85,"A",IF(C318&gt;=65,"B","C"))</x:f>
        <x:v>B</x:v>
      </x:c>
      <x:c r="E318" s="43" t="str">
        <x:v>The King's School In Macclesfield</x:v>
      </x:c>
      <x:c r="F318" s="43" t="str">
        <x:v>Macclesfield</x:v>
      </x:c>
      <x:c r="G318" s="43" t="str">
        <x:v>Cheshire</x:v>
      </x:c>
      <x:c r="H318" s="43" t="str">
        <x:v>SK10 4SP</x:v>
      </x:c>
      <x:c r="I318" s="43" t="n">
        <x:v>3</x:v>
      </x:c>
      <x:c r="J318" s="43" t="n">
        <x:v>19</x:v>
      </x:c>
      <x:c r="K318" s="43" t="str">
        <x:v>No boarders</x:v>
      </x:c>
      <x:c r="L318" s="43" t="str">
        <x:v>Has a sixth form</x:v>
      </x:c>
      <x:c r="M318" s="43" t="n">
        <x:v>1315</x:v>
      </x:c>
      <x:c r="N318" s="43" t="str">
        <x:v>http://www.kingsmac.co.uk/</x:v>
      </x:c>
      <x:c r="O318" s="43" t="str">
        <x:v>01625260000</x:v>
      </x:c>
      <x:c r="P318" s="43" t="str"/>
      <x:c r="Q318" s="43" t="str"/>
      <x:c r="R318" s="43" t="str">
        <x:v>Queued for contact research</x:v>
      </x:c>
      <x:c r="S318" s="43" t="str">
        <x:v>Not reviewed</x:v>
      </x:c>
      <x:c r="T318" s="43" t="str">
        <x:v>Hold</x:v>
      </x:c>
      <x:c r="U318" s="43" t="str">
        <x:v>No</x:v>
      </x:c>
      <x:c r="V318" s="44"/>
      <x:c r="W318" s="43" t="str"/>
      <x:c r="X318" s="43" t="str"/>
      <x:c r="Y318" s="43" t="str"/>
      <x:c r="Z318" s="43" t="str">
        <x:v>https://www.get-information-schools.service.gov.uk/Downloads</x:v>
      </x:c>
    </x:row>
    <x:row r="319">
      <x:c r="A319" s="43" t="str">
        <x:v>UK independent</x:v>
      </x:c>
      <x:c r="B319" s="43" t="str">
        <x:v>100065</x:v>
      </x:c>
      <x:c r="C319" s="43" t="n">
        <x:f>IF(K319="Boarding school",30,0)+IF(J319&gt;=18,20,0)+IF(I319&lt;=11,10,0)+IF(L319="Has a sixth form",15,0)+IF(M319&gt;=200,10,0)+IF(N319&lt;&gt;"",10,0)</x:f>
        <x:v>65</x:v>
      </x:c>
      <x:c r="D319" s="43" t="str">
        <x:f>IF(C319&gt;=85,"A",IF(C319&gt;=65,"B","C"))</x:f>
        <x:v>B</x:v>
      </x:c>
      <x:c r="E319" s="43" t="str">
        <x:v>University College School</x:v>
      </x:c>
      <x:c r="F319" s="43" t="str">
        <x:v>London</x:v>
      </x:c>
      <x:c r="G319" s="43" t="str"/>
      <x:c r="H319" s="43" t="str">
        <x:v>NW3 6XH</x:v>
      </x:c>
      <x:c r="I319" s="43" t="n">
        <x:v>4</x:v>
      </x:c>
      <x:c r="J319" s="43" t="n">
        <x:v>18</x:v>
      </x:c>
      <x:c r="K319" s="43" t="str">
        <x:v>No boarders</x:v>
      </x:c>
      <x:c r="L319" s="43" t="str">
        <x:v>Has a sixth form</x:v>
      </x:c>
      <x:c r="M319" s="43" t="n">
        <x:v>1297</x:v>
      </x:c>
      <x:c r="N319" s="43" t="str">
        <x:v>http://www.ucs.org.uk/</x:v>
      </x:c>
      <x:c r="O319" s="43" t="str">
        <x:v>02074352215</x:v>
      </x:c>
      <x:c r="P319" s="43" t="str"/>
      <x:c r="Q319" s="43" t="str"/>
      <x:c r="R319" s="43" t="str">
        <x:v>Queued for contact research</x:v>
      </x:c>
      <x:c r="S319" s="43" t="str">
        <x:v>Not reviewed</x:v>
      </x:c>
      <x:c r="T319" s="43" t="str">
        <x:v>Hold</x:v>
      </x:c>
      <x:c r="U319" s="43" t="str">
        <x:v>No</x:v>
      </x:c>
      <x:c r="V319" s="44"/>
      <x:c r="W319" s="43" t="str"/>
      <x:c r="X319" s="43" t="str"/>
      <x:c r="Y319" s="43" t="str"/>
      <x:c r="Z319" s="43" t="str">
        <x:v>https://www.get-information-schools.service.gov.uk/Downloads</x:v>
      </x:c>
    </x:row>
    <x:row r="320">
      <x:c r="A320" s="43" t="str">
        <x:v>UK independent</x:v>
      </x:c>
      <x:c r="B320" s="43" t="str">
        <x:v>117037</x:v>
      </x:c>
      <x:c r="C320" s="43" t="n">
        <x:f>IF(K320="Boarding school",30,0)+IF(J320&gt;=18,20,0)+IF(I320&lt;=11,10,0)+IF(L320="Has a sixth form",15,0)+IF(M320&gt;=200,10,0)+IF(N320&lt;&gt;"",10,0)</x:f>
        <x:v>65</x:v>
      </x:c>
      <x:c r="D320" s="43" t="str">
        <x:f>IF(C320&gt;=85,"A",IF(C320&gt;=65,"B","C"))</x:f>
        <x:v>B</x:v>
      </x:c>
      <x:c r="E320" s="43" t="str">
        <x:v>The King's School</x:v>
      </x:c>
      <x:c r="F320" s="43" t="str">
        <x:v>Worcestershire</x:v>
      </x:c>
      <x:c r="G320" s="43" t="str"/>
      <x:c r="H320" s="43" t="str">
        <x:v>WR1 2LL</x:v>
      </x:c>
      <x:c r="I320" s="43" t="n">
        <x:v>2</x:v>
      </x:c>
      <x:c r="J320" s="43" t="n">
        <x:v>19</x:v>
      </x:c>
      <x:c r="K320" s="43" t="str">
        <x:v>No boarders</x:v>
      </x:c>
      <x:c r="L320" s="43" t="str">
        <x:v>Has a sixth form</x:v>
      </x:c>
      <x:c r="M320" s="43" t="n">
        <x:v>1272</x:v>
      </x:c>
      <x:c r="N320" s="43" t="str">
        <x:v>https://www.ksw.org.uk</x:v>
      </x:c>
      <x:c r="O320" s="43" t="str">
        <x:v>01905721700</x:v>
      </x:c>
      <x:c r="P320" s="43" t="str"/>
      <x:c r="Q320" s="43" t="str"/>
      <x:c r="R320" s="43" t="str">
        <x:v>Queued for contact research</x:v>
      </x:c>
      <x:c r="S320" s="43" t="str">
        <x:v>Not reviewed</x:v>
      </x:c>
      <x:c r="T320" s="43" t="str">
        <x:v>Hold</x:v>
      </x:c>
      <x:c r="U320" s="43" t="str">
        <x:v>No</x:v>
      </x:c>
      <x:c r="V320" s="44"/>
      <x:c r="W320" s="43" t="str"/>
      <x:c r="X320" s="43" t="str"/>
      <x:c r="Y320" s="43" t="str"/>
      <x:c r="Z320" s="43" t="str">
        <x:v>https://www.get-information-schools.service.gov.uk/Downloads</x:v>
      </x:c>
    </x:row>
    <x:row r="321">
      <x:c r="A321" s="43" t="str">
        <x:v>UK independent</x:v>
      </x:c>
      <x:c r="B321" s="43" t="str">
        <x:v>120334</x:v>
      </x:c>
      <x:c r="C321" s="43" t="n">
        <x:f>IF(K321="Boarding school",30,0)+IF(J321&gt;=18,20,0)+IF(I321&lt;=11,10,0)+IF(L321="Has a sixth form",15,0)+IF(M321&gt;=200,10,0)+IF(N321&lt;&gt;"",10,0)</x:f>
        <x:v>65</x:v>
      </x:c>
      <x:c r="D321" s="43" t="str">
        <x:f>IF(C321&gt;=85,"A",IF(C321&gt;=65,"B","C"))</x:f>
        <x:v>B</x:v>
      </x:c>
      <x:c r="E321" s="43" t="str">
        <x:v>Leicester Grammar School Trust</x:v>
      </x:c>
      <x:c r="F321" s="43" t="str">
        <x:v>Leicester</x:v>
      </x:c>
      <x:c r="G321" s="43" t="str">
        <x:v>Leicestershire</x:v>
      </x:c>
      <x:c r="H321" s="43" t="str">
        <x:v>LE8 9FL</x:v>
      </x:c>
      <x:c r="I321" s="43" t="n">
        <x:v>3</x:v>
      </x:c>
      <x:c r="J321" s="43" t="n">
        <x:v>19</x:v>
      </x:c>
      <x:c r="K321" s="43" t="str">
        <x:v>No boarders</x:v>
      </x:c>
      <x:c r="L321" s="43" t="str">
        <x:v>Has a sixth form</x:v>
      </x:c>
      <x:c r="M321" s="43" t="n">
        <x:v>1265</x:v>
      </x:c>
      <x:c r="N321" s="43" t="str">
        <x:v>https://www.leicestergrammar.org.uk</x:v>
      </x:c>
      <x:c r="O321" s="43" t="str">
        <x:v>01162591900</x:v>
      </x:c>
      <x:c r="P321" s="43" t="str"/>
      <x:c r="Q321" s="43" t="str"/>
      <x:c r="R321" s="43" t="str">
        <x:v>Queued for contact research</x:v>
      </x:c>
      <x:c r="S321" s="43" t="str">
        <x:v>Not reviewed</x:v>
      </x:c>
      <x:c r="T321" s="43" t="str">
        <x:v>Hold</x:v>
      </x:c>
      <x:c r="U321" s="43" t="str">
        <x:v>No</x:v>
      </x:c>
      <x:c r="V321" s="44"/>
      <x:c r="W321" s="43" t="str"/>
      <x:c r="X321" s="43" t="str"/>
      <x:c r="Y321" s="43" t="str"/>
      <x:c r="Z321" s="43" t="str">
        <x:v>https://www.get-information-schools.service.gov.uk/Downloads</x:v>
      </x:c>
    </x:row>
    <x:row r="322">
      <x:c r="A322" s="43" t="str">
        <x:v>UK independent</x:v>
      </x:c>
      <x:c r="B322" s="43" t="str">
        <x:v>108547</x:v>
      </x:c>
      <x:c r="C322" s="43" t="n">
        <x:f>IF(K322="Boarding school",30,0)+IF(J322&gt;=18,20,0)+IF(I322&lt;=11,10,0)+IF(L322="Has a sixth form",15,0)+IF(M322&gt;=200,10,0)+IF(N322&lt;&gt;"",10,0)</x:f>
        <x:v>65</x:v>
      </x:c>
      <x:c r="D322" s="43" t="str">
        <x:f>IF(C322&gt;=85,"A",IF(C322&gt;=65,"B","C"))</x:f>
        <x:v>B</x:v>
      </x:c>
      <x:c r="E322" s="43" t="str">
        <x:v>Dame Allan's Schools</x:v>
      </x:c>
      <x:c r="F322" s="43" t="str">
        <x:v>Newcastle-upon-Tyne</x:v>
      </x:c>
      <x:c r="G322" s="43" t="str">
        <x:v>Tyne and Wear</x:v>
      </x:c>
      <x:c r="H322" s="43" t="str">
        <x:v>NE4 9YJ</x:v>
      </x:c>
      <x:c r="I322" s="43" t="n">
        <x:v>3</x:v>
      </x:c>
      <x:c r="J322" s="43" t="n">
        <x:v>19</x:v>
      </x:c>
      <x:c r="K322" s="43" t="str">
        <x:v>No boarders</x:v>
      </x:c>
      <x:c r="L322" s="43" t="str">
        <x:v>Has a sixth form</x:v>
      </x:c>
      <x:c r="M322" s="43" t="n">
        <x:v>1240</x:v>
      </x:c>
      <x:c r="N322" s="43" t="str">
        <x:v>https://www.dameallans.co.uk</x:v>
      </x:c>
      <x:c r="O322" s="43" t="str">
        <x:v>01912751500</x:v>
      </x:c>
      <x:c r="P322" s="43" t="str"/>
      <x:c r="Q322" s="43" t="str"/>
      <x:c r="R322" s="43" t="str">
        <x:v>Queued for contact research</x:v>
      </x:c>
      <x:c r="S322" s="43" t="str">
        <x:v>Not reviewed</x:v>
      </x:c>
      <x:c r="T322" s="43" t="str">
        <x:v>Hold</x:v>
      </x:c>
      <x:c r="U322" s="43" t="str">
        <x:v>No</x:v>
      </x:c>
      <x:c r="V322" s="44"/>
      <x:c r="W322" s="43" t="str"/>
      <x:c r="X322" s="43" t="str"/>
      <x:c r="Y322" s="43" t="str"/>
      <x:c r="Z322" s="43" t="str">
        <x:v>https://www.get-information-schools.service.gov.uk/Downloads</x:v>
      </x:c>
    </x:row>
    <x:row r="323">
      <x:c r="A323" s="43" t="str">
        <x:v>UK independent</x:v>
      </x:c>
      <x:c r="B323" s="43" t="str">
        <x:v>105373</x:v>
      </x:c>
      <x:c r="C323" s="43" t="n">
        <x:f>IF(K323="Boarding school",30,0)+IF(J323&gt;=18,20,0)+IF(I323&lt;=11,10,0)+IF(L323="Has a sixth form",15,0)+IF(M323&gt;=200,10,0)+IF(N323&lt;&gt;"",10,0)</x:f>
        <x:v>65</x:v>
      </x:c>
      <x:c r="D323" s="43" t="str">
        <x:f>IF(C323&gt;=85,"A",IF(C323&gt;=65,"B","C"))</x:f>
        <x:v>B</x:v>
      </x:c>
      <x:c r="E323" s="43" t="str">
        <x:v>Bury Grammar Schools</x:v>
      </x:c>
      <x:c r="F323" s="43" t="str">
        <x:v>Bury</x:v>
      </x:c>
      <x:c r="G323" s="43" t="str">
        <x:v>Lancashire</x:v>
      </x:c>
      <x:c r="H323" s="43" t="str">
        <x:v>BL9 0HN</x:v>
      </x:c>
      <x:c r="I323" s="43" t="n">
        <x:v>3</x:v>
      </x:c>
      <x:c r="J323" s="43" t="n">
        <x:v>18</x:v>
      </x:c>
      <x:c r="K323" s="43" t="str">
        <x:v>No boarders</x:v>
      </x:c>
      <x:c r="L323" s="43" t="str">
        <x:v>Has a sixth form</x:v>
      </x:c>
      <x:c r="M323" s="43" t="n">
        <x:v>1234</x:v>
      </x:c>
      <x:c r="N323" s="43" t="str">
        <x:v>https://www.burygrammar.com/</x:v>
      </x:c>
      <x:c r="O323" s="43" t="str">
        <x:v>01616968600</x:v>
      </x:c>
      <x:c r="P323" s="43" t="str"/>
      <x:c r="Q323" s="43" t="str"/>
      <x:c r="R323" s="43" t="str">
        <x:v>Queued for contact research</x:v>
      </x:c>
      <x:c r="S323" s="43" t="str">
        <x:v>Not reviewed</x:v>
      </x:c>
      <x:c r="T323" s="43" t="str">
        <x:v>Hold</x:v>
      </x:c>
      <x:c r="U323" s="43" t="str">
        <x:v>No</x:v>
      </x:c>
      <x:c r="V323" s="44"/>
      <x:c r="W323" s="43" t="str"/>
      <x:c r="X323" s="43" t="str"/>
      <x:c r="Y323" s="43" t="str"/>
      <x:c r="Z323" s="43" t="str">
        <x:v>https://www.get-information-schools.service.gov.uk/Downloads</x:v>
      </x:c>
    </x:row>
    <x:row r="324">
      <x:c r="A324" s="43" t="str">
        <x:v>UK independent</x:v>
      </x:c>
      <x:c r="B324" s="43" t="str">
        <x:v>100754</x:v>
      </x:c>
      <x:c r="C324" s="43" t="n">
        <x:f>IF(K324="Boarding school",30,0)+IF(J324&gt;=18,20,0)+IF(I324&lt;=11,10,0)+IF(L324="Has a sixth form",15,0)+IF(M324&gt;=200,10,0)+IF(N324&lt;&gt;"",10,0)</x:f>
        <x:v>65</x:v>
      </x:c>
      <x:c r="D324" s="43" t="str">
        <x:f>IF(C324&gt;=85,"A",IF(C324&gt;=65,"B","C"))</x:f>
        <x:v>B</x:v>
      </x:c>
      <x:c r="E324" s="43" t="str">
        <x:v>St Dunstan's College</x:v>
      </x:c>
      <x:c r="F324" s="43" t="str">
        <x:v>LONDON</x:v>
      </x:c>
      <x:c r="G324" s="43" t="str"/>
      <x:c r="H324" s="43" t="str">
        <x:v>SE6 4TY</x:v>
      </x:c>
      <x:c r="I324" s="43" t="n">
        <x:v>3</x:v>
      </x:c>
      <x:c r="J324" s="43" t="n">
        <x:v>18</x:v>
      </x:c>
      <x:c r="K324" s="43" t="str">
        <x:v>No boarders</x:v>
      </x:c>
      <x:c r="L324" s="43" t="str">
        <x:v>Has a sixth form</x:v>
      </x:c>
      <x:c r="M324" s="43" t="n">
        <x:v>1234</x:v>
      </x:c>
      <x:c r="N324" s="43" t="str">
        <x:v>https://www.stdunstans.org.uk</x:v>
      </x:c>
      <x:c r="O324" s="43" t="str">
        <x:v>02085167200</x:v>
      </x:c>
      <x:c r="P324" s="43" t="str"/>
      <x:c r="Q324" s="43" t="str"/>
      <x:c r="R324" s="43" t="str">
        <x:v>Queued for contact research</x:v>
      </x:c>
      <x:c r="S324" s="43" t="str">
        <x:v>Not reviewed</x:v>
      </x:c>
      <x:c r="T324" s="43" t="str">
        <x:v>Hold</x:v>
      </x:c>
      <x:c r="U324" s="43" t="str">
        <x:v>No</x:v>
      </x:c>
      <x:c r="V324" s="44"/>
      <x:c r="W324" s="43" t="str"/>
      <x:c r="X324" s="43" t="str"/>
      <x:c r="Y324" s="43" t="str"/>
      <x:c r="Z324" s="43" t="str">
        <x:v>https://www.get-information-schools.service.gov.uk/Downloads</x:v>
      </x:c>
    </x:row>
    <x:row r="325">
      <x:c r="A325" s="43" t="str">
        <x:v>UK independent</x:v>
      </x:c>
      <x:c r="B325" s="43" t="str">
        <x:v>100863</x:v>
      </x:c>
      <x:c r="C325" s="43" t="n">
        <x:f>IF(K325="Boarding school",30,0)+IF(J325&gt;=18,20,0)+IF(I325&lt;=11,10,0)+IF(L325="Has a sixth form",15,0)+IF(M325&gt;=200,10,0)+IF(N325&lt;&gt;"",10,0)</x:f>
        <x:v>65</x:v>
      </x:c>
      <x:c r="D325" s="43" t="str">
        <x:f>IF(C325&gt;=85,"A",IF(C325&gt;=65,"B","C"))</x:f>
        <x:v>B</x:v>
      </x:c>
      <x:c r="E325" s="43" t="str">
        <x:v>James Allen's Girls' School</x:v>
      </x:c>
      <x:c r="F325" s="43" t="str">
        <x:v>London</x:v>
      </x:c>
      <x:c r="G325" s="43" t="str"/>
      <x:c r="H325" s="43" t="str">
        <x:v>SE22 8TE</x:v>
      </x:c>
      <x:c r="I325" s="43" t="n">
        <x:v>4</x:v>
      </x:c>
      <x:c r="J325" s="43" t="n">
        <x:v>18</x:v>
      </x:c>
      <x:c r="K325" s="43" t="str">
        <x:v>No boarders</x:v>
      </x:c>
      <x:c r="L325" s="43" t="str">
        <x:v>Has a sixth form</x:v>
      </x:c>
      <x:c r="M325" s="43" t="n">
        <x:v>1223</x:v>
      </x:c>
      <x:c r="N325" s="43" t="str">
        <x:v>https://www.jags.org.uk</x:v>
      </x:c>
      <x:c r="O325" s="43" t="str">
        <x:v>02086931181</x:v>
      </x:c>
      <x:c r="P325" s="43" t="str"/>
      <x:c r="Q325" s="43" t="str"/>
      <x:c r="R325" s="43" t="str">
        <x:v>Queued for contact research</x:v>
      </x:c>
      <x:c r="S325" s="43" t="str">
        <x:v>Not reviewed</x:v>
      </x:c>
      <x:c r="T325" s="43" t="str">
        <x:v>Hold</x:v>
      </x:c>
      <x:c r="U325" s="43" t="str">
        <x:v>No</x:v>
      </x:c>
      <x:c r="V325" s="44"/>
      <x:c r="W325" s="43" t="str"/>
      <x:c r="X325" s="43" t="str"/>
      <x:c r="Y325" s="43" t="str"/>
      <x:c r="Z325" s="43" t="str">
        <x:v>https://www.get-information-schools.service.gov.uk/Downloads</x:v>
      </x:c>
    </x:row>
    <x:row r="326">
      <x:c r="A326" s="43" t="str">
        <x:v>UK independent</x:v>
      </x:c>
      <x:c r="B326" s="43" t="str">
        <x:v>109728</x:v>
      </x:c>
      <x:c r="C326" s="43" t="n">
        <x:f>IF(K326="Boarding school",30,0)+IF(J326&gt;=18,20,0)+IF(I326&lt;=11,10,0)+IF(L326="Has a sixth form",15,0)+IF(M326&gt;=200,10,0)+IF(N326&lt;&gt;"",10,0)</x:f>
        <x:v>65</x:v>
      </x:c>
      <x:c r="D326" s="43" t="str">
        <x:f>IF(C326&gt;=85,"A",IF(C326&gt;=65,"B","C"))</x:f>
        <x:v>B</x:v>
      </x:c>
      <x:c r="E326" s="43" t="str">
        <x:v>Bedford Modern School</x:v>
      </x:c>
      <x:c r="F326" s="43" t="str">
        <x:v>Bedford</x:v>
      </x:c>
      <x:c r="G326" s="43" t="str">
        <x:v>Bedfordshire</x:v>
      </x:c>
      <x:c r="H326" s="43" t="str">
        <x:v>MK41 7NT</x:v>
      </x:c>
      <x:c r="I326" s="43" t="n">
        <x:v>7</x:v>
      </x:c>
      <x:c r="J326" s="43" t="n">
        <x:v>18</x:v>
      </x:c>
      <x:c r="K326" s="43" t="str">
        <x:v>No boarders</x:v>
      </x:c>
      <x:c r="L326" s="43" t="str">
        <x:v>Has a sixth form</x:v>
      </x:c>
      <x:c r="M326" s="43" t="n">
        <x:v>1219</x:v>
      </x:c>
      <x:c r="N326" s="43" t="str">
        <x:v>https://www.bedmod.co.uk</x:v>
      </x:c>
      <x:c r="O326" s="43" t="str">
        <x:v>01234332500</x:v>
      </x:c>
      <x:c r="P326" s="43" t="str"/>
      <x:c r="Q326" s="43" t="str"/>
      <x:c r="R326" s="43" t="str">
        <x:v>Queued for contact research</x:v>
      </x:c>
      <x:c r="S326" s="43" t="str">
        <x:v>Not reviewed</x:v>
      </x:c>
      <x:c r="T326" s="43" t="str">
        <x:v>Hold</x:v>
      </x:c>
      <x:c r="U326" s="43" t="str">
        <x:v>No</x:v>
      </x:c>
      <x:c r="V326" s="44"/>
      <x:c r="W326" s="43" t="str"/>
      <x:c r="X326" s="43" t="str"/>
      <x:c r="Y326" s="43" t="str"/>
      <x:c r="Z326" s="43" t="str">
        <x:v>https://www.get-information-schools.service.gov.uk/Downloads</x:v>
      </x:c>
    </x:row>
    <x:row r="327">
      <x:c r="A327" s="43" t="str">
        <x:v>UK independent</x:v>
      </x:c>
      <x:c r="B327" s="43" t="str">
        <x:v>125334</x:v>
      </x:c>
      <x:c r="C327" s="43" t="n">
        <x:f>IF(K327="Boarding school",30,0)+IF(J327&gt;=18,20,0)+IF(I327&lt;=11,10,0)+IF(L327="Has a sixth form",15,0)+IF(M327&gt;=200,10,0)+IF(N327&lt;&gt;"",10,0)</x:f>
        <x:v>65</x:v>
      </x:c>
      <x:c r="D327" s="43" t="str">
        <x:f>IF(C327&gt;=85,"A",IF(C327&gt;=65,"B","C"))</x:f>
        <x:v>B</x:v>
      </x:c>
      <x:c r="E327" s="43" t="str">
        <x:v>Claremont Fan Court School</x:v>
      </x:c>
      <x:c r="F327" s="43" t="str"/>
      <x:c r="G327" s="43" t="str"/>
      <x:c r="H327" s="43" t="str">
        <x:v>KT10 9LY</x:v>
      </x:c>
      <x:c r="I327" s="43" t="n">
        <x:v>2</x:v>
      </x:c>
      <x:c r="J327" s="43" t="n">
        <x:v>18</x:v>
      </x:c>
      <x:c r="K327" s="43" t="str">
        <x:v>No boarders</x:v>
      </x:c>
      <x:c r="L327" s="43" t="str">
        <x:v>Has a sixth form</x:v>
      </x:c>
      <x:c r="M327" s="43" t="n">
        <x:v>1193</x:v>
      </x:c>
      <x:c r="N327" s="43" t="str">
        <x:v>http://www.claremontfancourt.co.uk</x:v>
      </x:c>
      <x:c r="O327" s="43" t="str">
        <x:v>01372467841</x:v>
      </x:c>
      <x:c r="P327" s="43" t="str"/>
      <x:c r="Q327" s="43" t="str"/>
      <x:c r="R327" s="43" t="str">
        <x:v>Queued for contact research</x:v>
      </x:c>
      <x:c r="S327" s="43" t="str">
        <x:v>Not reviewed</x:v>
      </x:c>
      <x:c r="T327" s="43" t="str">
        <x:v>Hold</x:v>
      </x:c>
      <x:c r="U327" s="43" t="str">
        <x:v>No</x:v>
      </x:c>
      <x:c r="V327" s="44"/>
      <x:c r="W327" s="43" t="str"/>
      <x:c r="X327" s="43" t="str"/>
      <x:c r="Y327" s="43" t="str"/>
      <x:c r="Z327" s="43" t="str">
        <x:v>https://www.get-information-schools.service.gov.uk/Downloads</x:v>
      </x:c>
    </x:row>
    <x:row r="328">
      <x:c r="A328" s="43" t="str">
        <x:v>UK independent</x:v>
      </x:c>
      <x:c r="B328" s="43" t="str">
        <x:v>122915</x:v>
      </x:c>
      <x:c r="C328" s="43" t="n">
        <x:f>IF(K328="Boarding school",30,0)+IF(J328&gt;=18,20,0)+IF(I328&lt;=11,10,0)+IF(L328="Has a sixth form",15,0)+IF(M328&gt;=200,10,0)+IF(N328&lt;&gt;"",10,0)</x:f>
        <x:v>65</x:v>
      </x:c>
      <x:c r="D328" s="43" t="str">
        <x:f>IF(C328&gt;=85,"A",IF(C328&gt;=65,"B","C"))</x:f>
        <x:v>B</x:v>
      </x:c>
      <x:c r="E328" s="43" t="str">
        <x:v>Nottingham High School</x:v>
      </x:c>
      <x:c r="F328" s="43" t="str">
        <x:v>Nottingham</x:v>
      </x:c>
      <x:c r="G328" s="43" t="str">
        <x:v>Nottinghamshire</x:v>
      </x:c>
      <x:c r="H328" s="43" t="str">
        <x:v>NG7 4ED</x:v>
      </x:c>
      <x:c r="I328" s="43" t="n">
        <x:v>3</x:v>
      </x:c>
      <x:c r="J328" s="43" t="n">
        <x:v>19</x:v>
      </x:c>
      <x:c r="K328" s="43" t="str">
        <x:v>No boarders</x:v>
      </x:c>
      <x:c r="L328" s="43" t="str">
        <x:v>Has a sixth form</x:v>
      </x:c>
      <x:c r="M328" s="43" t="n">
        <x:v>1178</x:v>
      </x:c>
      <x:c r="N328" s="43" t="str">
        <x:v>https://www.nottinghamhigh.co.uk</x:v>
      </x:c>
      <x:c r="O328" s="43" t="str">
        <x:v>01159786056</x:v>
      </x:c>
      <x:c r="P328" s="43" t="str"/>
      <x:c r="Q328" s="43" t="str"/>
      <x:c r="R328" s="43" t="str">
        <x:v>Queued for contact research</x:v>
      </x:c>
      <x:c r="S328" s="43" t="str">
        <x:v>Not reviewed</x:v>
      </x:c>
      <x:c r="T328" s="43" t="str">
        <x:v>Hold</x:v>
      </x:c>
      <x:c r="U328" s="43" t="str">
        <x:v>No</x:v>
      </x:c>
      <x:c r="V328" s="44"/>
      <x:c r="W328" s="43" t="str"/>
      <x:c r="X328" s="43" t="str"/>
      <x:c r="Y328" s="43" t="str"/>
      <x:c r="Z328" s="43" t="str">
        <x:v>https://www.get-information-schools.service.gov.uk/Downloads</x:v>
      </x:c>
    </x:row>
    <x:row r="329">
      <x:c r="A329" s="43" t="str">
        <x:v>UK independent</x:v>
      </x:c>
      <x:c r="B329" s="43" t="str">
        <x:v>111485</x:v>
      </x:c>
      <x:c r="C329" s="43" t="n">
        <x:f>IF(K329="Boarding school",30,0)+IF(J329&gt;=18,20,0)+IF(I329&lt;=11,10,0)+IF(L329="Has a sixth form",15,0)+IF(M329&gt;=200,10,0)+IF(N329&lt;&gt;"",10,0)</x:f>
        <x:v>65</x:v>
      </x:c>
      <x:c r="D329" s="43" t="str">
        <x:f>IF(C329&gt;=85,"A",IF(C329&gt;=65,"B","C"))</x:f>
        <x:v>B</x:v>
      </x:c>
      <x:c r="E329" s="43" t="str">
        <x:v>The King's School</x:v>
      </x:c>
      <x:c r="F329" s="43" t="str">
        <x:v>Chester</x:v>
      </x:c>
      <x:c r="G329" s="43" t="str">
        <x:v>Cheshire</x:v>
      </x:c>
      <x:c r="H329" s="43" t="str">
        <x:v>CH4 7QL</x:v>
      </x:c>
      <x:c r="I329" s="43" t="n">
        <x:v>4</x:v>
      </x:c>
      <x:c r="J329" s="43" t="n">
        <x:v>19</x:v>
      </x:c>
      <x:c r="K329" s="43" t="str">
        <x:v>No boarders</x:v>
      </x:c>
      <x:c r="L329" s="43" t="str">
        <x:v>Has a sixth form</x:v>
      </x:c>
      <x:c r="M329" s="43" t="n">
        <x:v>1170</x:v>
      </x:c>
      <x:c r="N329" s="43" t="str">
        <x:v>http://www.kingschester.co.uk/</x:v>
      </x:c>
      <x:c r="O329" s="43" t="str">
        <x:v>01244689500</x:v>
      </x:c>
      <x:c r="P329" s="43" t="str"/>
      <x:c r="Q329" s="43" t="str"/>
      <x:c r="R329" s="43" t="str">
        <x:v>Queued for contact research</x:v>
      </x:c>
      <x:c r="S329" s="43" t="str">
        <x:v>Not reviewed</x:v>
      </x:c>
      <x:c r="T329" s="43" t="str">
        <x:v>Hold</x:v>
      </x:c>
      <x:c r="U329" s="43" t="str">
        <x:v>No</x:v>
      </x:c>
      <x:c r="V329" s="44"/>
      <x:c r="W329" s="43" t="str"/>
      <x:c r="X329" s="43" t="str"/>
      <x:c r="Y329" s="43" t="str"/>
      <x:c r="Z329" s="43" t="str">
        <x:v>https://www.get-information-schools.service.gov.uk/Downloads</x:v>
      </x:c>
    </x:row>
    <x:row r="330">
      <x:c r="A330" s="43" t="str">
        <x:v>UK independent</x:v>
      </x:c>
      <x:c r="B330" s="43" t="str">
        <x:v>111471</x:v>
      </x:c>
      <x:c r="C330" s="43" t="n">
        <x:f>IF(K330="Boarding school",30,0)+IF(J330&gt;=18,20,0)+IF(I330&lt;=11,10,0)+IF(L330="Has a sixth form",15,0)+IF(M330&gt;=200,10,0)+IF(N330&lt;&gt;"",10,0)</x:f>
        <x:v>65</x:v>
      </x:c>
      <x:c r="D330" s="43" t="str">
        <x:f>IF(C330&gt;=85,"A",IF(C330&gt;=65,"B","C"))</x:f>
        <x:v>B</x:v>
      </x:c>
      <x:c r="E330" s="43" t="str">
        <x:v>The Grange School</x:v>
      </x:c>
      <x:c r="F330" s="43" t="str">
        <x:v>Northwich</x:v>
      </x:c>
      <x:c r="G330" s="43" t="str">
        <x:v>Cheshire</x:v>
      </x:c>
      <x:c r="H330" s="43" t="str">
        <x:v>CW8 1LU</x:v>
      </x:c>
      <x:c r="I330" s="43" t="n">
        <x:v>4</x:v>
      </x:c>
      <x:c r="J330" s="43" t="n">
        <x:v>19</x:v>
      </x:c>
      <x:c r="K330" s="43" t="str">
        <x:v>No boarders</x:v>
      </x:c>
      <x:c r="L330" s="43" t="str">
        <x:v>Has a sixth form</x:v>
      </x:c>
      <x:c r="M330" s="43" t="n">
        <x:v>1168</x:v>
      </x:c>
      <x:c r="N330" s="43" t="str">
        <x:v>http://www.grange.org.uk/</x:v>
      </x:c>
      <x:c r="O330" s="43" t="str">
        <x:v>01606539039</x:v>
      </x:c>
      <x:c r="P330" s="43" t="str"/>
      <x:c r="Q330" s="43" t="str"/>
      <x:c r="R330" s="43" t="str">
        <x:v>Queued for contact research</x:v>
      </x:c>
      <x:c r="S330" s="43" t="str">
        <x:v>Not reviewed</x:v>
      </x:c>
      <x:c r="T330" s="43" t="str">
        <x:v>Hold</x:v>
      </x:c>
      <x:c r="U330" s="43" t="str">
        <x:v>No</x:v>
      </x:c>
      <x:c r="V330" s="44"/>
      <x:c r="W330" s="43" t="str"/>
      <x:c r="X330" s="43" t="str"/>
      <x:c r="Y330" s="43" t="str"/>
      <x:c r="Z330" s="43" t="str">
        <x:v>https://www.get-information-schools.service.gov.uk/Downloads</x:v>
      </x:c>
    </x:row>
    <x:row r="331">
      <x:c r="A331" s="43" t="str">
        <x:v>UK independent</x:v>
      </x:c>
      <x:c r="B331" s="43" t="str">
        <x:v>109374</x:v>
      </x:c>
      <x:c r="C331" s="43" t="n">
        <x:f>IF(K331="Boarding school",30,0)+IF(J331&gt;=18,20,0)+IF(I331&lt;=11,10,0)+IF(L331="Has a sixth form",15,0)+IF(M331&gt;=200,10,0)+IF(N331&lt;&gt;"",10,0)</x:f>
        <x:v>65</x:v>
      </x:c>
      <x:c r="D331" s="43" t="str">
        <x:f>IF(C331&gt;=85,"A",IF(C331&gt;=65,"B","C"))</x:f>
        <x:v>B</x:v>
      </x:c>
      <x:c r="E331" s="43" t="str">
        <x:v>King Edward's School</x:v>
      </x:c>
      <x:c r="F331" s="43" t="str"/>
      <x:c r="G331" s="43" t="str"/>
      <x:c r="H331" s="43" t="str">
        <x:v>BA2 6HU</x:v>
      </x:c>
      <x:c r="I331" s="43" t="n">
        <x:v>3</x:v>
      </x:c>
      <x:c r="J331" s="43" t="n">
        <x:v>19</x:v>
      </x:c>
      <x:c r="K331" s="43" t="str">
        <x:v>No boarders</x:v>
      </x:c>
      <x:c r="L331" s="43" t="str">
        <x:v>Has a sixth form</x:v>
      </x:c>
      <x:c r="M331" s="43" t="n">
        <x:v>1151</x:v>
      </x:c>
      <x:c r="N331" s="43" t="str">
        <x:v>https://www.kesbath.com</x:v>
      </x:c>
      <x:c r="O331" s="43" t="str">
        <x:v>01225464313</x:v>
      </x:c>
      <x:c r="P331" s="43" t="str"/>
      <x:c r="Q331" s="43" t="str"/>
      <x:c r="R331" s="43" t="str">
        <x:v>Queued for contact research</x:v>
      </x:c>
      <x:c r="S331" s="43" t="str">
        <x:v>Not reviewed</x:v>
      </x:c>
      <x:c r="T331" s="43" t="str">
        <x:v>Hold</x:v>
      </x:c>
      <x:c r="U331" s="43" t="str">
        <x:v>No</x:v>
      </x:c>
      <x:c r="V331" s="44"/>
      <x:c r="W331" s="43" t="str"/>
      <x:c r="X331" s="43" t="str"/>
      <x:c r="Y331" s="43" t="str"/>
      <x:c r="Z331" s="43" t="str">
        <x:v>https://www.get-information-schools.service.gov.uk/Downloads</x:v>
      </x:c>
    </x:row>
    <x:row r="332">
      <x:c r="A332" s="43" t="str">
        <x:v>UK independent</x:v>
      </x:c>
      <x:c r="B332" s="43" t="str">
        <x:v>101947</x:v>
      </x:c>
      <x:c r="C332" s="43" t="n">
        <x:f>IF(K332="Boarding school",30,0)+IF(J332&gt;=18,20,0)+IF(I332&lt;=11,10,0)+IF(L332="Has a sixth form",15,0)+IF(M332&gt;=200,10,0)+IF(N332&lt;&gt;"",10,0)</x:f>
        <x:v>65</x:v>
      </x:c>
      <x:c r="D332" s="43" t="str">
        <x:f>IF(C332&gt;=85,"A",IF(C332&gt;=65,"B","C"))</x:f>
        <x:v>B</x:v>
      </x:c>
      <x:c r="E332" s="43" t="str">
        <x:v>St Benedict's School</x:v>
      </x:c>
      <x:c r="F332" s="43" t="str"/>
      <x:c r="G332" s="43" t="str"/>
      <x:c r="H332" s="43" t="str">
        <x:v>W5 2ES</x:v>
      </x:c>
      <x:c r="I332" s="43" t="n">
        <x:v>3</x:v>
      </x:c>
      <x:c r="J332" s="43" t="n">
        <x:v>18</x:v>
      </x:c>
      <x:c r="K332" s="43" t="str">
        <x:v>No boarders</x:v>
      </x:c>
      <x:c r="L332" s="43" t="str">
        <x:v>Has a sixth form</x:v>
      </x:c>
      <x:c r="M332" s="43" t="n">
        <x:v>1149</x:v>
      </x:c>
      <x:c r="N332" s="43" t="str">
        <x:v>https://www.stbenedicts.org.uk</x:v>
      </x:c>
      <x:c r="O332" s="43" t="str">
        <x:v>02088622000</x:v>
      </x:c>
      <x:c r="P332" s="43" t="str"/>
      <x:c r="Q332" s="43" t="str"/>
      <x:c r="R332" s="43" t="str">
        <x:v>Queued for contact research</x:v>
      </x:c>
      <x:c r="S332" s="43" t="str">
        <x:v>Not reviewed</x:v>
      </x:c>
      <x:c r="T332" s="43" t="str">
        <x:v>Hold</x:v>
      </x:c>
      <x:c r="U332" s="43" t="str">
        <x:v>No</x:v>
      </x:c>
      <x:c r="V332" s="44"/>
      <x:c r="W332" s="43" t="str"/>
      <x:c r="X332" s="43" t="str"/>
      <x:c r="Y332" s="43" t="str"/>
      <x:c r="Z332" s="43" t="str">
        <x:v>https://www.get-information-schools.service.gov.uk/Downloads</x:v>
      </x:c>
    </x:row>
    <x:row r="333">
      <x:c r="A333" s="43" t="str">
        <x:v>UK independent</x:v>
      </x:c>
      <x:c r="B333" s="43" t="str">
        <x:v>105271</x:v>
      </x:c>
      <x:c r="C333" s="43" t="n">
        <x:f>IF(K333="Boarding school",30,0)+IF(J333&gt;=18,20,0)+IF(I333&lt;=11,10,0)+IF(L333="Has a sixth form",15,0)+IF(M333&gt;=200,10,0)+IF(N333&lt;&gt;"",10,0)</x:f>
        <x:v>65</x:v>
      </x:c>
      <x:c r="D333" s="43" t="str">
        <x:f>IF(C333&gt;=85,"A",IF(C333&gt;=65,"B","C"))</x:f>
        <x:v>B</x:v>
      </x:c>
      <x:c r="E333" s="43" t="str">
        <x:v>Bolton School Boys' Division</x:v>
      </x:c>
      <x:c r="F333" s="43" t="str">
        <x:v>Bolton</x:v>
      </x:c>
      <x:c r="G333" s="43" t="str">
        <x:v>Lancashire</x:v>
      </x:c>
      <x:c r="H333" s="43" t="str">
        <x:v>BL1 4PA</x:v>
      </x:c>
      <x:c r="I333" s="43" t="n">
        <x:v>7</x:v>
      </x:c>
      <x:c r="J333" s="43" t="n">
        <x:v>18</x:v>
      </x:c>
      <x:c r="K333" s="43" t="str">
        <x:v>No boarders</x:v>
      </x:c>
      <x:c r="L333" s="43" t="str">
        <x:v>Has a sixth form</x:v>
      </x:c>
      <x:c r="M333" s="43" t="n">
        <x:v>1131</x:v>
      </x:c>
      <x:c r="N333" s="43" t="str">
        <x:v>https://www.boltonschool.org/seniorboys</x:v>
      </x:c>
      <x:c r="O333" s="43" t="str">
        <x:v>01204840201</x:v>
      </x:c>
      <x:c r="P333" s="43" t="str"/>
      <x:c r="Q333" s="43" t="str"/>
      <x:c r="R333" s="43" t="str">
        <x:v>Queued for contact research</x:v>
      </x:c>
      <x:c r="S333" s="43" t="str">
        <x:v>Not reviewed</x:v>
      </x:c>
      <x:c r="T333" s="43" t="str">
        <x:v>Hold</x:v>
      </x:c>
      <x:c r="U333" s="43" t="str">
        <x:v>No</x:v>
      </x:c>
      <x:c r="V333" s="44"/>
      <x:c r="W333" s="43" t="str"/>
      <x:c r="X333" s="43" t="str"/>
      <x:c r="Y333" s="43" t="str"/>
      <x:c r="Z333" s="43" t="str">
        <x:v>https://www.get-information-schools.service.gov.uk/Downloads</x:v>
      </x:c>
    </x:row>
    <x:row r="334">
      <x:c r="A334" s="43" t="str">
        <x:v>UK independent</x:v>
      </x:c>
      <x:c r="B334" s="43" t="str">
        <x:v>102257</x:v>
      </x:c>
      <x:c r="C334" s="43" t="n">
        <x:f>IF(K334="Boarding school",30,0)+IF(J334&gt;=18,20,0)+IF(I334&lt;=11,10,0)+IF(L334="Has a sixth form",15,0)+IF(M334&gt;=200,10,0)+IF(N334&lt;&gt;"",10,0)</x:f>
        <x:v>65</x:v>
      </x:c>
      <x:c r="D334" s="43" t="str">
        <x:f>IF(C334&gt;=85,"A",IF(C334&gt;=65,"B","C"))</x:f>
        <x:v>B</x:v>
      </x:c>
      <x:c r="E334" s="43" t="str">
        <x:v>North London Collegiate School</x:v>
      </x:c>
      <x:c r="F334" s="43" t="str">
        <x:v>Middlesex</x:v>
      </x:c>
      <x:c r="G334" s="43" t="str"/>
      <x:c r="H334" s="43" t="str">
        <x:v>HA8 7RJ</x:v>
      </x:c>
      <x:c r="I334" s="43" t="n">
        <x:v>4</x:v>
      </x:c>
      <x:c r="J334" s="43" t="n">
        <x:v>18</x:v>
      </x:c>
      <x:c r="K334" s="43" t="str">
        <x:v>No boarders</x:v>
      </x:c>
      <x:c r="L334" s="43" t="str">
        <x:v>Has a sixth form</x:v>
      </x:c>
      <x:c r="M334" s="43" t="n">
        <x:v>1130</x:v>
      </x:c>
      <x:c r="N334" s="43" t="str">
        <x:v>https://www.nlcs.org.uk</x:v>
      </x:c>
      <x:c r="O334" s="43" t="str">
        <x:v>02089520912</x:v>
      </x:c>
      <x:c r="P334" s="43" t="str"/>
      <x:c r="Q334" s="43" t="str"/>
      <x:c r="R334" s="43" t="str">
        <x:v>Queued for contact research</x:v>
      </x:c>
      <x:c r="S334" s="43" t="str">
        <x:v>Not reviewed</x:v>
      </x:c>
      <x:c r="T334" s="43" t="str">
        <x:v>Hold</x:v>
      </x:c>
      <x:c r="U334" s="43" t="str">
        <x:v>No</x:v>
      </x:c>
      <x:c r="V334" s="44"/>
      <x:c r="W334" s="43" t="str"/>
      <x:c r="X334" s="43" t="str"/>
      <x:c r="Y334" s="43" t="str"/>
      <x:c r="Z334" s="43" t="str">
        <x:v>https://www.get-information-schools.service.gov.uk/Downloads</x:v>
      </x:c>
    </x:row>
    <x:row r="335">
      <x:c r="A335" s="43" t="str">
        <x:v>UK independent</x:v>
      </x:c>
      <x:c r="B335" s="43" t="str">
        <x:v>117649</x:v>
      </x:c>
      <x:c r="C335" s="43" t="n">
        <x:f>IF(K335="Boarding school",30,0)+IF(J335&gt;=18,20,0)+IF(I335&lt;=11,10,0)+IF(L335="Has a sixth form",15,0)+IF(M335&gt;=200,10,0)+IF(N335&lt;&gt;"",10,0)</x:f>
        <x:v>65</x:v>
      </x:c>
      <x:c r="D335" s="43" t="str">
        <x:f>IF(C335&gt;=85,"A",IF(C335&gt;=65,"B","C"))</x:f>
        <x:v>B</x:v>
      </x:c>
      <x:c r="E335" s="43" t="str">
        <x:v>Haberdashers' Girls' School</x:v>
      </x:c>
      <x:c r="F335" s="43" t="str">
        <x:v>Borehamwood</x:v>
      </x:c>
      <x:c r="G335" s="43" t="str"/>
      <x:c r="H335" s="43" t="str">
        <x:v>WD6 3BT</x:v>
      </x:c>
      <x:c r="I335" s="43" t="n">
        <x:v>4</x:v>
      </x:c>
      <x:c r="J335" s="43" t="n">
        <x:v>18</x:v>
      </x:c>
      <x:c r="K335" s="43" t="str">
        <x:v>No boarders</x:v>
      </x:c>
      <x:c r="L335" s="43" t="str">
        <x:v>Has a sixth form</x:v>
      </x:c>
      <x:c r="M335" s="43" t="n">
        <x:v>1118</x:v>
      </x:c>
      <x:c r="N335" s="43" t="str">
        <x:v>https://www.habselstree.org.uk/girls/</x:v>
      </x:c>
      <x:c r="O335" s="43" t="str">
        <x:v>02082662300</x:v>
      </x:c>
      <x:c r="P335" s="43" t="str"/>
      <x:c r="Q335" s="43" t="str"/>
      <x:c r="R335" s="43" t="str">
        <x:v>Queued for contact research</x:v>
      </x:c>
      <x:c r="S335" s="43" t="str">
        <x:v>Not reviewed</x:v>
      </x:c>
      <x:c r="T335" s="43" t="str">
        <x:v>Hold</x:v>
      </x:c>
      <x:c r="U335" s="43" t="str">
        <x:v>No</x:v>
      </x:c>
      <x:c r="V335" s="44"/>
      <x:c r="W335" s="43" t="str"/>
      <x:c r="X335" s="43" t="str"/>
      <x:c r="Y335" s="43" t="str"/>
      <x:c r="Z335" s="43" t="str">
        <x:v>https://www.get-information-schools.service.gov.uk/Downloads</x:v>
      </x:c>
    </x:row>
    <x:row r="336">
      <x:c r="A336" s="43" t="str">
        <x:v>UK independent</x:v>
      </x:c>
      <x:c r="B336" s="43" t="str">
        <x:v>101071</x:v>
      </x:c>
      <x:c r="C336" s="43" t="n">
        <x:f>IF(K336="Boarding school",30,0)+IF(J336&gt;=18,20,0)+IF(I336&lt;=11,10,0)+IF(L336="Has a sixth form",15,0)+IF(M336&gt;=200,10,0)+IF(N336&lt;&gt;"",10,0)</x:f>
        <x:v>65</x:v>
      </x:c>
      <x:c r="D336" s="43" t="str">
        <x:f>IF(C336&gt;=85,"A",IF(C336&gt;=65,"B","C"))</x:f>
        <x:v>B</x:v>
      </x:c>
      <x:c r="E336" s="43" t="str">
        <x:v>Emanuel School</x:v>
      </x:c>
      <x:c r="F336" s="43" t="str">
        <x:v>London</x:v>
      </x:c>
      <x:c r="G336" s="43" t="str"/>
      <x:c r="H336" s="43" t="str">
        <x:v>SW11 1HS</x:v>
      </x:c>
      <x:c r="I336" s="43" t="n">
        <x:v>10</x:v>
      </x:c>
      <x:c r="J336" s="43" t="n">
        <x:v>19</x:v>
      </x:c>
      <x:c r="K336" s="43" t="str">
        <x:v>No boarders</x:v>
      </x:c>
      <x:c r="L336" s="43" t="str">
        <x:v>Has a sixth form</x:v>
      </x:c>
      <x:c r="M336" s="43" t="n">
        <x:v>1112</x:v>
      </x:c>
      <x:c r="N336" s="43" t="str">
        <x:v>https://www.emanuel.org.uk</x:v>
      </x:c>
      <x:c r="O336" s="43" t="str">
        <x:v>02088704171</x:v>
      </x:c>
      <x:c r="P336" s="43" t="str"/>
      <x:c r="Q336" s="43" t="str"/>
      <x:c r="R336" s="43" t="str">
        <x:v>Queued for contact research</x:v>
      </x:c>
      <x:c r="S336" s="43" t="str">
        <x:v>Not reviewed</x:v>
      </x:c>
      <x:c r="T336" s="43" t="str">
        <x:v>Hold</x:v>
      </x:c>
      <x:c r="U336" s="43" t="str">
        <x:v>No</x:v>
      </x:c>
      <x:c r="V336" s="44"/>
      <x:c r="W336" s="43" t="str"/>
      <x:c r="X336" s="43" t="str"/>
      <x:c r="Y336" s="43" t="str"/>
      <x:c r="Z336" s="43" t="str">
        <x:v>https://www.get-information-schools.service.gov.uk/Downloads</x:v>
      </x:c>
    </x:row>
    <x:row r="337">
      <x:c r="A337" s="43" t="str">
        <x:v>UK independent</x:v>
      </x:c>
      <x:c r="B337" s="43" t="str">
        <x:v>121242</x:v>
      </x:c>
      <x:c r="C337" s="43" t="n">
        <x:f>IF(K337="Boarding school",30,0)+IF(J337&gt;=18,20,0)+IF(I337&lt;=11,10,0)+IF(L337="Has a sixth form",15,0)+IF(M337&gt;=200,10,0)+IF(N337&lt;&gt;"",10,0)</x:f>
        <x:v>65</x:v>
      </x:c>
      <x:c r="D337" s="43" t="str">
        <x:f>IF(C337&gt;=85,"A",IF(C337&gt;=65,"B","C"))</x:f>
        <x:v>B</x:v>
      </x:c>
      <x:c r="E337" s="43" t="str">
        <x:v>Norwich School</x:v>
      </x:c>
      <x:c r="F337" s="43" t="str">
        <x:v>Norwich</x:v>
      </x:c>
      <x:c r="G337" s="43" t="str">
        <x:v>Norfolk</x:v>
      </x:c>
      <x:c r="H337" s="43" t="str">
        <x:v>NR1 4DD</x:v>
      </x:c>
      <x:c r="I337" s="43" t="n">
        <x:v>3</x:v>
      </x:c>
      <x:c r="J337" s="43" t="n">
        <x:v>18</x:v>
      </x:c>
      <x:c r="K337" s="43" t="str">
        <x:v>No boarders</x:v>
      </x:c>
      <x:c r="L337" s="43" t="str">
        <x:v>Has a sixth form</x:v>
      </x:c>
      <x:c r="M337" s="43" t="n">
        <x:v>1112</x:v>
      </x:c>
      <x:c r="N337" s="43" t="str">
        <x:v>http://www.norwich-school.org.uk/</x:v>
      </x:c>
      <x:c r="O337" s="43" t="str">
        <x:v>01603728430</x:v>
      </x:c>
      <x:c r="P337" s="43" t="str"/>
      <x:c r="Q337" s="43" t="str"/>
      <x:c r="R337" s="43" t="str">
        <x:v>Queued for contact research</x:v>
      </x:c>
      <x:c r="S337" s="43" t="str">
        <x:v>Not reviewed</x:v>
      </x:c>
      <x:c r="T337" s="43" t="str">
        <x:v>Hold</x:v>
      </x:c>
      <x:c r="U337" s="43" t="str">
        <x:v>No</x:v>
      </x:c>
      <x:c r="V337" s="44"/>
      <x:c r="W337" s="43" t="str"/>
      <x:c r="X337" s="43" t="str"/>
      <x:c r="Y337" s="43" t="str"/>
      <x:c r="Z337" s="43" t="str">
        <x:v>https://www.get-information-schools.service.gov.uk/Downloads</x:v>
      </x:c>
    </x:row>
    <x:row r="338">
      <x:c r="A338" s="43" t="str">
        <x:v>UK independent</x:v>
      </x:c>
      <x:c r="B338" s="43" t="str">
        <x:v>117617</x:v>
      </x:c>
      <x:c r="C338" s="43" t="n">
        <x:f>IF(K338="Boarding school",30,0)+IF(J338&gt;=18,20,0)+IF(I338&lt;=11,10,0)+IF(L338="Has a sixth form",15,0)+IF(M338&gt;=200,10,0)+IF(N338&lt;&gt;"",10,0)</x:f>
        <x:v>65</x:v>
      </x:c>
      <x:c r="D338" s="43" t="str">
        <x:f>IF(C338&gt;=85,"A",IF(C338&gt;=65,"B","C"))</x:f>
        <x:v>B</x:v>
      </x:c>
      <x:c r="E338" s="43" t="str">
        <x:v>St Albans High School for Girls</x:v>
      </x:c>
      <x:c r="F338" s="43" t="str"/>
      <x:c r="G338" s="43" t="str"/>
      <x:c r="H338" s="43" t="str">
        <x:v>AL1 3SJ</x:v>
      </x:c>
      <x:c r="I338" s="43" t="n">
        <x:v>4</x:v>
      </x:c>
      <x:c r="J338" s="43" t="n">
        <x:v>18</x:v>
      </x:c>
      <x:c r="K338" s="43" t="str">
        <x:v>No boarders</x:v>
      </x:c>
      <x:c r="L338" s="43" t="str">
        <x:v>Has a sixth form</x:v>
      </x:c>
      <x:c r="M338" s="43" t="n">
        <x:v>1106</x:v>
      </x:c>
      <x:c r="N338" s="43" t="str">
        <x:v>https://www.stahs.org.uk</x:v>
      </x:c>
      <x:c r="O338" s="43" t="str">
        <x:v>01727853800</x:v>
      </x:c>
      <x:c r="P338" s="43" t="str"/>
      <x:c r="Q338" s="43" t="str"/>
      <x:c r="R338" s="43" t="str">
        <x:v>Queued for contact research</x:v>
      </x:c>
      <x:c r="S338" s="43" t="str">
        <x:v>Not reviewed</x:v>
      </x:c>
      <x:c r="T338" s="43" t="str">
        <x:v>Hold</x:v>
      </x:c>
      <x:c r="U338" s="43" t="str">
        <x:v>No</x:v>
      </x:c>
      <x:c r="V338" s="44"/>
      <x:c r="W338" s="43" t="str"/>
      <x:c r="X338" s="43" t="str"/>
      <x:c r="Y338" s="43" t="str"/>
      <x:c r="Z338" s="43" t="str">
        <x:v>https://www.get-information-schools.service.gov.uk/Downloads</x:v>
      </x:c>
    </x:row>
    <x:row r="339">
      <x:c r="A339" s="43" t="str">
        <x:v>UK independent</x:v>
      </x:c>
      <x:c r="B339" s="43" t="str">
        <x:v>102453</x:v>
      </x:c>
      <x:c r="C339" s="43" t="n">
        <x:f>IF(K339="Boarding school",30,0)+IF(J339&gt;=18,20,0)+IF(I339&lt;=11,10,0)+IF(L339="Has a sixth form",15,0)+IF(M339&gt;=200,10,0)+IF(N339&lt;&gt;"",10,0)</x:f>
        <x:v>65</x:v>
      </x:c>
      <x:c r="D339" s="43" t="str">
        <x:f>IF(C339&gt;=85,"A",IF(C339&gt;=65,"B","C"))</x:f>
        <x:v>B</x:v>
      </x:c>
      <x:c r="E339" s="43" t="str">
        <x:v>St Helen's School</x:v>
      </x:c>
      <x:c r="F339" s="43" t="str">
        <x:v>Northwood</x:v>
      </x:c>
      <x:c r="G339" s="43" t="str"/>
      <x:c r="H339" s="43" t="str">
        <x:v>HA6 3AS</x:v>
      </x:c>
      <x:c r="I339" s="43" t="n">
        <x:v>3</x:v>
      </x:c>
      <x:c r="J339" s="43" t="n">
        <x:v>18</x:v>
      </x:c>
      <x:c r="K339" s="43" t="str">
        <x:v>No boarders</x:v>
      </x:c>
      <x:c r="L339" s="43" t="str">
        <x:v>Has a sixth form</x:v>
      </x:c>
      <x:c r="M339" s="43" t="n">
        <x:v>1097</x:v>
      </x:c>
      <x:c r="N339" s="43" t="str">
        <x:v>http://www.sthelens.london</x:v>
      </x:c>
      <x:c r="O339" s="43" t="str">
        <x:v>01923843210</x:v>
      </x:c>
      <x:c r="P339" s="43" t="str"/>
      <x:c r="Q339" s="43" t="str"/>
      <x:c r="R339" s="43" t="str">
        <x:v>Queued for contact research</x:v>
      </x:c>
      <x:c r="S339" s="43" t="str">
        <x:v>Not reviewed</x:v>
      </x:c>
      <x:c r="T339" s="43" t="str">
        <x:v>Hold</x:v>
      </x:c>
      <x:c r="U339" s="43" t="str">
        <x:v>No</x:v>
      </x:c>
      <x:c r="V339" s="44"/>
      <x:c r="W339" s="43" t="str"/>
      <x:c r="X339" s="43" t="str"/>
      <x:c r="Y339" s="43" t="str"/>
      <x:c r="Z339" s="43" t="str">
        <x:v>https://www.get-information-schools.service.gov.uk/Downloads</x:v>
      </x:c>
    </x:row>
    <x:row r="340">
      <x:c r="A340" s="43" t="str">
        <x:v>UK independent</x:v>
      </x:c>
      <x:c r="B340" s="43" t="str">
        <x:v>101693</x:v>
      </x:c>
      <x:c r="C340" s="43" t="n">
        <x:f>IF(K340="Boarding school",30,0)+IF(J340&gt;=18,20,0)+IF(I340&lt;=11,10,0)+IF(L340="Has a sixth form",15,0)+IF(M340&gt;=200,10,0)+IF(N340&lt;&gt;"",10,0)</x:f>
        <x:v>65</x:v>
      </x:c>
      <x:c r="D340" s="43" t="str">
        <x:f>IF(C340&gt;=85,"A",IF(C340&gt;=65,"B","C"))</x:f>
        <x:v>B</x:v>
      </x:c>
      <x:c r="E340" s="43" t="str">
        <x:v>Eltham College</x:v>
      </x:c>
      <x:c r="F340" s="43" t="str">
        <x:v>London</x:v>
      </x:c>
      <x:c r="G340" s="43" t="str"/>
      <x:c r="H340" s="43" t="str">
        <x:v>SE9 4QF</x:v>
      </x:c>
      <x:c r="I340" s="43" t="n">
        <x:v>7</x:v>
      </x:c>
      <x:c r="J340" s="43" t="n">
        <x:v>19</x:v>
      </x:c>
      <x:c r="K340" s="43" t="str">
        <x:v>No boarders</x:v>
      </x:c>
      <x:c r="L340" s="43" t="str">
        <x:v>Has a sixth form</x:v>
      </x:c>
      <x:c r="M340" s="43" t="n">
        <x:v>1094</x:v>
      </x:c>
      <x:c r="N340" s="43" t="str">
        <x:v>http://www.eltham-college.org.uk</x:v>
      </x:c>
      <x:c r="O340" s="43" t="str">
        <x:v>02088571455</x:v>
      </x:c>
      <x:c r="P340" s="43" t="str"/>
      <x:c r="Q340" s="43" t="str"/>
      <x:c r="R340" s="43" t="str">
        <x:v>Queued for contact research</x:v>
      </x:c>
      <x:c r="S340" s="43" t="str">
        <x:v>Not reviewed</x:v>
      </x:c>
      <x:c r="T340" s="43" t="str">
        <x:v>Hold</x:v>
      </x:c>
      <x:c r="U340" s="43" t="str">
        <x:v>No</x:v>
      </x:c>
      <x:c r="V340" s="44"/>
      <x:c r="W340" s="43" t="str"/>
      <x:c r="X340" s="43" t="str"/>
      <x:c r="Y340" s="43" t="str"/>
      <x:c r="Z340" s="43" t="str">
        <x:v>https://www.get-information-schools.service.gov.uk/Downloads</x:v>
      </x:c>
    </x:row>
    <x:row r="341">
      <x:c r="A341" s="43" t="str">
        <x:v>UK independent</x:v>
      </x:c>
      <x:c r="B341" s="43" t="str">
        <x:v>102692</x:v>
      </x:c>
      <x:c r="C341" s="43" t="n">
        <x:f>IF(K341="Boarding school",30,0)+IF(J341&gt;=18,20,0)+IF(I341&lt;=11,10,0)+IF(L341="Has a sixth form",15,0)+IF(M341&gt;=200,10,0)+IF(N341&lt;&gt;"",10,0)</x:f>
        <x:v>65</x:v>
      </x:c>
      <x:c r="D341" s="43" t="str">
        <x:f>IF(C341&gt;=85,"A",IF(C341&gt;=65,"B","C"))</x:f>
        <x:v>B</x:v>
      </x:c>
      <x:c r="E341" s="43" t="str">
        <x:v>Wimbledon High School GDST</x:v>
      </x:c>
      <x:c r="F341" s="43" t="str"/>
      <x:c r="G341" s="43" t="str"/>
      <x:c r="H341" s="43" t="str">
        <x:v>SW19 4AB</x:v>
      </x:c>
      <x:c r="I341" s="43" t="n">
        <x:v>4</x:v>
      </x:c>
      <x:c r="J341" s="43" t="n">
        <x:v>19</x:v>
      </x:c>
      <x:c r="K341" s="43" t="str">
        <x:v>No boarders</x:v>
      </x:c>
      <x:c r="L341" s="43" t="str">
        <x:v>Has a sixth form</x:v>
      </x:c>
      <x:c r="M341" s="43" t="n">
        <x:v>1085</x:v>
      </x:c>
      <x:c r="N341" s="43" t="str">
        <x:v>https://www.wimbledonhigh.gdst.net</x:v>
      </x:c>
      <x:c r="O341" s="43" t="str">
        <x:v>02089710900</x:v>
      </x:c>
      <x:c r="P341" s="43" t="str"/>
      <x:c r="Q341" s="43" t="str"/>
      <x:c r="R341" s="43" t="str">
        <x:v>Queued for contact research</x:v>
      </x:c>
      <x:c r="S341" s="43" t="str">
        <x:v>Not reviewed</x:v>
      </x:c>
      <x:c r="T341" s="43" t="str">
        <x:v>Hold</x:v>
      </x:c>
      <x:c r="U341" s="43" t="str">
        <x:v>No</x:v>
      </x:c>
      <x:c r="V341" s="44"/>
      <x:c r="W341" s="43" t="str"/>
      <x:c r="X341" s="43" t="str"/>
      <x:c r="Y341" s="43" t="str"/>
      <x:c r="Z341" s="43" t="str">
        <x:v>https://www.get-information-schools.service.gov.uk/Downloads</x:v>
      </x:c>
    </x:row>
    <x:row r="342">
      <x:c r="A342" s="43" t="str">
        <x:v>UK independent</x:v>
      </x:c>
      <x:c r="B342" s="43" t="str">
        <x:v>101072</x:v>
      </x:c>
      <x:c r="C342" s="43" t="n">
        <x:f>IF(K342="Boarding school",30,0)+IF(J342&gt;=18,20,0)+IF(I342&lt;=11,10,0)+IF(L342="Has a sixth form",15,0)+IF(M342&gt;=200,10,0)+IF(N342&lt;&gt;"",10,0)</x:f>
        <x:v>65</x:v>
      </x:c>
      <x:c r="D342" s="43" t="str">
        <x:f>IF(C342&gt;=85,"A",IF(C342&gt;=65,"B","C"))</x:f>
        <x:v>B</x:v>
      </x:c>
      <x:c r="E342" s="43" t="str">
        <x:v>Putney High School GDST</x:v>
      </x:c>
      <x:c r="F342" s="43" t="str"/>
      <x:c r="G342" s="43" t="str"/>
      <x:c r="H342" s="43" t="str">
        <x:v>SW15 6BH</x:v>
      </x:c>
      <x:c r="I342" s="43" t="n">
        <x:v>4</x:v>
      </x:c>
      <x:c r="J342" s="43" t="n">
        <x:v>19</x:v>
      </x:c>
      <x:c r="K342" s="43" t="str">
        <x:v>No boarders</x:v>
      </x:c>
      <x:c r="L342" s="43" t="str">
        <x:v>Has a sixth form</x:v>
      </x:c>
      <x:c r="M342" s="43" t="n">
        <x:v>1058</x:v>
      </x:c>
      <x:c r="N342" s="43" t="str">
        <x:v>http://www.putneyhigh.gdst.net</x:v>
      </x:c>
      <x:c r="O342" s="43" t="str">
        <x:v>02087884886</x:v>
      </x:c>
      <x:c r="P342" s="43" t="str"/>
      <x:c r="Q342" s="43" t="str"/>
      <x:c r="R342" s="43" t="str">
        <x:v>Queued for contact research</x:v>
      </x:c>
      <x:c r="S342" s="43" t="str">
        <x:v>Not reviewed</x:v>
      </x:c>
      <x:c r="T342" s="43" t="str">
        <x:v>Hold</x:v>
      </x:c>
      <x:c r="U342" s="43" t="str">
        <x:v>No</x:v>
      </x:c>
      <x:c r="V342" s="44"/>
      <x:c r="W342" s="43" t="str"/>
      <x:c r="X342" s="43" t="str"/>
      <x:c r="Y342" s="43" t="str"/>
      <x:c r="Z342" s="43" t="str">
        <x:v>https://www.get-information-schools.service.gov.uk/Downloads</x:v>
      </x:c>
    </x:row>
    <x:row r="343">
      <x:c r="A343" s="43" t="str">
        <x:v>UK independent</x:v>
      </x:c>
      <x:c r="B343" s="43" t="str">
        <x:v>105272</x:v>
      </x:c>
      <x:c r="C343" s="43" t="n">
        <x:f>IF(K343="Boarding school",30,0)+IF(J343&gt;=18,20,0)+IF(I343&lt;=11,10,0)+IF(L343="Has a sixth form",15,0)+IF(M343&gt;=200,10,0)+IF(N343&lt;&gt;"",10,0)</x:f>
        <x:v>65</x:v>
      </x:c>
      <x:c r="D343" s="43" t="str">
        <x:f>IF(C343&gt;=85,"A",IF(C343&gt;=65,"B","C"))</x:f>
        <x:v>B</x:v>
      </x:c>
      <x:c r="E343" s="43" t="str">
        <x:v>Bolton School Girls' Division</x:v>
      </x:c>
      <x:c r="F343" s="43" t="str">
        <x:v>Bolton</x:v>
      </x:c>
      <x:c r="G343" s="43" t="str">
        <x:v>Lancashire</x:v>
      </x:c>
      <x:c r="H343" s="43" t="str">
        <x:v>BL1 4PB</x:v>
      </x:c>
      <x:c r="I343" s="43" t="n">
        <x:v>7</x:v>
      </x:c>
      <x:c r="J343" s="43" t="n">
        <x:v>18</x:v>
      </x:c>
      <x:c r="K343" s="43" t="str">
        <x:v>No boarders</x:v>
      </x:c>
      <x:c r="L343" s="43" t="str">
        <x:v>Has a sixth form</x:v>
      </x:c>
      <x:c r="M343" s="43" t="n">
        <x:v>1057</x:v>
      </x:c>
      <x:c r="N343" s="43" t="str">
        <x:v>https://www.boltonschool.org/seniorgirls</x:v>
      </x:c>
      <x:c r="O343" s="43" t="str">
        <x:v>01204840201</x:v>
      </x:c>
      <x:c r="P343" s="43" t="str"/>
      <x:c r="Q343" s="43" t="str"/>
      <x:c r="R343" s="43" t="str">
        <x:v>Queued for contact research</x:v>
      </x:c>
      <x:c r="S343" s="43" t="str">
        <x:v>Not reviewed</x:v>
      </x:c>
      <x:c r="T343" s="43" t="str">
        <x:v>Hold</x:v>
      </x:c>
      <x:c r="U343" s="43" t="str">
        <x:v>No</x:v>
      </x:c>
      <x:c r="V343" s="44"/>
      <x:c r="W343" s="43" t="str"/>
      <x:c r="X343" s="43" t="str"/>
      <x:c r="Y343" s="43" t="str"/>
      <x:c r="Z343" s="43" t="str">
        <x:v>https://www.get-information-schools.service.gov.uk/Downloads</x:v>
      </x:c>
    </x:row>
    <x:row r="344">
      <x:c r="A344" s="43" t="str">
        <x:v>UK independent</x:v>
      </x:c>
      <x:c r="B344" s="43" t="str">
        <x:v>117616</x:v>
      </x:c>
      <x:c r="C344" s="43" t="n">
        <x:f>IF(K344="Boarding school",30,0)+IF(J344&gt;=18,20,0)+IF(I344&lt;=11,10,0)+IF(L344="Has a sixth form",15,0)+IF(M344&gt;=200,10,0)+IF(N344&lt;&gt;"",10,0)</x:f>
        <x:v>65</x:v>
      </x:c>
      <x:c r="D344" s="43" t="str">
        <x:f>IF(C344&gt;=85,"A",IF(C344&gt;=65,"B","C"))</x:f>
        <x:v>B</x:v>
      </x:c>
      <x:c r="E344" s="43" t="str">
        <x:v>Merchant Taylors' School</x:v>
      </x:c>
      <x:c r="F344" s="43" t="str">
        <x:v>Northwood</x:v>
      </x:c>
      <x:c r="G344" s="43" t="str"/>
      <x:c r="H344" s="43" t="str">
        <x:v>HA6 2HT</x:v>
      </x:c>
      <x:c r="I344" s="43" t="n">
        <x:v>11</x:v>
      </x:c>
      <x:c r="J344" s="43" t="n">
        <x:v>18</x:v>
      </x:c>
      <x:c r="K344" s="43" t="str">
        <x:v>No boarders</x:v>
      </x:c>
      <x:c r="L344" s="43" t="str">
        <x:v>Has a sixth form</x:v>
      </x:c>
      <x:c r="M344" s="43" t="n">
        <x:v>1051</x:v>
      </x:c>
      <x:c r="N344" s="43" t="str">
        <x:v>https://www.mtsn.org.uk/</x:v>
      </x:c>
      <x:c r="O344" s="43" t="str">
        <x:v>01923820644</x:v>
      </x:c>
      <x:c r="P344" s="43" t="str"/>
      <x:c r="Q344" s="43" t="str"/>
      <x:c r="R344" s="43" t="str">
        <x:v>Queued for contact research</x:v>
      </x:c>
      <x:c r="S344" s="43" t="str">
        <x:v>Not reviewed</x:v>
      </x:c>
      <x:c r="T344" s="43" t="str">
        <x:v>Hold</x:v>
      </x:c>
      <x:c r="U344" s="43" t="str">
        <x:v>No</x:v>
      </x:c>
      <x:c r="V344" s="44"/>
      <x:c r="W344" s="43" t="str"/>
      <x:c r="X344" s="43" t="str"/>
      <x:c r="Y344" s="43" t="str"/>
      <x:c r="Z344" s="43" t="str">
        <x:v>https://www.get-information-schools.service.gov.uk/Downloads</x:v>
      </x:c>
    </x:row>
    <x:row r="345">
      <x:c r="A345" s="43" t="str">
        <x:v>UK independent</x:v>
      </x:c>
      <x:c r="B345" s="43" t="str">
        <x:v>101064</x:v>
      </x:c>
      <x:c r="C345" s="43" t="n">
        <x:f>IF(K345="Boarding school",30,0)+IF(J345&gt;=18,20,0)+IF(I345&lt;=11,10,0)+IF(L345="Has a sixth form",15,0)+IF(M345&gt;=200,10,0)+IF(N345&lt;&gt;"",10,0)</x:f>
        <x:v>65</x:v>
      </x:c>
      <x:c r="D345" s="43" t="str">
        <x:f>IF(C345&gt;=85,"A",IF(C345&gt;=65,"B","C"))</x:f>
        <x:v>B</x:v>
      </x:c>
      <x:c r="E345" s="43" t="str">
        <x:v>Ibstock Place School</x:v>
      </x:c>
      <x:c r="F345" s="43" t="str">
        <x:v>London</x:v>
      </x:c>
      <x:c r="G345" s="43" t="str"/>
      <x:c r="H345" s="43" t="str">
        <x:v>SW15 5PY</x:v>
      </x:c>
      <x:c r="I345" s="43" t="n">
        <x:v>3</x:v>
      </x:c>
      <x:c r="J345" s="43" t="n">
        <x:v>18</x:v>
      </x:c>
      <x:c r="K345" s="43" t="str">
        <x:v>No boarders</x:v>
      </x:c>
      <x:c r="L345" s="43" t="str">
        <x:v>Has a sixth form</x:v>
      </x:c>
      <x:c r="M345" s="43" t="n">
        <x:v>1048</x:v>
      </x:c>
      <x:c r="N345" s="43" t="str">
        <x:v>https://www.ibstockplaceschool.co.uk</x:v>
      </x:c>
      <x:c r="O345" s="43" t="str">
        <x:v>02088769991</x:v>
      </x:c>
      <x:c r="P345" s="43" t="str"/>
      <x:c r="Q345" s="43" t="str"/>
      <x:c r="R345" s="43" t="str">
        <x:v>Queued for contact research</x:v>
      </x:c>
      <x:c r="S345" s="43" t="str">
        <x:v>Not reviewed</x:v>
      </x:c>
      <x:c r="T345" s="43" t="str">
        <x:v>Hold</x:v>
      </x:c>
      <x:c r="U345" s="43" t="str">
        <x:v>No</x:v>
      </x:c>
      <x:c r="V345" s="44"/>
      <x:c r="W345" s="43" t="str"/>
      <x:c r="X345" s="43" t="str"/>
      <x:c r="Y345" s="43" t="str"/>
      <x:c r="Z345" s="43" t="str">
        <x:v>https://www.get-information-schools.service.gov.uk/Downloads</x:v>
      </x:c>
    </x:row>
    <x:row r="346">
      <x:c r="A346" s="43" t="str">
        <x:v>UK independent</x:v>
      </x:c>
      <x:c r="B346" s="43" t="str">
        <x:v>100003</x:v>
      </x:c>
      <x:c r="C346" s="43" t="n">
        <x:f>IF(K346="Boarding school",30,0)+IF(J346&gt;=18,20,0)+IF(I346&lt;=11,10,0)+IF(L346="Has a sixth form",15,0)+IF(M346&gt;=200,10,0)+IF(N346&lt;&gt;"",10,0)</x:f>
        <x:v>65</x:v>
      </x:c>
      <x:c r="D346" s="43" t="str">
        <x:f>IF(C346&gt;=85,"A",IF(C346&gt;=65,"B","C"))</x:f>
        <x:v>B</x:v>
      </x:c>
      <x:c r="E346" s="43" t="str">
        <x:v>City of London School</x:v>
      </x:c>
      <x:c r="F346" s="43" t="str">
        <x:v>London</x:v>
      </x:c>
      <x:c r="G346" s="43" t="str"/>
      <x:c r="H346" s="43" t="str">
        <x:v>EC4V 3AL</x:v>
      </x:c>
      <x:c r="I346" s="43" t="n">
        <x:v>10</x:v>
      </x:c>
      <x:c r="J346" s="43" t="n">
        <x:v>18</x:v>
      </x:c>
      <x:c r="K346" s="43" t="str">
        <x:v>No boarders</x:v>
      </x:c>
      <x:c r="L346" s="43" t="str">
        <x:v>Has a sixth form</x:v>
      </x:c>
      <x:c r="M346" s="43" t="n">
        <x:v>1040</x:v>
      </x:c>
      <x:c r="N346" s="43" t="str">
        <x:v>http://www.cityoflondonschool.org.uk</x:v>
      </x:c>
      <x:c r="O346" s="43" t="str">
        <x:v>02036806300</x:v>
      </x:c>
      <x:c r="P346" s="43" t="str"/>
      <x:c r="Q346" s="43" t="str"/>
      <x:c r="R346" s="43" t="str">
        <x:v>Queued for contact research</x:v>
      </x:c>
      <x:c r="S346" s="43" t="str">
        <x:v>Not reviewed</x:v>
      </x:c>
      <x:c r="T346" s="43" t="str">
        <x:v>Hold</x:v>
      </x:c>
      <x:c r="U346" s="43" t="str">
        <x:v>No</x:v>
      </x:c>
      <x:c r="V346" s="44"/>
      <x:c r="W346" s="43" t="str"/>
      <x:c r="X346" s="43" t="str"/>
      <x:c r="Y346" s="43" t="str"/>
      <x:c r="Z346" s="43" t="str">
        <x:v>https://www.get-information-schools.service.gov.uk/Downloads</x:v>
      </x:c>
    </x:row>
    <x:row r="347">
      <x:c r="A347" s="43" t="str">
        <x:v>UK independent</x:v>
      </x:c>
      <x:c r="B347" s="43" t="str">
        <x:v>119824</x:v>
      </x:c>
      <x:c r="C347" s="43" t="n">
        <x:f>IF(K347="Boarding school",30,0)+IF(J347&gt;=18,20,0)+IF(I347&lt;=11,10,0)+IF(L347="Has a sixth form",15,0)+IF(M347&gt;=200,10,0)+IF(N347&lt;&gt;"",10,0)</x:f>
        <x:v>65</x:v>
      </x:c>
      <x:c r="D347" s="43" t="str">
        <x:f>IF(C347&gt;=85,"A",IF(C347&gt;=65,"B","C"))</x:f>
        <x:v>B</x:v>
      </x:c>
      <x:c r="E347" s="43" t="str">
        <x:v>Scarisbrick Hall School</x:v>
      </x:c>
      <x:c r="F347" s="43" t="str"/>
      <x:c r="G347" s="43" t="str"/>
      <x:c r="H347" s="43" t="str">
        <x:v>L40 9RQ</x:v>
      </x:c>
      <x:c r="I347" s="43" t="n">
        <x:v>0</x:v>
      </x:c>
      <x:c r="J347" s="43" t="n">
        <x:v>18</x:v>
      </x:c>
      <x:c r="K347" s="43" t="str">
        <x:v>No boarders</x:v>
      </x:c>
      <x:c r="L347" s="43" t="str">
        <x:v>Has a sixth form</x:v>
      </x:c>
      <x:c r="M347" s="43" t="n">
        <x:v>1039</x:v>
      </x:c>
      <x:c r="N347" s="43" t="str">
        <x:v>https://www.scarisbrickhallschool.co.uk</x:v>
      </x:c>
      <x:c r="O347" s="43" t="str">
        <x:v>01704841151</x:v>
      </x:c>
      <x:c r="P347" s="43" t="str"/>
      <x:c r="Q347" s="43" t="str"/>
      <x:c r="R347" s="43" t="str">
        <x:v>Queued for contact research</x:v>
      </x:c>
      <x:c r="S347" s="43" t="str">
        <x:v>Not reviewed</x:v>
      </x:c>
      <x:c r="T347" s="43" t="str">
        <x:v>Hold</x:v>
      </x:c>
      <x:c r="U347" s="43" t="str">
        <x:v>No</x:v>
      </x:c>
      <x:c r="V347" s="44"/>
      <x:c r="W347" s="43" t="str"/>
      <x:c r="X347" s="43" t="str"/>
      <x:c r="Y347" s="43" t="str"/>
      <x:c r="Z347" s="43" t="str">
        <x:v>https://www.get-information-schools.service.gov.uk/Downloads</x:v>
      </x:c>
    </x:row>
    <x:row r="348">
      <x:c r="A348" s="43" t="str">
        <x:v>UK independent</x:v>
      </x:c>
      <x:c r="B348" s="43" t="str">
        <x:v>102950</x:v>
      </x:c>
      <x:c r="C348" s="43" t="n">
        <x:f>IF(K348="Boarding school",30,0)+IF(J348&gt;=18,20,0)+IF(I348&lt;=11,10,0)+IF(L348="Has a sixth form",15,0)+IF(M348&gt;=200,10,0)+IF(N348&lt;&gt;"",10,0)</x:f>
        <x:v>65</x:v>
      </x:c>
      <x:c r="D348" s="43" t="str">
        <x:f>IF(C348&gt;=85,"A",IF(C348&gt;=65,"B","C"))</x:f>
        <x:v>B</x:v>
      </x:c>
      <x:c r="E348" s="43" t="str">
        <x:v>The Harrodian School</x:v>
      </x:c>
      <x:c r="F348" s="43" t="str">
        <x:v>London</x:v>
      </x:c>
      <x:c r="G348" s="43" t="str"/>
      <x:c r="H348" s="43" t="str">
        <x:v>SW13 9QN</x:v>
      </x:c>
      <x:c r="I348" s="43" t="n">
        <x:v>4</x:v>
      </x:c>
      <x:c r="J348" s="43" t="n">
        <x:v>18</x:v>
      </x:c>
      <x:c r="K348" s="43" t="str">
        <x:v>No boarders</x:v>
      </x:c>
      <x:c r="L348" s="43" t="str">
        <x:v>Has a sixth form</x:v>
      </x:c>
      <x:c r="M348" s="43" t="n">
        <x:v>1034</x:v>
      </x:c>
      <x:c r="N348" s="43" t="str">
        <x:v>https://www.harrodian.com</x:v>
      </x:c>
      <x:c r="O348" s="43" t="str">
        <x:v>02087486117</x:v>
      </x:c>
      <x:c r="P348" s="43" t="str"/>
      <x:c r="Q348" s="43" t="str"/>
      <x:c r="R348" s="43" t="str">
        <x:v>Queued for contact research</x:v>
      </x:c>
      <x:c r="S348" s="43" t="str">
        <x:v>Not reviewed</x:v>
      </x:c>
      <x:c r="T348" s="43" t="str">
        <x:v>Hold</x:v>
      </x:c>
      <x:c r="U348" s="43" t="str">
        <x:v>No</x:v>
      </x:c>
      <x:c r="V348" s="44"/>
      <x:c r="W348" s="43" t="str"/>
      <x:c r="X348" s="43" t="str"/>
      <x:c r="Y348" s="43" t="str"/>
      <x:c r="Z348" s="43" t="str">
        <x:v>https://www.get-information-schools.service.gov.uk/Downloads</x:v>
      </x:c>
    </x:row>
    <x:row r="349">
      <x:c r="A349" s="43" t="str">
        <x:v>UK independent</x:v>
      </x:c>
      <x:c r="B349" s="43" t="str">
        <x:v>107455</x:v>
      </x:c>
      <x:c r="C349" s="43" t="n">
        <x:f>IF(K349="Boarding school",30,0)+IF(J349&gt;=18,20,0)+IF(I349&lt;=11,10,0)+IF(L349="Has a sixth form",15,0)+IF(M349&gt;=200,10,0)+IF(N349&lt;&gt;"",10,0)</x:f>
        <x:v>65</x:v>
      </x:c>
      <x:c r="D349" s="43" t="str">
        <x:f>IF(C349&gt;=85,"A",IF(C349&gt;=65,"B","C"))</x:f>
        <x:v>B</x:v>
      </x:c>
      <x:c r="E349" s="43" t="str">
        <x:v>Bradford Grammar School</x:v>
      </x:c>
      <x:c r="F349" s="43" t="str"/>
      <x:c r="G349" s="43" t="str"/>
      <x:c r="H349" s="43" t="str">
        <x:v>BD9 4JP</x:v>
      </x:c>
      <x:c r="I349" s="43" t="n">
        <x:v>4</x:v>
      </x:c>
      <x:c r="J349" s="43" t="n">
        <x:v>19</x:v>
      </x:c>
      <x:c r="K349" s="43" t="str">
        <x:v>No boarders</x:v>
      </x:c>
      <x:c r="L349" s="43" t="str">
        <x:v>Has a sixth form</x:v>
      </x:c>
      <x:c r="M349" s="43" t="n">
        <x:v>1033</x:v>
      </x:c>
      <x:c r="N349" s="43" t="str">
        <x:v>https://www.bradfordgrammar.com/</x:v>
      </x:c>
      <x:c r="O349" s="43" t="str">
        <x:v>01274542492</x:v>
      </x:c>
      <x:c r="P349" s="43" t="str"/>
      <x:c r="Q349" s="43" t="str"/>
      <x:c r="R349" s="43" t="str">
        <x:v>Queued for contact research</x:v>
      </x:c>
      <x:c r="S349" s="43" t="str">
        <x:v>Not reviewed</x:v>
      </x:c>
      <x:c r="T349" s="43" t="str">
        <x:v>Hold</x:v>
      </x:c>
      <x:c r="U349" s="43" t="str">
        <x:v>No</x:v>
      </x:c>
      <x:c r="V349" s="44"/>
      <x:c r="W349" s="43" t="str"/>
      <x:c r="X349" s="43" t="str"/>
      <x:c r="Y349" s="43" t="str"/>
      <x:c r="Z349" s="43" t="str">
        <x:v>https://www.get-information-schools.service.gov.uk/Downloads</x:v>
      </x:c>
    </x:row>
    <x:row r="350">
      <x:c r="A350" s="43" t="str">
        <x:v>UK independent</x:v>
      </x:c>
      <x:c r="B350" s="43" t="str">
        <x:v>125342</x:v>
      </x:c>
      <x:c r="C350" s="43" t="n">
        <x:f>IF(K350="Boarding school",30,0)+IF(J350&gt;=18,20,0)+IF(I350&lt;=11,10,0)+IF(L350="Has a sixth form",15,0)+IF(M350&gt;=200,10,0)+IF(N350&lt;&gt;"",10,0)</x:f>
        <x:v>65</x:v>
      </x:c>
      <x:c r="D350" s="43" t="str">
        <x:f>IF(C350&gt;=85,"A",IF(C350&gt;=65,"B","C"))</x:f>
        <x:v>B</x:v>
      </x:c>
      <x:c r="E350" s="43" t="str">
        <x:v>Guildford High School</x:v>
      </x:c>
      <x:c r="F350" s="43" t="str">
        <x:v>Guildford</x:v>
      </x:c>
      <x:c r="G350" s="43" t="str">
        <x:v>Surrey</x:v>
      </x:c>
      <x:c r="H350" s="43" t="str">
        <x:v>GU1 1SJ</x:v>
      </x:c>
      <x:c r="I350" s="43" t="n">
        <x:v>4</x:v>
      </x:c>
      <x:c r="J350" s="43" t="n">
        <x:v>19</x:v>
      </x:c>
      <x:c r="K350" s="43" t="str">
        <x:v>No boarders</x:v>
      </x:c>
      <x:c r="L350" s="43" t="str">
        <x:v>Has a sixth form</x:v>
      </x:c>
      <x:c r="M350" s="43" t="n">
        <x:v>1027</x:v>
      </x:c>
      <x:c r="N350" s="43" t="str">
        <x:v>https://www.guildfordhigh.co.uk</x:v>
      </x:c>
      <x:c r="O350" s="43" t="str">
        <x:v>01483561440</x:v>
      </x:c>
      <x:c r="P350" s="43" t="str"/>
      <x:c r="Q350" s="43" t="str"/>
      <x:c r="R350" s="43" t="str">
        <x:v>Queued for contact research</x:v>
      </x:c>
      <x:c r="S350" s="43" t="str">
        <x:v>Not reviewed</x:v>
      </x:c>
      <x:c r="T350" s="43" t="str">
        <x:v>Hold</x:v>
      </x:c>
      <x:c r="U350" s="43" t="str">
        <x:v>No</x:v>
      </x:c>
      <x:c r="V350" s="44"/>
      <x:c r="W350" s="43" t="str"/>
      <x:c r="X350" s="43" t="str"/>
      <x:c r="Y350" s="43" t="str"/>
      <x:c r="Z350" s="43" t="str">
        <x:v>https://www.get-information-schools.service.gov.uk/Downloads</x:v>
      </x:c>
    </x:row>
    <x:row r="351">
      <x:c r="A351" s="43" t="str">
        <x:v>UK independent</x:v>
      </x:c>
      <x:c r="B351" s="43" t="str">
        <x:v>102619</x:v>
      </x:c>
      <x:c r="C351" s="43" t="n">
        <x:f>IF(K351="Boarding school",30,0)+IF(J351&gt;=18,20,0)+IF(I351&lt;=11,10,0)+IF(L351="Has a sixth form",15,0)+IF(M351&gt;=200,10,0)+IF(N351&lt;&gt;"",10,0)</x:f>
        <x:v>65</x:v>
      </x:c>
      <x:c r="D351" s="43" t="str">
        <x:f>IF(C351&gt;=85,"A",IF(C351&gt;=65,"B","C"))</x:f>
        <x:v>B</x:v>
      </x:c>
      <x:c r="E351" s="43" t="str">
        <x:v>Kingston Grammar School</x:v>
      </x:c>
      <x:c r="F351" s="43" t="str">
        <x:v>Kingston upon Thames</x:v>
      </x:c>
      <x:c r="G351" s="43" t="str">
        <x:v>Surrey</x:v>
      </x:c>
      <x:c r="H351" s="43" t="str">
        <x:v>KT2 6PY</x:v>
      </x:c>
      <x:c r="I351" s="43" t="n">
        <x:v>11</x:v>
      </x:c>
      <x:c r="J351" s="43" t="n">
        <x:v>19</x:v>
      </x:c>
      <x:c r="K351" s="43" t="str">
        <x:v>No boarders</x:v>
      </x:c>
      <x:c r="L351" s="43" t="str">
        <x:v>Has a sixth form</x:v>
      </x:c>
      <x:c r="M351" s="43" t="n">
        <x:v>1006</x:v>
      </x:c>
      <x:c r="N351" s="43" t="str">
        <x:v>http://www.kgs.org.uk</x:v>
      </x:c>
      <x:c r="O351" s="43" t="str">
        <x:v>02085465875</x:v>
      </x:c>
      <x:c r="P351" s="43" t="str"/>
      <x:c r="Q351" s="43" t="str"/>
      <x:c r="R351" s="43" t="str">
        <x:v>Queued for contact research</x:v>
      </x:c>
      <x:c r="S351" s="43" t="str">
        <x:v>Not reviewed</x:v>
      </x:c>
      <x:c r="T351" s="43" t="str">
        <x:v>Hold</x:v>
      </x:c>
      <x:c r="U351" s="43" t="str">
        <x:v>No</x:v>
      </x:c>
      <x:c r="V351" s="44"/>
      <x:c r="W351" s="43" t="str"/>
      <x:c r="X351" s="43" t="str"/>
      <x:c r="Y351" s="43" t="str"/>
      <x:c r="Z351" s="43" t="str">
        <x:v>https://www.get-information-schools.service.gov.uk/Downloads</x:v>
      </x:c>
    </x:row>
    <x:row r="352">
      <x:c r="A352" s="43" t="str">
        <x:v>UK independent</x:v>
      </x:c>
      <x:c r="B352" s="43" t="str">
        <x:v>102162</x:v>
      </x:c>
      <x:c r="C352" s="43" t="n">
        <x:f>IF(K352="Boarding school",30,0)+IF(J352&gt;=18,20,0)+IF(I352&lt;=11,10,0)+IF(L352="Has a sixth form",15,0)+IF(M352&gt;=200,10,0)+IF(N352&lt;&gt;"",10,0)</x:f>
        <x:v>65</x:v>
      </x:c>
      <x:c r="D352" s="43" t="str">
        <x:f>IF(C352&gt;=85,"A",IF(C352&gt;=65,"B","C"))</x:f>
        <x:v>B</x:v>
      </x:c>
      <x:c r="E352" s="43" t="str">
        <x:v>Channing School</x:v>
      </x:c>
      <x:c r="F352" s="43" t="str">
        <x:v>Highgate</x:v>
      </x:c>
      <x:c r="G352" s="43" t="str"/>
      <x:c r="H352" s="43" t="str">
        <x:v>N6 5HF</x:v>
      </x:c>
      <x:c r="I352" s="43" t="n">
        <x:v>4</x:v>
      </x:c>
      <x:c r="J352" s="43" t="n">
        <x:v>18</x:v>
      </x:c>
      <x:c r="K352" s="43" t="str">
        <x:v>No boarders</x:v>
      </x:c>
      <x:c r="L352" s="43" t="str">
        <x:v>Has a sixth form</x:v>
      </x:c>
      <x:c r="M352" s="43" t="n">
        <x:v>991</x:v>
      </x:c>
      <x:c r="N352" s="43" t="str">
        <x:v>https://www.channing.co.uk</x:v>
      </x:c>
      <x:c r="O352" s="43" t="str">
        <x:v>02083402328</x:v>
      </x:c>
      <x:c r="P352" s="43" t="str"/>
      <x:c r="Q352" s="43" t="str"/>
      <x:c r="R352" s="43" t="str">
        <x:v>Queued for contact research</x:v>
      </x:c>
      <x:c r="S352" s="43" t="str">
        <x:v>Not reviewed</x:v>
      </x:c>
      <x:c r="T352" s="43" t="str">
        <x:v>Hold</x:v>
      </x:c>
      <x:c r="U352" s="43" t="str">
        <x:v>No</x:v>
      </x:c>
      <x:c r="V352" s="44"/>
      <x:c r="W352" s="43" t="str"/>
      <x:c r="X352" s="43" t="str"/>
      <x:c r="Y352" s="43" t="str"/>
      <x:c r="Z352" s="43" t="str">
        <x:v>https://www.get-information-schools.service.gov.uk/Downloads</x:v>
      </x:c>
    </x:row>
    <x:row r="353">
      <x:c r="A353" s="43" t="str">
        <x:v>UK independent</x:v>
      </x:c>
      <x:c r="B353" s="43" t="str">
        <x:v>125361</x:v>
      </x:c>
      <x:c r="C353" s="43" t="n">
        <x:f>IF(K353="Boarding school",30,0)+IF(J353&gt;=18,20,0)+IF(I353&lt;=11,10,0)+IF(L353="Has a sixth form",15,0)+IF(M353&gt;=200,10,0)+IF(N353&lt;&gt;"",10,0)</x:f>
        <x:v>65</x:v>
      </x:c>
      <x:c r="D353" s="43" t="str">
        <x:f>IF(C353&gt;=85,"A",IF(C353&gt;=65,"B","C"))</x:f>
        <x:v>B</x:v>
      </x:c>
      <x:c r="E353" s="43" t="str">
        <x:v>St George's College Weybridge</x:v>
      </x:c>
      <x:c r="F353" s="43" t="str">
        <x:v>Addlestone</x:v>
      </x:c>
      <x:c r="G353" s="43" t="str">
        <x:v>Surrey</x:v>
      </x:c>
      <x:c r="H353" s="43" t="str">
        <x:v>KT15 2QS</x:v>
      </x:c>
      <x:c r="I353" s="43" t="n">
        <x:v>11</x:v>
      </x:c>
      <x:c r="J353" s="43" t="n">
        <x:v>19</x:v>
      </x:c>
      <x:c r="K353" s="43" t="str">
        <x:v>No boarders</x:v>
      </x:c>
      <x:c r="L353" s="43" t="str">
        <x:v>Has a sixth form</x:v>
      </x:c>
      <x:c r="M353" s="43" t="n">
        <x:v>990</x:v>
      </x:c>
      <x:c r="N353" s="43" t="str">
        <x:v>https://www.stgeorgesweybridge.com</x:v>
      </x:c>
      <x:c r="O353" s="43" t="str">
        <x:v>01932839300</x:v>
      </x:c>
      <x:c r="P353" s="43" t="str"/>
      <x:c r="Q353" s="43" t="str"/>
      <x:c r="R353" s="43" t="str">
        <x:v>Queued for contact research</x:v>
      </x:c>
      <x:c r="S353" s="43" t="str">
        <x:v>Not reviewed</x:v>
      </x:c>
      <x:c r="T353" s="43" t="str">
        <x:v>Hold</x:v>
      </x:c>
      <x:c r="U353" s="43" t="str">
        <x:v>No</x:v>
      </x:c>
      <x:c r="V353" s="44"/>
      <x:c r="W353" s="43" t="str"/>
      <x:c r="X353" s="43" t="str"/>
      <x:c r="Y353" s="43" t="str"/>
      <x:c r="Z353" s="43" t="str">
        <x:v>https://www.get-information-schools.service.gov.uk/Downloads</x:v>
      </x:c>
    </x:row>
    <x:row r="354">
      <x:c r="A354" s="43" t="str">
        <x:v>UK independent</x:v>
      </x:c>
      <x:c r="B354" s="43" t="str">
        <x:v>116580</x:v>
      </x:c>
      <x:c r="C354" s="43" t="n">
        <x:f>IF(K354="Boarding school",30,0)+IF(J354&gt;=18,20,0)+IF(I354&lt;=11,10,0)+IF(L354="Has a sixth form",15,0)+IF(M354&gt;=200,10,0)+IF(N354&lt;&gt;"",10,0)</x:f>
        <x:v>65</x:v>
      </x:c>
      <x:c r="D354" s="43" t="str">
        <x:f>IF(C354&gt;=85,"A",IF(C354&gt;=65,"B","C"))</x:f>
        <x:v>B</x:v>
      </x:c>
      <x:c r="E354" s="43" t="str">
        <x:v>King Edward VI School</x:v>
      </x:c>
      <x:c r="F354" s="43" t="str">
        <x:v>Southampton</x:v>
      </x:c>
      <x:c r="G354" s="43" t="str">
        <x:v>Hampshire</x:v>
      </x:c>
      <x:c r="H354" s="43" t="str">
        <x:v>SO15 5UQ</x:v>
      </x:c>
      <x:c r="I354" s="43" t="n">
        <x:v>10</x:v>
      </x:c>
      <x:c r="J354" s="43" t="n">
        <x:v>19</x:v>
      </x:c>
      <x:c r="K354" s="43" t="str">
        <x:v>No boarders</x:v>
      </x:c>
      <x:c r="L354" s="43" t="str">
        <x:v>Has a sixth form</x:v>
      </x:c>
      <x:c r="M354" s="43" t="n">
        <x:v>989</x:v>
      </x:c>
      <x:c r="N354" s="43" t="str">
        <x:v>http://www.kes.hants.sch.uk</x:v>
      </x:c>
      <x:c r="O354" s="43" t="str">
        <x:v>02380704561</x:v>
      </x:c>
      <x:c r="P354" s="43" t="str"/>
      <x:c r="Q354" s="43" t="str"/>
      <x:c r="R354" s="43" t="str">
        <x:v>Queued for contact research</x:v>
      </x:c>
      <x:c r="S354" s="43" t="str">
        <x:v>Not reviewed</x:v>
      </x:c>
      <x:c r="T354" s="43" t="str">
        <x:v>Hold</x:v>
      </x:c>
      <x:c r="U354" s="43" t="str">
        <x:v>No</x:v>
      </x:c>
      <x:c r="V354" s="44"/>
      <x:c r="W354" s="43" t="str"/>
      <x:c r="X354" s="43" t="str"/>
      <x:c r="Y354" s="43" t="str"/>
      <x:c r="Z354" s="43" t="str">
        <x:v>https://www.get-information-schools.service.gov.uk/Downloads</x:v>
      </x:c>
    </x:row>
    <x:row r="355">
      <x:c r="A355" s="43" t="str">
        <x:v>UK independent</x:v>
      </x:c>
      <x:c r="B355" s="43" t="str">
        <x:v>113607</x:v>
      </x:c>
      <x:c r="C355" s="43" t="n">
        <x:f>IF(K355="Boarding school",30,0)+IF(J355&gt;=18,20,0)+IF(I355&lt;=11,10,0)+IF(L355="Has a sixth form",15,0)+IF(M355&gt;=200,10,0)+IF(N355&lt;&gt;"",10,0)</x:f>
        <x:v>65</x:v>
      </x:c>
      <x:c r="D355" s="43" t="str">
        <x:f>IF(C355&gt;=85,"A",IF(C355&gt;=65,"B","C"))</x:f>
        <x:v>B</x:v>
      </x:c>
      <x:c r="E355" s="43" t="str">
        <x:v>Exeter School</x:v>
      </x:c>
      <x:c r="F355" s="43" t="str">
        <x:v>Exeter</x:v>
      </x:c>
      <x:c r="G355" s="43" t="str">
        <x:v>Devon</x:v>
      </x:c>
      <x:c r="H355" s="43" t="str">
        <x:v>EX2 4NS</x:v>
      </x:c>
      <x:c r="I355" s="43" t="n">
        <x:v>6</x:v>
      </x:c>
      <x:c r="J355" s="43" t="n">
        <x:v>19</x:v>
      </x:c>
      <x:c r="K355" s="43" t="str">
        <x:v>No boarders</x:v>
      </x:c>
      <x:c r="L355" s="43" t="str">
        <x:v>Has a sixth form</x:v>
      </x:c>
      <x:c r="M355" s="43" t="n">
        <x:v>973</x:v>
      </x:c>
      <x:c r="N355" s="43" t="str">
        <x:v>http://www.exeterschool.org.uk</x:v>
      </x:c>
      <x:c r="O355" s="43" t="str">
        <x:v>01392307080</x:v>
      </x:c>
      <x:c r="P355" s="43" t="str"/>
      <x:c r="Q355" s="43" t="str"/>
      <x:c r="R355" s="43" t="str">
        <x:v>Queued for contact research</x:v>
      </x:c>
      <x:c r="S355" s="43" t="str">
        <x:v>Not reviewed</x:v>
      </x:c>
      <x:c r="T355" s="43" t="str">
        <x:v>Hold</x:v>
      </x:c>
      <x:c r="U355" s="43" t="str">
        <x:v>No</x:v>
      </x:c>
      <x:c r="V355" s="44"/>
      <x:c r="W355" s="43" t="str"/>
      <x:c r="X355" s="43" t="str"/>
      <x:c r="Y355" s="43" t="str"/>
      <x:c r="Z355" s="43" t="str">
        <x:v>https://www.get-information-schools.service.gov.uk/Downloads</x:v>
      </x:c>
    </x:row>
    <x:row r="356">
      <x:c r="A356" s="43" t="str">
        <x:v>UK independent</x:v>
      </x:c>
      <x:c r="B356" s="43" t="str">
        <x:v>116583</x:v>
      </x:c>
      <x:c r="C356" s="43" t="n">
        <x:f>IF(K356="Boarding school",30,0)+IF(J356&gt;=18,20,0)+IF(I356&lt;=11,10,0)+IF(L356="Has a sixth form",15,0)+IF(M356&gt;=200,10,0)+IF(N356&lt;&gt;"",10,0)</x:f>
        <x:v>65</x:v>
      </x:c>
      <x:c r="D356" s="43" t="str">
        <x:f>IF(C356&gt;=85,"A",IF(C356&gt;=65,"B","C"))</x:f>
        <x:v>B</x:v>
      </x:c>
      <x:c r="E356" s="43" t="str">
        <x:v>The Portsmouth Grammar School</x:v>
      </x:c>
      <x:c r="F356" s="43" t="str">
        <x:v>Portsmouth</x:v>
      </x:c>
      <x:c r="G356" s="43" t="str">
        <x:v>Hampshire</x:v>
      </x:c>
      <x:c r="H356" s="43" t="str">
        <x:v>PO1 2LN</x:v>
      </x:c>
      <x:c r="I356" s="43" t="n">
        <x:v>2</x:v>
      </x:c>
      <x:c r="J356" s="43" t="n">
        <x:v>19</x:v>
      </x:c>
      <x:c r="K356" s="43" t="str">
        <x:v>No boarders</x:v>
      </x:c>
      <x:c r="L356" s="43" t="str">
        <x:v>Has a sixth form</x:v>
      </x:c>
      <x:c r="M356" s="43" t="n">
        <x:v>973</x:v>
      </x:c>
      <x:c r="N356" s="43" t="str">
        <x:v>https://www.pgs.org.uk</x:v>
      </x:c>
      <x:c r="O356" s="43" t="str">
        <x:v>02392360036</x:v>
      </x:c>
      <x:c r="P356" s="43" t="str"/>
      <x:c r="Q356" s="43" t="str"/>
      <x:c r="R356" s="43" t="str">
        <x:v>Queued for contact research</x:v>
      </x:c>
      <x:c r="S356" s="43" t="str">
        <x:v>Not reviewed</x:v>
      </x:c>
      <x:c r="T356" s="43" t="str">
        <x:v>Hold</x:v>
      </x:c>
      <x:c r="U356" s="43" t="str">
        <x:v>No</x:v>
      </x:c>
      <x:c r="V356" s="44"/>
      <x:c r="W356" s="43" t="str"/>
      <x:c r="X356" s="43" t="str"/>
      <x:c r="Y356" s="43" t="str"/>
      <x:c r="Z356" s="43" t="str">
        <x:v>https://www.get-information-schools.service.gov.uk/Downloads</x:v>
      </x:c>
    </x:row>
    <x:row r="357">
      <x:c r="A357" s="43" t="str">
        <x:v>UK independent</x:v>
      </x:c>
      <x:c r="B357" s="43" t="str">
        <x:v>102932</x:v>
      </x:c>
      <x:c r="C357" s="43" t="n">
        <x:f>IF(K357="Boarding school",30,0)+IF(J357&gt;=18,20,0)+IF(I357&lt;=11,10,0)+IF(L357="Has a sixth form",15,0)+IF(M357&gt;=200,10,0)+IF(N357&lt;&gt;"",10,0)</x:f>
        <x:v>65</x:v>
      </x:c>
      <x:c r="D357" s="43" t="str">
        <x:f>IF(C357&gt;=85,"A",IF(C357&gt;=65,"B","C"))</x:f>
        <x:v>B</x:v>
      </x:c>
      <x:c r="E357" s="43" t="str">
        <x:v>Lady Eleanor Holles School</x:v>
      </x:c>
      <x:c r="F357" s="43" t="str">
        <x:v>Hampton</x:v>
      </x:c>
      <x:c r="G357" s="43" t="str"/>
      <x:c r="H357" s="43" t="str">
        <x:v>TW12 3HF</x:v>
      </x:c>
      <x:c r="I357" s="43" t="n">
        <x:v>7</x:v>
      </x:c>
      <x:c r="J357" s="43" t="n">
        <x:v>19</x:v>
      </x:c>
      <x:c r="K357" s="43" t="str">
        <x:v>No boarders</x:v>
      </x:c>
      <x:c r="L357" s="43" t="str">
        <x:v>Has a sixth form</x:v>
      </x:c>
      <x:c r="M357" s="43" t="n">
        <x:v>969</x:v>
      </x:c>
      <x:c r="N357" s="43" t="str">
        <x:v>https://www.lehs.org.uk</x:v>
      </x:c>
      <x:c r="O357" s="43" t="str">
        <x:v>02089791601</x:v>
      </x:c>
      <x:c r="P357" s="43" t="str"/>
      <x:c r="Q357" s="43" t="str"/>
      <x:c r="R357" s="43" t="str">
        <x:v>Queued for contact research</x:v>
      </x:c>
      <x:c r="S357" s="43" t="str">
        <x:v>Not reviewed</x:v>
      </x:c>
      <x:c r="T357" s="43" t="str">
        <x:v>Hold</x:v>
      </x:c>
      <x:c r="U357" s="43" t="str">
        <x:v>No</x:v>
      </x:c>
      <x:c r="V357" s="44"/>
      <x:c r="W357" s="43" t="str"/>
      <x:c r="X357" s="43" t="str"/>
      <x:c r="Y357" s="43" t="str"/>
      <x:c r="Z357" s="43" t="str">
        <x:v>https://www.get-information-schools.service.gov.uk/Downloads</x:v>
      </x:c>
    </x:row>
    <x:row r="358">
      <x:c r="A358" s="43" t="str">
        <x:v>UK independent</x:v>
      </x:c>
      <x:c r="B358" s="43" t="str">
        <x:v>100076</x:v>
      </x:c>
      <x:c r="C358" s="43" t="n">
        <x:f>IF(K358="Boarding school",30,0)+IF(J358&gt;=18,20,0)+IF(I358&lt;=11,10,0)+IF(L358="Has a sixth form",15,0)+IF(M358&gt;=200,10,0)+IF(N358&lt;&gt;"",10,0)</x:f>
        <x:v>65</x:v>
      </x:c>
      <x:c r="D358" s="43" t="str">
        <x:f>IF(C358&gt;=85,"A",IF(C358&gt;=65,"B","C"))</x:f>
        <x:v>B</x:v>
      </x:c>
      <x:c r="E358" s="43" t="str">
        <x:v>South Hampstead High School GDST</x:v>
      </x:c>
      <x:c r="F358" s="43" t="str">
        <x:v>London</x:v>
      </x:c>
      <x:c r="G358" s="43" t="str"/>
      <x:c r="H358" s="43" t="str">
        <x:v>NW3 5SS</x:v>
      </x:c>
      <x:c r="I358" s="43" t="n">
        <x:v>4</x:v>
      </x:c>
      <x:c r="J358" s="43" t="n">
        <x:v>19</x:v>
      </x:c>
      <x:c r="K358" s="43" t="str">
        <x:v>No boarders</x:v>
      </x:c>
      <x:c r="L358" s="43" t="str">
        <x:v>Has a sixth form</x:v>
      </x:c>
      <x:c r="M358" s="43" t="n">
        <x:v>961</x:v>
      </x:c>
      <x:c r="N358" s="43" t="str">
        <x:v>http://www.shhs.gdst.net/</x:v>
      </x:c>
      <x:c r="O358" s="43" t="str">
        <x:v>02074352899</x:v>
      </x:c>
      <x:c r="P358" s="43" t="str"/>
      <x:c r="Q358" s="43" t="str"/>
      <x:c r="R358" s="43" t="str">
        <x:v>Queued for contact research</x:v>
      </x:c>
      <x:c r="S358" s="43" t="str">
        <x:v>Not reviewed</x:v>
      </x:c>
      <x:c r="T358" s="43" t="str">
        <x:v>Hold</x:v>
      </x:c>
      <x:c r="U358" s="43" t="str">
        <x:v>No</x:v>
      </x:c>
      <x:c r="V358" s="44"/>
      <x:c r="W358" s="43" t="str"/>
      <x:c r="X358" s="43" t="str"/>
      <x:c r="Y358" s="43" t="str"/>
      <x:c r="Z358" s="43" t="str">
        <x:v>https://www.get-information-schools.service.gov.uk/Downloads</x:v>
      </x:c>
    </x:row>
    <x:row r="359">
      <x:c r="A359" s="43" t="str">
        <x:v>UK independent</x:v>
      </x:c>
      <x:c r="B359" s="43" t="str">
        <x:v>106812</x:v>
      </x:c>
      <x:c r="C359" s="43" t="n">
        <x:f>IF(K359="Boarding school",30,0)+IF(J359&gt;=18,20,0)+IF(I359&lt;=11,10,0)+IF(L359="Has a sixth form",15,0)+IF(M359&gt;=200,10,0)+IF(N359&lt;&gt;"",10,0)</x:f>
        <x:v>65</x:v>
      </x:c>
      <x:c r="D359" s="43" t="str">
        <x:f>IF(C359&gt;=85,"A",IF(C359&gt;=65,"B","C"))</x:f>
        <x:v>B</x:v>
      </x:c>
      <x:c r="E359" s="43" t="str">
        <x:v>Hill House School</x:v>
      </x:c>
      <x:c r="F359" s="43" t="str">
        <x:v>SOUTH YORKSHIRE</x:v>
      </x:c>
      <x:c r="G359" s="43" t="str">
        <x:v>South Yorkshire</x:v>
      </x:c>
      <x:c r="H359" s="43" t="str">
        <x:v>DN9 3GG</x:v>
      </x:c>
      <x:c r="I359" s="43" t="n">
        <x:v>2</x:v>
      </x:c>
      <x:c r="J359" s="43" t="n">
        <x:v>19</x:v>
      </x:c>
      <x:c r="K359" s="43" t="str">
        <x:v>No boarders</x:v>
      </x:c>
      <x:c r="L359" s="43" t="str">
        <x:v>Has a sixth form</x:v>
      </x:c>
      <x:c r="M359" s="43" t="n">
        <x:v>945</x:v>
      </x:c>
      <x:c r="N359" s="43" t="str">
        <x:v>https://www.thehillhouseschool.com/</x:v>
      </x:c>
      <x:c r="O359" s="43" t="str">
        <x:v>01302776300</x:v>
      </x:c>
      <x:c r="P359" s="43" t="str"/>
      <x:c r="Q359" s="43" t="str"/>
      <x:c r="R359" s="43" t="str">
        <x:v>Queued for contact research</x:v>
      </x:c>
      <x:c r="S359" s="43" t="str">
        <x:v>Not reviewed</x:v>
      </x:c>
      <x:c r="T359" s="43" t="str">
        <x:v>Hold</x:v>
      </x:c>
      <x:c r="U359" s="43" t="str">
        <x:v>No</x:v>
      </x:c>
      <x:c r="V359" s="44"/>
      <x:c r="W359" s="43" t="str"/>
      <x:c r="X359" s="43" t="str"/>
      <x:c r="Y359" s="43" t="str"/>
      <x:c r="Z359" s="43" t="str">
        <x:v>https://www.get-information-schools.service.gov.uk/Downloads</x:v>
      </x:c>
    </x:row>
    <x:row r="360">
      <x:c r="A360" s="43" t="str">
        <x:v>UK independent</x:v>
      </x:c>
      <x:c r="B360" s="43" t="str">
        <x:v>123311</x:v>
      </x:c>
      <x:c r="C360" s="43" t="n">
        <x:f>IF(K360="Boarding school",30,0)+IF(J360&gt;=18,20,0)+IF(I360&lt;=11,10,0)+IF(L360="Has a sixth form",15,0)+IF(M360&gt;=200,10,0)+IF(N360&lt;&gt;"",10,0)</x:f>
        <x:v>65</x:v>
      </x:c>
      <x:c r="D360" s="43" t="str">
        <x:f>IF(C360&gt;=85,"A",IF(C360&gt;=65,"B","C"))</x:f>
        <x:v>B</x:v>
      </x:c>
      <x:c r="E360" s="43" t="str">
        <x:v>Magdalen College School</x:v>
      </x:c>
      <x:c r="F360" s="43" t="str">
        <x:v>Oxford</x:v>
      </x:c>
      <x:c r="G360" s="43" t="str">
        <x:v>Oxfordshire</x:v>
      </x:c>
      <x:c r="H360" s="43" t="str">
        <x:v>OX4 1DZ</x:v>
      </x:c>
      <x:c r="I360" s="43" t="n">
        <x:v>7</x:v>
      </x:c>
      <x:c r="J360" s="43" t="n">
        <x:v>19</x:v>
      </x:c>
      <x:c r="K360" s="43" t="str">
        <x:v>No boarders</x:v>
      </x:c>
      <x:c r="L360" s="43" t="str">
        <x:v>Has a sixth form</x:v>
      </x:c>
      <x:c r="M360" s="43" t="n">
        <x:v>938</x:v>
      </x:c>
      <x:c r="N360" s="43" t="str">
        <x:v>https://www.mcsoxford.org</x:v>
      </x:c>
      <x:c r="O360" s="43" t="str">
        <x:v>01865242191</x:v>
      </x:c>
      <x:c r="P360" s="43" t="str"/>
      <x:c r="Q360" s="43" t="str"/>
      <x:c r="R360" s="43" t="str">
        <x:v>Queued for contact research</x:v>
      </x:c>
      <x:c r="S360" s="43" t="str">
        <x:v>Not reviewed</x:v>
      </x:c>
      <x:c r="T360" s="43" t="str">
        <x:v>Hold</x:v>
      </x:c>
      <x:c r="U360" s="43" t="str">
        <x:v>No</x:v>
      </x:c>
      <x:c r="V360" s="44"/>
      <x:c r="W360" s="43" t="str"/>
      <x:c r="X360" s="43" t="str"/>
      <x:c r="Y360" s="43" t="str"/>
      <x:c r="Z360" s="43" t="str">
        <x:v>https://www.get-information-schools.service.gov.uk/Downloads</x:v>
      </x:c>
    </x:row>
    <x:row r="361">
      <x:c r="A361" s="43" t="str">
        <x:v>UK independent</x:v>
      </x:c>
      <x:c r="B361" s="43" t="str">
        <x:v>125387</x:v>
      </x:c>
      <x:c r="C361" s="43" t="n">
        <x:f>IF(K361="Boarding school",30,0)+IF(J361&gt;=18,20,0)+IF(I361&lt;=11,10,0)+IF(L361="Has a sixth form",15,0)+IF(M361&gt;=200,10,0)+IF(N361&lt;&gt;"",10,0)</x:f>
        <x:v>65</x:v>
      </x:c>
      <x:c r="D361" s="43" t="str">
        <x:f>IF(C361&gt;=85,"A",IF(C361&gt;=65,"B","C"))</x:f>
        <x:v>B</x:v>
      </x:c>
      <x:c r="E361" s="43" t="str">
        <x:v>Lingfield College</x:v>
      </x:c>
      <x:c r="F361" s="43" t="str">
        <x:v>Lingfield</x:v>
      </x:c>
      <x:c r="G361" s="43" t="str">
        <x:v>Surrey</x:v>
      </x:c>
      <x:c r="H361" s="43" t="str">
        <x:v>RH7 6PH</x:v>
      </x:c>
      <x:c r="I361" s="43" t="n">
        <x:v>0</x:v>
      </x:c>
      <x:c r="J361" s="43" t="n">
        <x:v>19</x:v>
      </x:c>
      <x:c r="K361" s="43" t="str">
        <x:v>No boarders</x:v>
      </x:c>
      <x:c r="L361" s="43" t="str">
        <x:v>Has a sixth form</x:v>
      </x:c>
      <x:c r="M361" s="43" t="n">
        <x:v>922</x:v>
      </x:c>
      <x:c r="N361" s="43" t="str">
        <x:v>https://www.lingfieldcollege.co.uk</x:v>
      </x:c>
      <x:c r="O361" s="43" t="str">
        <x:v>01342832407</x:v>
      </x:c>
      <x:c r="P361" s="43" t="str"/>
      <x:c r="Q361" s="43" t="str"/>
      <x:c r="R361" s="43" t="str">
        <x:v>Queued for contact research</x:v>
      </x:c>
      <x:c r="S361" s="43" t="str">
        <x:v>Not reviewed</x:v>
      </x:c>
      <x:c r="T361" s="43" t="str">
        <x:v>Hold</x:v>
      </x:c>
      <x:c r="U361" s="43" t="str">
        <x:v>No</x:v>
      </x:c>
      <x:c r="V361" s="44"/>
      <x:c r="W361" s="43" t="str"/>
      <x:c r="X361" s="43" t="str"/>
      <x:c r="Y361" s="43" t="str"/>
      <x:c r="Z361" s="43" t="str">
        <x:v>https://www.get-information-schools.service.gov.uk/Downloads</x:v>
      </x:c>
    </x:row>
    <x:row r="362">
      <x:c r="A362" s="43" t="str">
        <x:v>UK independent</x:v>
      </x:c>
      <x:c r="B362" s="43" t="str">
        <x:v>101954</x:v>
      </x:c>
      <x:c r="C362" s="43" t="n">
        <x:f>IF(K362="Boarding school",30,0)+IF(J362&gt;=18,20,0)+IF(I362&lt;=11,10,0)+IF(L362="Has a sixth form",15,0)+IF(M362&gt;=200,10,0)+IF(N362&lt;&gt;"",10,0)</x:f>
        <x:v>65</x:v>
      </x:c>
      <x:c r="D362" s="43" t="str">
        <x:f>IF(C362&gt;=85,"A",IF(C362&gt;=65,"B","C"))</x:f>
        <x:v>B</x:v>
      </x:c>
      <x:c r="E362" s="43" t="str">
        <x:v>Notting Hill &amp; Ealing High School GDST</x:v>
      </x:c>
      <x:c r="F362" s="43" t="str"/>
      <x:c r="G362" s="43" t="str"/>
      <x:c r="H362" s="43" t="str">
        <x:v>W13 8AX</x:v>
      </x:c>
      <x:c r="I362" s="43" t="n">
        <x:v>4</x:v>
      </x:c>
      <x:c r="J362" s="43" t="n">
        <x:v>18</x:v>
      </x:c>
      <x:c r="K362" s="43" t="str">
        <x:v>No boarders</x:v>
      </x:c>
      <x:c r="L362" s="43" t="str">
        <x:v>Has a sixth form</x:v>
      </x:c>
      <x:c r="M362" s="43" t="n">
        <x:v>921</x:v>
      </x:c>
      <x:c r="N362" s="43" t="str">
        <x:v>http://www.gdst.net/nhehs/</x:v>
      </x:c>
      <x:c r="O362" s="43" t="str">
        <x:v>02087998400</x:v>
      </x:c>
      <x:c r="P362" s="43" t="str"/>
      <x:c r="Q362" s="43" t="str"/>
      <x:c r="R362" s="43" t="str">
        <x:v>Queued for contact research</x:v>
      </x:c>
      <x:c r="S362" s="43" t="str">
        <x:v>Not reviewed</x:v>
      </x:c>
      <x:c r="T362" s="43" t="str">
        <x:v>Hold</x:v>
      </x:c>
      <x:c r="U362" s="43" t="str">
        <x:v>No</x:v>
      </x:c>
      <x:c r="V362" s="44"/>
      <x:c r="W362" s="43" t="str"/>
      <x:c r="X362" s="43" t="str"/>
      <x:c r="Y362" s="43" t="str"/>
      <x:c r="Z362" s="43" t="str">
        <x:v>https://www.get-information-schools.service.gov.uk/Downloads</x:v>
      </x:c>
    </x:row>
    <x:row r="363">
      <x:c r="A363" s="43" t="str">
        <x:v>UK independent</x:v>
      </x:c>
      <x:c r="B363" s="43" t="str">
        <x:v>125787</x:v>
      </x:c>
      <x:c r="C363" s="43" t="n">
        <x:f>IF(K363="Boarding school",30,0)+IF(J363&gt;=18,20,0)+IF(I363&lt;=11,10,0)+IF(L363="Has a sixth form",15,0)+IF(M363&gt;=200,10,0)+IF(N363&lt;&gt;"",10,0)</x:f>
        <x:v>65</x:v>
      </x:c>
      <x:c r="D363" s="43" t="str">
        <x:f>IF(C363&gt;=85,"A",IF(C363&gt;=65,"B","C"))</x:f>
        <x:v>B</x:v>
      </x:c>
      <x:c r="E363" s="43" t="str">
        <x:v>Princethorpe College</x:v>
      </x:c>
      <x:c r="F363" s="43" t="str">
        <x:v>Rugby</x:v>
      </x:c>
      <x:c r="G363" s="43" t="str">
        <x:v>Warwickshire</x:v>
      </x:c>
      <x:c r="H363" s="43" t="str">
        <x:v>CV23 9PX</x:v>
      </x:c>
      <x:c r="I363" s="43" t="n">
        <x:v>11</x:v>
      </x:c>
      <x:c r="J363" s="43" t="n">
        <x:v>19</x:v>
      </x:c>
      <x:c r="K363" s="43" t="str">
        <x:v>No boarders</x:v>
      </x:c>
      <x:c r="L363" s="43" t="str">
        <x:v>Has a sixth form</x:v>
      </x:c>
      <x:c r="M363" s="43" t="n">
        <x:v>921</x:v>
      </x:c>
      <x:c r="N363" s="43" t="str">
        <x:v>http://www.princethorpe.co.uk</x:v>
      </x:c>
      <x:c r="O363" s="43" t="str">
        <x:v>01926634200</x:v>
      </x:c>
      <x:c r="P363" s="43" t="str"/>
      <x:c r="Q363" s="43" t="str"/>
      <x:c r="R363" s="43" t="str">
        <x:v>Queued for contact research</x:v>
      </x:c>
      <x:c r="S363" s="43" t="str">
        <x:v>Not reviewed</x:v>
      </x:c>
      <x:c r="T363" s="43" t="str">
        <x:v>Hold</x:v>
      </x:c>
      <x:c r="U363" s="43" t="str">
        <x:v>No</x:v>
      </x:c>
      <x:c r="V363" s="44"/>
      <x:c r="W363" s="43" t="str"/>
      <x:c r="X363" s="43" t="str"/>
      <x:c r="Y363" s="43" t="str"/>
      <x:c r="Z363" s="43" t="str">
        <x:v>https://www.get-information-schools.service.gov.uk/Downloads</x:v>
      </x:c>
    </x:row>
    <x:row r="364">
      <x:c r="A364" s="43" t="str">
        <x:v>UK independent</x:v>
      </x:c>
      <x:c r="B364" s="43" t="str">
        <x:v>118131</x:v>
      </x:c>
      <x:c r="C364" s="43" t="n">
        <x:f>IF(K364="Boarding school",30,0)+IF(J364&gt;=18,20,0)+IF(I364&lt;=11,10,0)+IF(L364="Has a sixth form",15,0)+IF(M364&gt;=200,10,0)+IF(N364&lt;&gt;"",10,0)</x:f>
        <x:v>65</x:v>
      </x:c>
      <x:c r="D364" s="43" t="str">
        <x:f>IF(C364&gt;=85,"A",IF(C364&gt;=65,"B","C"))</x:f>
        <x:v>B</x:v>
      </x:c>
      <x:c r="E364" s="43" t="str">
        <x:v>Hymers College</x:v>
      </x:c>
      <x:c r="F364" s="43" t="str"/>
      <x:c r="G364" s="43" t="str"/>
      <x:c r="H364" s="43" t="str">
        <x:v>HU3 1LW</x:v>
      </x:c>
      <x:c r="I364" s="43" t="n">
        <x:v>3</x:v>
      </x:c>
      <x:c r="J364" s="43" t="n">
        <x:v>18</x:v>
      </x:c>
      <x:c r="K364" s="43" t="str">
        <x:v>No boarders</x:v>
      </x:c>
      <x:c r="L364" s="43" t="str">
        <x:v>Has a sixth form</x:v>
      </x:c>
      <x:c r="M364" s="43" t="n">
        <x:v>919</x:v>
      </x:c>
      <x:c r="N364" s="43" t="str">
        <x:v>https://hymerscollege.co.uk</x:v>
      </x:c>
      <x:c r="O364" s="43" t="str">
        <x:v>01482343555</x:v>
      </x:c>
      <x:c r="P364" s="43" t="str"/>
      <x:c r="Q364" s="43" t="str"/>
      <x:c r="R364" s="43" t="str">
        <x:v>Queued for contact research</x:v>
      </x:c>
      <x:c r="S364" s="43" t="str">
        <x:v>Not reviewed</x:v>
      </x:c>
      <x:c r="T364" s="43" t="str">
        <x:v>Hold</x:v>
      </x:c>
      <x:c r="U364" s="43" t="str">
        <x:v>No</x:v>
      </x:c>
      <x:c r="V364" s="44"/>
      <x:c r="W364" s="43" t="str"/>
      <x:c r="X364" s="43" t="str"/>
      <x:c r="Y364" s="43" t="str"/>
      <x:c r="Z364" s="43" t="str">
        <x:v>https://www.get-information-schools.service.gov.uk/Downloads</x:v>
      </x:c>
    </x:row>
    <x:row r="365">
      <x:c r="A365" s="43" t="str">
        <x:v>UK independent</x:v>
      </x:c>
      <x:c r="B365" s="43" t="str">
        <x:v>105592</x:v>
      </x:c>
      <x:c r="C365" s="43" t="n">
        <x:f>IF(K365="Boarding school",30,0)+IF(J365&gt;=18,20,0)+IF(I365&lt;=11,10,0)+IF(L365="Has a sixth form",15,0)+IF(M365&gt;=200,10,0)+IF(N365&lt;&gt;"",10,0)</x:f>
        <x:v>65</x:v>
      </x:c>
      <x:c r="D365" s="43" t="str">
        <x:f>IF(C365&gt;=85,"A",IF(C365&gt;=65,"B","C"))</x:f>
        <x:v>B</x:v>
      </x:c>
      <x:c r="E365" s="43" t="str">
        <x:v>Manchester High School for Girls</x:v>
      </x:c>
      <x:c r="F365" s="43" t="str">
        <x:v>Manchester</x:v>
      </x:c>
      <x:c r="G365" s="43" t="str"/>
      <x:c r="H365" s="43" t="str">
        <x:v>M14 6HS</x:v>
      </x:c>
      <x:c r="I365" s="43" t="n">
        <x:v>3</x:v>
      </x:c>
      <x:c r="J365" s="43" t="n">
        <x:v>18</x:v>
      </x:c>
      <x:c r="K365" s="43" t="str">
        <x:v>No boarders</x:v>
      </x:c>
      <x:c r="L365" s="43" t="str">
        <x:v>Has a sixth form</x:v>
      </x:c>
      <x:c r="M365" s="43" t="n">
        <x:v>913</x:v>
      </x:c>
      <x:c r="N365" s="43" t="str">
        <x:v>http://www.manchesterhigh.co.uk</x:v>
      </x:c>
      <x:c r="O365" s="43" t="str">
        <x:v>01612240447</x:v>
      </x:c>
      <x:c r="P365" s="43" t="str"/>
      <x:c r="Q365" s="43" t="str"/>
      <x:c r="R365" s="43" t="str">
        <x:v>Queued for contact research</x:v>
      </x:c>
      <x:c r="S365" s="43" t="str">
        <x:v>Not reviewed</x:v>
      </x:c>
      <x:c r="T365" s="43" t="str">
        <x:v>Hold</x:v>
      </x:c>
      <x:c r="U365" s="43" t="str">
        <x:v>No</x:v>
      </x:c>
      <x:c r="V365" s="44"/>
      <x:c r="W365" s="43" t="str"/>
      <x:c r="X365" s="43" t="str"/>
      <x:c r="Y365" s="43" t="str"/>
      <x:c r="Z365" s="43" t="str">
        <x:v>https://www.get-information-schools.service.gov.uk/Downloads</x:v>
      </x:c>
    </x:row>
    <x:row r="366">
      <x:c r="A366" s="43" t="str">
        <x:v>UK independent</x:v>
      </x:c>
      <x:c r="B366" s="43" t="str">
        <x:v>105123</x:v>
      </x:c>
      <x:c r="C366" s="43" t="n">
        <x:f>IF(K366="Boarding school",30,0)+IF(J366&gt;=18,20,0)+IF(I366&lt;=11,10,0)+IF(L366="Has a sixth form",15,0)+IF(M366&gt;=200,10,0)+IF(N366&lt;&gt;"",10,0)</x:f>
        <x:v>65</x:v>
      </x:c>
      <x:c r="D366" s="43" t="str">
        <x:f>IF(C366&gt;=85,"A",IF(C366&gt;=65,"B","C"))</x:f>
        <x:v>B</x:v>
      </x:c>
      <x:c r="E366" s="43" t="str">
        <x:v>Birkenhead School</x:v>
      </x:c>
      <x:c r="F366" s="43" t="str">
        <x:v>Prenton</x:v>
      </x:c>
      <x:c r="G366" s="43" t="str">
        <x:v>Merseyside</x:v>
      </x:c>
      <x:c r="H366" s="43" t="str">
        <x:v>CH43 2JD</x:v>
      </x:c>
      <x:c r="I366" s="43" t="n">
        <x:v>3</x:v>
      </x:c>
      <x:c r="J366" s="43" t="n">
        <x:v>19</x:v>
      </x:c>
      <x:c r="K366" s="43" t="str">
        <x:v>No boarders</x:v>
      </x:c>
      <x:c r="L366" s="43" t="str">
        <x:v>Has a sixth form</x:v>
      </x:c>
      <x:c r="M366" s="43" t="n">
        <x:v>892</x:v>
      </x:c>
      <x:c r="N366" s="43" t="str">
        <x:v>https://www.birkenheadschool.co.uk</x:v>
      </x:c>
      <x:c r="O366" s="43" t="str">
        <x:v>01516524014</x:v>
      </x:c>
      <x:c r="P366" s="43" t="str"/>
      <x:c r="Q366" s="43" t="str"/>
      <x:c r="R366" s="43" t="str">
        <x:v>Queued for contact research</x:v>
      </x:c>
      <x:c r="S366" s="43" t="str">
        <x:v>Not reviewed</x:v>
      </x:c>
      <x:c r="T366" s="43" t="str">
        <x:v>Hold</x:v>
      </x:c>
      <x:c r="U366" s="43" t="str">
        <x:v>No</x:v>
      </x:c>
      <x:c r="V366" s="44"/>
      <x:c r="W366" s="43" t="str"/>
      <x:c r="X366" s="43" t="str"/>
      <x:c r="Y366" s="43" t="str"/>
      <x:c r="Z366" s="43" t="str">
        <x:v>https://www.get-information-schools.service.gov.uk/Downloads</x:v>
      </x:c>
    </x:row>
    <x:row r="367">
      <x:c r="A367" s="43" t="str">
        <x:v>UK independent</x:v>
      </x:c>
      <x:c r="B367" s="43" t="str">
        <x:v>101692</x:v>
      </x:c>
      <x:c r="C367" s="43" t="n">
        <x:f>IF(K367="Boarding school",30,0)+IF(J367&gt;=18,20,0)+IF(I367&lt;=11,10,0)+IF(L367="Has a sixth form",15,0)+IF(M367&gt;=200,10,0)+IF(N367&lt;&gt;"",10,0)</x:f>
        <x:v>65</x:v>
      </x:c>
      <x:c r="D367" s="43" t="str">
        <x:f>IF(C367&gt;=85,"A",IF(C367&gt;=65,"B","C"))</x:f>
        <x:v>B</x:v>
      </x:c>
      <x:c r="E367" s="43" t="str">
        <x:v>Bromley High School GDST</x:v>
      </x:c>
      <x:c r="F367" s="43" t="str">
        <x:v>Bromley</x:v>
      </x:c>
      <x:c r="G367" s="43" t="str">
        <x:v>Kent</x:v>
      </x:c>
      <x:c r="H367" s="43" t="str">
        <x:v>BR1 2TW</x:v>
      </x:c>
      <x:c r="I367" s="43" t="n">
        <x:v>4</x:v>
      </x:c>
      <x:c r="J367" s="43" t="n">
        <x:v>18</x:v>
      </x:c>
      <x:c r="K367" s="43" t="str">
        <x:v>No boarders</x:v>
      </x:c>
      <x:c r="L367" s="43" t="str">
        <x:v>Has a sixth form</x:v>
      </x:c>
      <x:c r="M367" s="43" t="n">
        <x:v>886</x:v>
      </x:c>
      <x:c r="N367" s="43" t="str">
        <x:v>http://schoolsite.edex.net.UK/77/</x:v>
      </x:c>
      <x:c r="O367" s="43" t="str">
        <x:v>02087817000</x:v>
      </x:c>
      <x:c r="P367" s="43" t="str"/>
      <x:c r="Q367" s="43" t="str"/>
      <x:c r="R367" s="43" t="str">
        <x:v>Queued for contact research</x:v>
      </x:c>
      <x:c r="S367" s="43" t="str">
        <x:v>Not reviewed</x:v>
      </x:c>
      <x:c r="T367" s="43" t="str">
        <x:v>Hold</x:v>
      </x:c>
      <x:c r="U367" s="43" t="str">
        <x:v>No</x:v>
      </x:c>
      <x:c r="V367" s="44"/>
      <x:c r="W367" s="43" t="str"/>
      <x:c r="X367" s="43" t="str"/>
      <x:c r="Y367" s="43" t="str"/>
      <x:c r="Z367" s="43" t="str">
        <x:v>https://www.get-information-schools.service.gov.uk/Downloads</x:v>
      </x:c>
    </x:row>
    <x:row r="368">
      <x:c r="A368" s="43" t="str">
        <x:v>UK independent</x:v>
      </x:c>
      <x:c r="B368" s="43" t="str">
        <x:v>117647</x:v>
      </x:c>
      <x:c r="C368" s="43" t="n">
        <x:f>IF(K368="Boarding school",30,0)+IF(J368&gt;=18,20,0)+IF(I368&lt;=11,10,0)+IF(L368="Has a sixth form",15,0)+IF(M368&gt;=200,10,0)+IF(N368&lt;&gt;"",10,0)</x:f>
        <x:v>65</x:v>
      </x:c>
      <x:c r="D368" s="43" t="str">
        <x:f>IF(C368&gt;=85,"A",IF(C368&gt;=65,"B","C"))</x:f>
        <x:v>B</x:v>
      </x:c>
      <x:c r="E368" s="43" t="str">
        <x:v>St Albans School</x:v>
      </x:c>
      <x:c r="F368" s="43" t="str">
        <x:v>St Albans</x:v>
      </x:c>
      <x:c r="G368" s="43" t="str">
        <x:v>Hertfordshire</x:v>
      </x:c>
      <x:c r="H368" s="43" t="str">
        <x:v>AL3 4HB</x:v>
      </x:c>
      <x:c r="I368" s="43" t="n">
        <x:v>11</x:v>
      </x:c>
      <x:c r="J368" s="43" t="n">
        <x:v>19</x:v>
      </x:c>
      <x:c r="K368" s="43" t="str">
        <x:v>No boarders</x:v>
      </x:c>
      <x:c r="L368" s="43" t="str">
        <x:v>Has a sixth form</x:v>
      </x:c>
      <x:c r="M368" s="43" t="n">
        <x:v>883</x:v>
      </x:c>
      <x:c r="N368" s="43" t="str">
        <x:v>https://www.st-albans.herts.sch.uk/</x:v>
      </x:c>
      <x:c r="O368" s="43" t="str">
        <x:v>01727855521</x:v>
      </x:c>
      <x:c r="P368" s="43" t="str"/>
      <x:c r="Q368" s="43" t="str"/>
      <x:c r="R368" s="43" t="str">
        <x:v>Queued for contact research</x:v>
      </x:c>
      <x:c r="S368" s="43" t="str">
        <x:v>Not reviewed</x:v>
      </x:c>
      <x:c r="T368" s="43" t="str">
        <x:v>Hold</x:v>
      </x:c>
      <x:c r="U368" s="43" t="str">
        <x:v>No</x:v>
      </x:c>
      <x:c r="V368" s="44"/>
      <x:c r="W368" s="43" t="str"/>
      <x:c r="X368" s="43" t="str"/>
      <x:c r="Y368" s="43" t="str"/>
      <x:c r="Z368" s="43" t="str">
        <x:v>https://www.get-information-schools.service.gov.uk/Downloads</x:v>
      </x:c>
    </x:row>
    <x:row r="369">
      <x:c r="A369" s="43" t="str">
        <x:v>UK independent</x:v>
      </x:c>
      <x:c r="B369" s="43" t="str">
        <x:v>103022</x:v>
      </x:c>
      <x:c r="C369" s="43" t="n">
        <x:f>IF(K369="Boarding school",30,0)+IF(J369&gt;=18,20,0)+IF(I369&lt;=11,10,0)+IF(L369="Has a sixth form",15,0)+IF(M369&gt;=200,10,0)+IF(N369&lt;&gt;"",10,0)</x:f>
        <x:v>65</x:v>
      </x:c>
      <x:c r="D369" s="43" t="str">
        <x:f>IF(C369&gt;=85,"A",IF(C369&gt;=65,"B","C"))</x:f>
        <x:v>B</x:v>
      </x:c>
      <x:c r="E369" s="43" t="str">
        <x:v>Sutton High School GDST</x:v>
      </x:c>
      <x:c r="F369" s="43" t="str"/>
      <x:c r="G369" s="43" t="str"/>
      <x:c r="H369" s="43" t="str">
        <x:v>SM1 2AX</x:v>
      </x:c>
      <x:c r="I369" s="43" t="n">
        <x:v>3</x:v>
      </x:c>
      <x:c r="J369" s="43" t="n">
        <x:v>18</x:v>
      </x:c>
      <x:c r="K369" s="43" t="str">
        <x:v>No boarders</x:v>
      </x:c>
      <x:c r="L369" s="43" t="str">
        <x:v>Has a sixth form</x:v>
      </x:c>
      <x:c r="M369" s="43" t="n">
        <x:v>878</x:v>
      </x:c>
      <x:c r="N369" s="43" t="str">
        <x:v>https://www.suttonhigh.gdst.net</x:v>
      </x:c>
      <x:c r="O369" s="43" t="str">
        <x:v>02086420594</x:v>
      </x:c>
      <x:c r="P369" s="43" t="str"/>
      <x:c r="Q369" s="43" t="str"/>
      <x:c r="R369" s="43" t="str">
        <x:v>Queued for contact research</x:v>
      </x:c>
      <x:c r="S369" s="43" t="str">
        <x:v>Not reviewed</x:v>
      </x:c>
      <x:c r="T369" s="43" t="str">
        <x:v>Hold</x:v>
      </x:c>
      <x:c r="U369" s="43" t="str">
        <x:v>No</x:v>
      </x:c>
      <x:c r="V369" s="44"/>
      <x:c r="W369" s="43" t="str"/>
      <x:c r="X369" s="43" t="str"/>
      <x:c r="Y369" s="43" t="str"/>
      <x:c r="Z369" s="43" t="str">
        <x:v>https://www.get-information-schools.service.gov.uk/Downloads</x:v>
      </x:c>
    </x:row>
    <x:row r="370">
      <x:c r="A370" s="43" t="str">
        <x:v>UK independent</x:v>
      </x:c>
      <x:c r="B370" s="43" t="str">
        <x:v>124487</x:v>
      </x:c>
      <x:c r="C370" s="43" t="n">
        <x:f>IF(K370="Boarding school",30,0)+IF(J370&gt;=18,20,0)+IF(I370&lt;=11,10,0)+IF(L370="Has a sixth form",15,0)+IF(M370&gt;=200,10,0)+IF(N370&lt;&gt;"",10,0)</x:f>
        <x:v>65</x:v>
      </x:c>
      <x:c r="D370" s="43" t="str">
        <x:f>IF(C370&gt;=85,"A",IF(C370&gt;=65,"B","C"))</x:f>
        <x:v>B</x:v>
      </x:c>
      <x:c r="E370" s="43" t="str">
        <x:v>Newcastle-under-Lyme School</x:v>
      </x:c>
      <x:c r="F370" s="43" t="str">
        <x:v>Newcastle-under-Lyme</x:v>
      </x:c>
      <x:c r="G370" s="43" t="str">
        <x:v>Staffordshire</x:v>
      </x:c>
      <x:c r="H370" s="43" t="str">
        <x:v>ST5 1DB</x:v>
      </x:c>
      <x:c r="I370" s="43" t="n">
        <x:v>2</x:v>
      </x:c>
      <x:c r="J370" s="43" t="n">
        <x:v>19</x:v>
      </x:c>
      <x:c r="K370" s="43" t="str">
        <x:v>No boarders</x:v>
      </x:c>
      <x:c r="L370" s="43" t="str">
        <x:v>Has a sixth form</x:v>
      </x:c>
      <x:c r="M370" s="43" t="n">
        <x:v>868</x:v>
      </x:c>
      <x:c r="N370" s="43" t="str">
        <x:v>http://www.nuls.org.uk</x:v>
      </x:c>
      <x:c r="O370" s="43" t="str">
        <x:v>01782631197</x:v>
      </x:c>
      <x:c r="P370" s="43" t="str"/>
      <x:c r="Q370" s="43" t="str"/>
      <x:c r="R370" s="43" t="str">
        <x:v>Queued for contact research</x:v>
      </x:c>
      <x:c r="S370" s="43" t="str">
        <x:v>Not reviewed</x:v>
      </x:c>
      <x:c r="T370" s="43" t="str">
        <x:v>Hold</x:v>
      </x:c>
      <x:c r="U370" s="43" t="str">
        <x:v>No</x:v>
      </x:c>
      <x:c r="V370" s="44"/>
      <x:c r="W370" s="43" t="str"/>
      <x:c r="X370" s="43" t="str"/>
      <x:c r="Y370" s="43" t="str"/>
      <x:c r="Z370" s="43" t="str">
        <x:v>https://www.get-information-schools.service.gov.uk/Downloads</x:v>
      </x:c>
    </x:row>
    <x:row r="371">
      <x:c r="A371" s="43" t="str">
        <x:v>UK independent</x:v>
      </x:c>
      <x:c r="B371" s="43" t="str">
        <x:v>102875</x:v>
      </x:c>
      <x:c r="C371" s="43" t="n">
        <x:f>IF(K371="Boarding school",30,0)+IF(J371&gt;=18,20,0)+IF(I371&lt;=11,10,0)+IF(L371="Has a sixth form",15,0)+IF(M371&gt;=200,10,0)+IF(N371&lt;&gt;"",10,0)</x:f>
        <x:v>65</x:v>
      </x:c>
      <x:c r="D371" s="43" t="str">
        <x:f>IF(C371&gt;=85,"A",IF(C371&gt;=65,"B","C"))</x:f>
        <x:v>B</x:v>
      </x:c>
      <x:c r="E371" s="43" t="str">
        <x:v>Bancroft's School</x:v>
      </x:c>
      <x:c r="F371" s="43" t="str">
        <x:v>Woodford Green</x:v>
      </x:c>
      <x:c r="G371" s="43" t="str">
        <x:v>Essex</x:v>
      </x:c>
      <x:c r="H371" s="43" t="str">
        <x:v>IG8 0RF</x:v>
      </x:c>
      <x:c r="I371" s="43" t="n">
        <x:v>11</x:v>
      </x:c>
      <x:c r="J371" s="43" t="n">
        <x:v>18</x:v>
      </x:c>
      <x:c r="K371" s="43" t="str">
        <x:v>No boarders</x:v>
      </x:c>
      <x:c r="L371" s="43" t="str">
        <x:v>Has a sixth form</x:v>
      </x:c>
      <x:c r="M371" s="43" t="n">
        <x:v>866</x:v>
      </x:c>
      <x:c r="N371" s="43" t="str">
        <x:v>https://www.bancrofts.org</x:v>
      </x:c>
      <x:c r="O371" s="43" t="str">
        <x:v>02085054821</x:v>
      </x:c>
      <x:c r="P371" s="43" t="str"/>
      <x:c r="Q371" s="43" t="str"/>
      <x:c r="R371" s="43" t="str">
        <x:v>Queued for contact research</x:v>
      </x:c>
      <x:c r="S371" s="43" t="str">
        <x:v>Not reviewed</x:v>
      </x:c>
      <x:c r="T371" s="43" t="str">
        <x:v>Hold</x:v>
      </x:c>
      <x:c r="U371" s="43" t="str">
        <x:v>No</x:v>
      </x:c>
      <x:c r="V371" s="44"/>
      <x:c r="W371" s="43" t="str"/>
      <x:c r="X371" s="43" t="str"/>
      <x:c r="Y371" s="43" t="str"/>
      <x:c r="Z371" s="43" t="str">
        <x:v>https://www.get-information-schools.service.gov.uk/Downloads</x:v>
      </x:c>
    </x:row>
    <x:row r="372">
      <x:c r="A372" s="43" t="str">
        <x:v>UK independent</x:v>
      </x:c>
      <x:c r="B372" s="43" t="str">
        <x:v>110153</x:v>
      </x:c>
      <x:c r="C372" s="43" t="n">
        <x:f>IF(K372="Boarding school",30,0)+IF(J372&gt;=18,20,0)+IF(I372&lt;=11,10,0)+IF(L372="Has a sixth form",15,0)+IF(M372&gt;=200,10,0)+IF(N372&lt;&gt;"",10,0)</x:f>
        <x:v>65</x:v>
      </x:c>
      <x:c r="D372" s="43" t="str">
        <x:f>IF(C372&gt;=85,"A",IF(C372&gt;=65,"B","C"))</x:f>
        <x:v>B</x:v>
      </x:c>
      <x:c r="E372" s="43" t="str">
        <x:v>Claires Court Schools</x:v>
      </x:c>
      <x:c r="F372" s="43" t="str">
        <x:v>Maidenhead</x:v>
      </x:c>
      <x:c r="G372" s="43" t="str">
        <x:v>Berkshire</x:v>
      </x:c>
      <x:c r="H372" s="43" t="str">
        <x:v>SL6 6AW</x:v>
      </x:c>
      <x:c r="I372" s="43" t="n">
        <x:v>2</x:v>
      </x:c>
      <x:c r="J372" s="43" t="n">
        <x:v>18</x:v>
      </x:c>
      <x:c r="K372" s="43" t="str">
        <x:v>No boarders</x:v>
      </x:c>
      <x:c r="L372" s="43" t="str">
        <x:v>Has a sixth form</x:v>
      </x:c>
      <x:c r="M372" s="43" t="n">
        <x:v>862</x:v>
      </x:c>
      <x:c r="N372" s="43" t="str">
        <x:v>https://www.clairescourt.com</x:v>
      </x:c>
      <x:c r="O372" s="43" t="str">
        <x:v>01628327700</x:v>
      </x:c>
      <x:c r="P372" s="43" t="str"/>
      <x:c r="Q372" s="43" t="str"/>
      <x:c r="R372" s="43" t="str">
        <x:v>Queued for contact research</x:v>
      </x:c>
      <x:c r="S372" s="43" t="str">
        <x:v>Not reviewed</x:v>
      </x:c>
      <x:c r="T372" s="43" t="str">
        <x:v>Hold</x:v>
      </x:c>
      <x:c r="U372" s="43" t="str">
        <x:v>No</x:v>
      </x:c>
      <x:c r="V372" s="44"/>
      <x:c r="W372" s="43" t="str"/>
      <x:c r="X372" s="43" t="str"/>
      <x:c r="Y372" s="43" t="str"/>
      <x:c r="Z372" s="43" t="str">
        <x:v>https://www.get-information-schools.service.gov.uk/Downloads</x:v>
      </x:c>
    </x:row>
    <x:row r="373">
      <x:c r="A373" s="43" t="str">
        <x:v>UK independent</x:v>
      </x:c>
      <x:c r="B373" s="43" t="str">
        <x:v>102945</x:v>
      </x:c>
      <x:c r="C373" s="43" t="n">
        <x:f>IF(K373="Boarding school",30,0)+IF(J373&gt;=18,20,0)+IF(I373&lt;=11,10,0)+IF(L373="Has a sixth form",15,0)+IF(M373&gt;=200,10,0)+IF(N373&lt;&gt;"",10,0)</x:f>
        <x:v>65</x:v>
      </x:c>
      <x:c r="D373" s="43" t="str">
        <x:f>IF(C373&gt;=85,"A",IF(C373&gt;=65,"B","C"))</x:f>
        <x:v>B</x:v>
      </x:c>
      <x:c r="E373" s="43" t="str">
        <x:v>The German School</x:v>
      </x:c>
      <x:c r="F373" s="43" t="str">
        <x:v>Richmond</x:v>
      </x:c>
      <x:c r="G373" s="43" t="str">
        <x:v>Surrey</x:v>
      </x:c>
      <x:c r="H373" s="43" t="str">
        <x:v>TW10 7AH</x:v>
      </x:c>
      <x:c r="I373" s="43" t="n">
        <x:v>3</x:v>
      </x:c>
      <x:c r="J373" s="43" t="n">
        <x:v>19</x:v>
      </x:c>
      <x:c r="K373" s="43" t="str">
        <x:v>No boarders</x:v>
      </x:c>
      <x:c r="L373" s="43" t="str">
        <x:v>Has a sixth form</x:v>
      </x:c>
      <x:c r="M373" s="43" t="n">
        <x:v>859</x:v>
      </x:c>
      <x:c r="N373" s="43" t="str">
        <x:v>https://www.dslondon.org.uk</x:v>
      </x:c>
      <x:c r="O373" s="43" t="str">
        <x:v>02089402510</x:v>
      </x:c>
      <x:c r="P373" s="43" t="str"/>
      <x:c r="Q373" s="43" t="str"/>
      <x:c r="R373" s="43" t="str">
        <x:v>Queued for contact research</x:v>
      </x:c>
      <x:c r="S373" s="43" t="str">
        <x:v>Not reviewed</x:v>
      </x:c>
      <x:c r="T373" s="43" t="str">
        <x:v>Hold</x:v>
      </x:c>
      <x:c r="U373" s="43" t="str">
        <x:v>No</x:v>
      </x:c>
      <x:c r="V373" s="44"/>
      <x:c r="W373" s="43" t="str"/>
      <x:c r="X373" s="43" t="str"/>
      <x:c r="Y373" s="43" t="str"/>
      <x:c r="Z373" s="43" t="str">
        <x:v>https://www.get-information-schools.service.gov.uk/Downloads</x:v>
      </x:c>
    </x:row>
    <x:row r="374">
      <x:c r="A374" s="43" t="str">
        <x:v>UK independent</x:v>
      </x:c>
      <x:c r="B374" s="43" t="str">
        <x:v>110151</x:v>
      </x:c>
      <x:c r="C374" s="43" t="n">
        <x:f>IF(K374="Boarding school",30,0)+IF(J374&gt;=18,20,0)+IF(I374&lt;=11,10,0)+IF(L374="Has a sixth form",15,0)+IF(M374&gt;=200,10,0)+IF(N374&lt;&gt;"",10,0)</x:f>
        <x:v>65</x:v>
      </x:c>
      <x:c r="D374" s="43" t="str">
        <x:f>IF(C374&gt;=85,"A",IF(C374&gt;=65,"B","C"))</x:f>
        <x:v>B</x:v>
      </x:c>
      <x:c r="E374" s="43" t="str">
        <x:v>Reading Blue Coat School</x:v>
      </x:c>
      <x:c r="F374" s="43" t="str">
        <x:v>Berkshire</x:v>
      </x:c>
      <x:c r="G374" s="43" t="str">
        <x:v>Berkshire</x:v>
      </x:c>
      <x:c r="H374" s="43" t="str">
        <x:v>RG4 6SU</x:v>
      </x:c>
      <x:c r="I374" s="43" t="n">
        <x:v>11</x:v>
      </x:c>
      <x:c r="J374" s="43" t="n">
        <x:v>19</x:v>
      </x:c>
      <x:c r="K374" s="43" t="str">
        <x:v>No boarders</x:v>
      </x:c>
      <x:c r="L374" s="43" t="str">
        <x:v>Has a sixth form</x:v>
      </x:c>
      <x:c r="M374" s="43" t="n">
        <x:v>850</x:v>
      </x:c>
      <x:c r="N374" s="43" t="str">
        <x:v>https://www.rbcs.org.uk</x:v>
      </x:c>
      <x:c r="O374" s="43" t="str">
        <x:v>01189441005</x:v>
      </x:c>
      <x:c r="P374" s="43" t="str"/>
      <x:c r="Q374" s="43" t="str"/>
      <x:c r="R374" s="43" t="str">
        <x:v>Queued for contact research</x:v>
      </x:c>
      <x:c r="S374" s="43" t="str">
        <x:v>Not reviewed</x:v>
      </x:c>
      <x:c r="T374" s="43" t="str">
        <x:v>Hold</x:v>
      </x:c>
      <x:c r="U374" s="43" t="str">
        <x:v>No</x:v>
      </x:c>
      <x:c r="V374" s="44"/>
      <x:c r="W374" s="43" t="str"/>
      <x:c r="X374" s="43" t="str"/>
      <x:c r="Y374" s="43" t="str"/>
      <x:c r="Z374" s="43" t="str">
        <x:v>https://www.get-information-schools.service.gov.uk/Downloads</x:v>
      </x:c>
    </x:row>
    <x:row r="375">
      <x:c r="A375" s="43" t="str">
        <x:v>UK independent</x:v>
      </x:c>
      <x:c r="B375" s="43" t="str">
        <x:v>103751</x:v>
      </x:c>
      <x:c r="C375" s="43" t="n">
        <x:f>IF(K375="Boarding school",30,0)+IF(J375&gt;=18,20,0)+IF(I375&lt;=11,10,0)+IF(L375="Has a sixth form",15,0)+IF(M375&gt;=200,10,0)+IF(N375&lt;&gt;"",10,0)</x:f>
        <x:v>65</x:v>
      </x:c>
      <x:c r="D375" s="43" t="str">
        <x:f>IF(C375&gt;=85,"A",IF(C375&gt;=65,"B","C"))</x:f>
        <x:v>B</x:v>
      </x:c>
      <x:c r="E375" s="43" t="str">
        <x:v>Bablake School</x:v>
      </x:c>
      <x:c r="F375" s="43" t="str"/>
      <x:c r="G375" s="43" t="str"/>
      <x:c r="H375" s="43" t="str">
        <x:v>CV1 4AU</x:v>
      </x:c>
      <x:c r="I375" s="43" t="n">
        <x:v>3</x:v>
      </x:c>
      <x:c r="J375" s="43" t="n">
        <x:v>19</x:v>
      </x:c>
      <x:c r="K375" s="43" t="str">
        <x:v>No boarders</x:v>
      </x:c>
      <x:c r="L375" s="43" t="str">
        <x:v>Has a sixth form</x:v>
      </x:c>
      <x:c r="M375" s="43" t="n">
        <x:v>848</x:v>
      </x:c>
      <x:c r="N375" s="43" t="str">
        <x:v>http://www.bablake.com</x:v>
      </x:c>
      <x:c r="O375" s="43" t="str">
        <x:v>02476271200</x:v>
      </x:c>
      <x:c r="P375" s="43" t="str"/>
      <x:c r="Q375" s="43" t="str"/>
      <x:c r="R375" s="43" t="str">
        <x:v>Queued for contact research</x:v>
      </x:c>
      <x:c r="S375" s="43" t="str">
        <x:v>Not reviewed</x:v>
      </x:c>
      <x:c r="T375" s="43" t="str">
        <x:v>Hold</x:v>
      </x:c>
      <x:c r="U375" s="43" t="str">
        <x:v>No</x:v>
      </x:c>
      <x:c r="V375" s="44"/>
      <x:c r="W375" s="43" t="str"/>
      <x:c r="X375" s="43" t="str"/>
      <x:c r="Y375" s="43" t="str"/>
      <x:c r="Z375" s="43" t="str">
        <x:v>https://www.get-information-schools.service.gov.uk/Downloads</x:v>
      </x:c>
    </x:row>
    <x:row r="376">
      <x:c r="A376" s="43" t="str">
        <x:v>UK independent</x:v>
      </x:c>
      <x:c r="B376" s="43" t="str">
        <x:v>104973</x:v>
      </x:c>
      <x:c r="C376" s="43" t="n">
        <x:f>IF(K376="Boarding school",30,0)+IF(J376&gt;=18,20,0)+IF(I376&lt;=11,10,0)+IF(L376="Has a sixth form",15,0)+IF(M376&gt;=200,10,0)+IF(N376&lt;&gt;"",10,0)</x:f>
        <x:v>65</x:v>
      </x:c>
      <x:c r="D376" s="43" t="str">
        <x:f>IF(C376&gt;=85,"A",IF(C376&gt;=65,"B","C"))</x:f>
        <x:v>B</x:v>
      </x:c>
      <x:c r="E376" s="43" t="str">
        <x:v>Merchant Taylors' Schools</x:v>
      </x:c>
      <x:c r="F376" s="43" t="str">
        <x:v>Liverpool</x:v>
      </x:c>
      <x:c r="G376" s="43" t="str">
        <x:v>Merseyside</x:v>
      </x:c>
      <x:c r="H376" s="43" t="str">
        <x:v>L23 0QP</x:v>
      </x:c>
      <x:c r="I376" s="43" t="n">
        <x:v>4</x:v>
      </x:c>
      <x:c r="J376" s="43" t="n">
        <x:v>18</x:v>
      </x:c>
      <x:c r="K376" s="43" t="str">
        <x:v>No boarders</x:v>
      </x:c>
      <x:c r="L376" s="43" t="str">
        <x:v>Has a sixth form</x:v>
      </x:c>
      <x:c r="M376" s="43" t="n">
        <x:v>844</x:v>
      </x:c>
      <x:c r="N376" s="43" t="str">
        <x:v>http://www.merchanttaylors.com/</x:v>
      </x:c>
      <x:c r="O376" s="43" t="str">
        <x:v>01519283308</x:v>
      </x:c>
      <x:c r="P376" s="43" t="str"/>
      <x:c r="Q376" s="43" t="str"/>
      <x:c r="R376" s="43" t="str">
        <x:v>Queued for contact research</x:v>
      </x:c>
      <x:c r="S376" s="43" t="str">
        <x:v>Not reviewed</x:v>
      </x:c>
      <x:c r="T376" s="43" t="str">
        <x:v>Hold</x:v>
      </x:c>
      <x:c r="U376" s="43" t="str">
        <x:v>No</x:v>
      </x:c>
      <x:c r="V376" s="44"/>
      <x:c r="W376" s="43" t="str"/>
      <x:c r="X376" s="43" t="str"/>
      <x:c r="Y376" s="43" t="str"/>
      <x:c r="Z376" s="43" t="str">
        <x:v>https://www.get-information-schools.service.gov.uk/Downloads</x:v>
      </x:c>
    </x:row>
    <x:row r="377">
      <x:c r="A377" s="43" t="str">
        <x:v>UK independent</x:v>
      </x:c>
      <x:c r="B377" s="43" t="str">
        <x:v>109727</x:v>
      </x:c>
      <x:c r="C377" s="43" t="n">
        <x:f>IF(K377="Boarding school",30,0)+IF(J377&gt;=18,20,0)+IF(I377&lt;=11,10,0)+IF(L377="Has a sixth form",15,0)+IF(M377&gt;=200,10,0)+IF(N377&lt;&gt;"",10,0)</x:f>
        <x:v>65</x:v>
      </x:c>
      <x:c r="D377" s="43" t="str">
        <x:f>IF(C377&gt;=85,"A",IF(C377&gt;=65,"B","C"))</x:f>
        <x:v>B</x:v>
      </x:c>
      <x:c r="E377" s="43" t="str">
        <x:v>Bedford Girls' School</x:v>
      </x:c>
      <x:c r="F377" s="43" t="str">
        <x:v>Bedford</x:v>
      </x:c>
      <x:c r="G377" s="43" t="str">
        <x:v>Bedfordshire</x:v>
      </x:c>
      <x:c r="H377" s="43" t="str">
        <x:v>MK42 0BX</x:v>
      </x:c>
      <x:c r="I377" s="43" t="n">
        <x:v>7</x:v>
      </x:c>
      <x:c r="J377" s="43" t="n">
        <x:v>18</x:v>
      </x:c>
      <x:c r="K377" s="43" t="str">
        <x:v>No boarders</x:v>
      </x:c>
      <x:c r="L377" s="43" t="str">
        <x:v>Has a sixth form</x:v>
      </x:c>
      <x:c r="M377" s="43" t="n">
        <x:v>843</x:v>
      </x:c>
      <x:c r="N377" s="43" t="str">
        <x:v>https://www.bedfordgirlsschool.co.uk/</x:v>
      </x:c>
      <x:c r="O377" s="43" t="str">
        <x:v>01234361900</x:v>
      </x:c>
      <x:c r="P377" s="43" t="str"/>
      <x:c r="Q377" s="43" t="str"/>
      <x:c r="R377" s="43" t="str">
        <x:v>Queued for contact research</x:v>
      </x:c>
      <x:c r="S377" s="43" t="str">
        <x:v>Not reviewed</x:v>
      </x:c>
      <x:c r="T377" s="43" t="str">
        <x:v>Hold</x:v>
      </x:c>
      <x:c r="U377" s="43" t="str">
        <x:v>No</x:v>
      </x:c>
      <x:c r="V377" s="44"/>
      <x:c r="W377" s="43" t="str"/>
      <x:c r="X377" s="43" t="str"/>
      <x:c r="Y377" s="43" t="str"/>
      <x:c r="Z377" s="43" t="str">
        <x:v>https://www.get-information-schools.service.gov.uk/Downloads</x:v>
      </x:c>
    </x:row>
    <x:row r="378">
      <x:c r="A378" s="43" t="str">
        <x:v>UK independent</x:v>
      </x:c>
      <x:c r="B378" s="43" t="str">
        <x:v>100366</x:v>
      </x:c>
      <x:c r="C378" s="43" t="n">
        <x:f>IF(K378="Boarding school",30,0)+IF(J378&gt;=18,20,0)+IF(I378&lt;=11,10,0)+IF(L378="Has a sixth form",15,0)+IF(M378&gt;=200,10,0)+IF(N378&lt;&gt;"",10,0)</x:f>
        <x:v>65</x:v>
      </x:c>
      <x:c r="D378" s="43" t="str">
        <x:f>IF(C378&gt;=85,"A",IF(C378&gt;=65,"B","C"))</x:f>
        <x:v>B</x:v>
      </x:c>
      <x:c r="E378" s="43" t="str">
        <x:v>St Paul's Girls' School</x:v>
      </x:c>
      <x:c r="F378" s="43" t="str">
        <x:v>London</x:v>
      </x:c>
      <x:c r="G378" s="43" t="str"/>
      <x:c r="H378" s="43" t="str">
        <x:v>W6 7BS</x:v>
      </x:c>
      <x:c r="I378" s="43" t="n">
        <x:v>10</x:v>
      </x:c>
      <x:c r="J378" s="43" t="n">
        <x:v>19</x:v>
      </x:c>
      <x:c r="K378" s="43" t="str">
        <x:v>No boarders</x:v>
      </x:c>
      <x:c r="L378" s="43" t="str">
        <x:v>Has a sixth form</x:v>
      </x:c>
      <x:c r="M378" s="43" t="n">
        <x:v>833</x:v>
      </x:c>
      <x:c r="N378" s="43" t="str">
        <x:v>https://www.spgs.org</x:v>
      </x:c>
      <x:c r="O378" s="43" t="str">
        <x:v>02076032288</x:v>
      </x:c>
      <x:c r="P378" s="43" t="str"/>
      <x:c r="Q378" s="43" t="str"/>
      <x:c r="R378" s="43" t="str">
        <x:v>Queued for contact research</x:v>
      </x:c>
      <x:c r="S378" s="43" t="str">
        <x:v>Not reviewed</x:v>
      </x:c>
      <x:c r="T378" s="43" t="str">
        <x:v>Hold</x:v>
      </x:c>
      <x:c r="U378" s="43" t="str">
        <x:v>No</x:v>
      </x:c>
      <x:c r="V378" s="44"/>
      <x:c r="W378" s="43" t="str"/>
      <x:c r="X378" s="43" t="str"/>
      <x:c r="Y378" s="43" t="str"/>
      <x:c r="Z378" s="43" t="str">
        <x:v>https://www.get-information-schools.service.gov.uk/Downloads</x:v>
      </x:c>
    </x:row>
    <x:row r="379">
      <x:c r="A379" s="43" t="str">
        <x:v>UK independent</x:v>
      </x:c>
      <x:c r="B379" s="43" t="str">
        <x:v>100369</x:v>
      </x:c>
      <x:c r="C379" s="43" t="n">
        <x:f>IF(K379="Boarding school",30,0)+IF(J379&gt;=18,20,0)+IF(I379&lt;=11,10,0)+IF(L379="Has a sixth form",15,0)+IF(M379&gt;=200,10,0)+IF(N379&lt;&gt;"",10,0)</x:f>
        <x:v>65</x:v>
      </x:c>
      <x:c r="D379" s="43" t="str">
        <x:f>IF(C379&gt;=85,"A",IF(C379&gt;=65,"B","C"))</x:f>
        <x:v>B</x:v>
      </x:c>
      <x:c r="E379" s="43" t="str">
        <x:v>The Godolphin and Latymer School</x:v>
      </x:c>
      <x:c r="F379" s="43" t="str">
        <x:v>London</x:v>
      </x:c>
      <x:c r="G379" s="43" t="str"/>
      <x:c r="H379" s="43" t="str">
        <x:v>W6 0PG</x:v>
      </x:c>
      <x:c r="I379" s="43" t="n">
        <x:v>10</x:v>
      </x:c>
      <x:c r="J379" s="43" t="n">
        <x:v>19</x:v>
      </x:c>
      <x:c r="K379" s="43" t="str">
        <x:v>No boarders</x:v>
      </x:c>
      <x:c r="L379" s="43" t="str">
        <x:v>Has a sixth form</x:v>
      </x:c>
      <x:c r="M379" s="43" t="n">
        <x:v>826</x:v>
      </x:c>
      <x:c r="N379" s="43" t="str">
        <x:v>https://www.godolphinandlatymer.com/</x:v>
      </x:c>
      <x:c r="O379" s="43" t="str">
        <x:v>02087411936</x:v>
      </x:c>
      <x:c r="P379" s="43" t="str"/>
      <x:c r="Q379" s="43" t="str"/>
      <x:c r="R379" s="43" t="str">
        <x:v>Queued for contact research</x:v>
      </x:c>
      <x:c r="S379" s="43" t="str">
        <x:v>Not reviewed</x:v>
      </x:c>
      <x:c r="T379" s="43" t="str">
        <x:v>Hold</x:v>
      </x:c>
      <x:c r="U379" s="43" t="str">
        <x:v>No</x:v>
      </x:c>
      <x:c r="V379" s="44"/>
      <x:c r="W379" s="43" t="str"/>
      <x:c r="X379" s="43" t="str"/>
      <x:c r="Y379" s="43" t="str"/>
      <x:c r="Z379" s="43" t="str">
        <x:v>https://www.get-information-schools.service.gov.uk/Downloads</x:v>
      </x:c>
    </x:row>
    <x:row r="380">
      <x:c r="A380" s="43" t="str">
        <x:v>UK independent</x:v>
      </x:c>
      <x:c r="B380" s="43" t="str">
        <x:v>117638</x:v>
      </x:c>
      <x:c r="C380" s="43" t="n">
        <x:f>IF(K380="Boarding school",30,0)+IF(J380&gt;=18,20,0)+IF(I380&lt;=11,10,0)+IF(L380="Has a sixth form",15,0)+IF(M380&gt;=200,10,0)+IF(N380&lt;&gt;"",10,0)</x:f>
        <x:v>65</x:v>
      </x:c>
      <x:c r="D380" s="43" t="str">
        <x:f>IF(C380&gt;=85,"A",IF(C380&gt;=65,"B","C"))</x:f>
        <x:v>B</x:v>
      </x:c>
      <x:c r="E380" s="43" t="str">
        <x:v>St Columba's College</x:v>
      </x:c>
      <x:c r="F380" s="43" t="str">
        <x:v>St Albans</x:v>
      </x:c>
      <x:c r="G380" s="43" t="str">
        <x:v>Hertfordshire</x:v>
      </x:c>
      <x:c r="H380" s="43" t="str">
        <x:v>AL3 4AW</x:v>
      </x:c>
      <x:c r="I380" s="43" t="n">
        <x:v>4</x:v>
      </x:c>
      <x:c r="J380" s="43" t="n">
        <x:v>19</x:v>
      </x:c>
      <x:c r="K380" s="43" t="str">
        <x:v>No boarders</x:v>
      </x:c>
      <x:c r="L380" s="43" t="str">
        <x:v>Has a sixth form</x:v>
      </x:c>
      <x:c r="M380" s="43" t="n">
        <x:v>822</x:v>
      </x:c>
      <x:c r="N380" s="43" t="str">
        <x:v>https://stcolumbascollege.org</x:v>
      </x:c>
      <x:c r="O380" s="43" t="str">
        <x:v>01727855185</x:v>
      </x:c>
      <x:c r="P380" s="43" t="str"/>
      <x:c r="Q380" s="43" t="str"/>
      <x:c r="R380" s="43" t="str">
        <x:v>Queued for contact research</x:v>
      </x:c>
      <x:c r="S380" s="43" t="str">
        <x:v>Not reviewed</x:v>
      </x:c>
      <x:c r="T380" s="43" t="str">
        <x:v>Hold</x:v>
      </x:c>
      <x:c r="U380" s="43" t="str">
        <x:v>No</x:v>
      </x:c>
      <x:c r="V380" s="44"/>
      <x:c r="W380" s="43" t="str"/>
      <x:c r="X380" s="43" t="str"/>
      <x:c r="Y380" s="43" t="str"/>
      <x:c r="Z380" s="43" t="str">
        <x:v>https://www.get-information-schools.service.gov.uk/Downloads</x:v>
      </x:c>
    </x:row>
    <x:row r="381">
      <x:c r="A381" s="43" t="str">
        <x:v>UK independent</x:v>
      </x:c>
      <x:c r="B381" s="43" t="str">
        <x:v>104972</x:v>
      </x:c>
      <x:c r="C381" s="43" t="n">
        <x:f>IF(K381="Boarding school",30,0)+IF(J381&gt;=18,20,0)+IF(I381&lt;=11,10,0)+IF(L381="Has a sixth form",15,0)+IF(M381&gt;=200,10,0)+IF(N381&lt;&gt;"",10,0)</x:f>
        <x:v>65</x:v>
      </x:c>
      <x:c r="D381" s="43" t="str">
        <x:f>IF(C381&gt;=85,"A",IF(C381&gt;=65,"B","C"))</x:f>
        <x:v>B</x:v>
      </x:c>
      <x:c r="E381" s="43" t="str">
        <x:v>St. Mary's College</x:v>
      </x:c>
      <x:c r="F381" s="43" t="str">
        <x:v>Liverpool</x:v>
      </x:c>
      <x:c r="G381" s="43" t="str"/>
      <x:c r="H381" s="43" t="str">
        <x:v>L23 5TW</x:v>
      </x:c>
      <x:c r="I381" s="43" t="n">
        <x:v>0</x:v>
      </x:c>
      <x:c r="J381" s="43" t="n">
        <x:v>18</x:v>
      </x:c>
      <x:c r="K381" s="43" t="str">
        <x:v>No boarders</x:v>
      </x:c>
      <x:c r="L381" s="43" t="str">
        <x:v>Has a sixth form</x:v>
      </x:c>
      <x:c r="M381" s="43" t="n">
        <x:v>818</x:v>
      </x:c>
      <x:c r="N381" s="43" t="str">
        <x:v>https://stmarys.ac/</x:v>
      </x:c>
      <x:c r="O381" s="43" t="str">
        <x:v>01519243926</x:v>
      </x:c>
      <x:c r="P381" s="43" t="str"/>
      <x:c r="Q381" s="43" t="str"/>
      <x:c r="R381" s="43" t="str">
        <x:v>Queued for contact research</x:v>
      </x:c>
      <x:c r="S381" s="43" t="str">
        <x:v>Not reviewed</x:v>
      </x:c>
      <x:c r="T381" s="43" t="str">
        <x:v>Hold</x:v>
      </x:c>
      <x:c r="U381" s="43" t="str">
        <x:v>No</x:v>
      </x:c>
      <x:c r="V381" s="44"/>
      <x:c r="W381" s="43" t="str"/>
      <x:c r="X381" s="43" t="str"/>
      <x:c r="Y381" s="43" t="str"/>
      <x:c r="Z381" s="43" t="str">
        <x:v>https://www.get-information-schools.service.gov.uk/Downloads</x:v>
      </x:c>
    </x:row>
    <x:row r="382">
      <x:c r="A382" s="43" t="str">
        <x:v>UK independent</x:v>
      </x:c>
      <x:c r="B382" s="43" t="str">
        <x:v>103584</x:v>
      </x:c>
      <x:c r="C382" s="43" t="n">
        <x:f>IF(K382="Boarding school",30,0)+IF(J382&gt;=18,20,0)+IF(I382&lt;=11,10,0)+IF(L382="Has a sixth form",15,0)+IF(M382&gt;=200,10,0)+IF(N382&lt;&gt;"",10,0)</x:f>
        <x:v>65</x:v>
      </x:c>
      <x:c r="D382" s="43" t="str">
        <x:f>IF(C382&gt;=85,"A",IF(C382&gt;=65,"B","C"))</x:f>
        <x:v>B</x:v>
      </x:c>
      <x:c r="E382" s="43" t="str">
        <x:v>King Edward's School</x:v>
      </x:c>
      <x:c r="F382" s="43" t="str">
        <x:v>Birmingham</x:v>
      </x:c>
      <x:c r="G382" s="43" t="str">
        <x:v>West Midlands</x:v>
      </x:c>
      <x:c r="H382" s="43" t="str">
        <x:v>B15 2UA</x:v>
      </x:c>
      <x:c r="I382" s="43" t="n">
        <x:v>11</x:v>
      </x:c>
      <x:c r="J382" s="43" t="n">
        <x:v>19</x:v>
      </x:c>
      <x:c r="K382" s="43" t="str">
        <x:v>No boarders</x:v>
      </x:c>
      <x:c r="L382" s="43" t="str">
        <x:v>Has a sixth form</x:v>
      </x:c>
      <x:c r="M382" s="43" t="n">
        <x:v>815</x:v>
      </x:c>
      <x:c r="N382" s="43" t="str">
        <x:v>https://kes.org.uk</x:v>
      </x:c>
      <x:c r="O382" s="43" t="str">
        <x:v>01214721672</x:v>
      </x:c>
      <x:c r="P382" s="43" t="str"/>
      <x:c r="Q382" s="43" t="str"/>
      <x:c r="R382" s="43" t="str">
        <x:v>Queued for contact research</x:v>
      </x:c>
      <x:c r="S382" s="43" t="str">
        <x:v>Not reviewed</x:v>
      </x:c>
      <x:c r="T382" s="43" t="str">
        <x:v>Hold</x:v>
      </x:c>
      <x:c r="U382" s="43" t="str">
        <x:v>No</x:v>
      </x:c>
      <x:c r="V382" s="44"/>
      <x:c r="W382" s="43" t="str"/>
      <x:c r="X382" s="43" t="str"/>
      <x:c r="Y382" s="43" t="str"/>
      <x:c r="Z382" s="43" t="str">
        <x:v>https://www.get-information-schools.service.gov.uk/Downloads</x:v>
      </x:c>
    </x:row>
    <x:row r="383">
      <x:c r="A383" s="43" t="str">
        <x:v>UK independent</x:v>
      </x:c>
      <x:c r="B383" s="43" t="str">
        <x:v>102452</x:v>
      </x:c>
      <x:c r="C383" s="43" t="n">
        <x:f>IF(K383="Boarding school",30,0)+IF(J383&gt;=18,20,0)+IF(I383&lt;=11,10,0)+IF(L383="Has a sixth form",15,0)+IF(M383&gt;=200,10,0)+IF(N383&lt;&gt;"",10,0)</x:f>
        <x:v>65</x:v>
      </x:c>
      <x:c r="D383" s="43" t="str">
        <x:f>IF(C383&gt;=85,"A",IF(C383&gt;=65,"B","C"))</x:f>
        <x:v>B</x:v>
      </x:c>
      <x:c r="E383" s="43" t="str">
        <x:v>Northwood College for Girls GDST</x:v>
      </x:c>
      <x:c r="F383" s="43" t="str">
        <x:v>Northwood</x:v>
      </x:c>
      <x:c r="G383" s="43" t="str">
        <x:v>Middlesex</x:v>
      </x:c>
      <x:c r="H383" s="43" t="str">
        <x:v>HA6 2YE</x:v>
      </x:c>
      <x:c r="I383" s="43" t="n">
        <x:v>3</x:v>
      </x:c>
      <x:c r="J383" s="43" t="n">
        <x:v>19</x:v>
      </x:c>
      <x:c r="K383" s="43" t="str">
        <x:v>No boarders</x:v>
      </x:c>
      <x:c r="L383" s="43" t="str">
        <x:v>Has a sixth form</x:v>
      </x:c>
      <x:c r="M383" s="43" t="n">
        <x:v>814</x:v>
      </x:c>
      <x:c r="N383" s="43" t="str">
        <x:v>https://www.northwoodcollege.gdst.net</x:v>
      </x:c>
      <x:c r="O383" s="43" t="str">
        <x:v>01923825446</x:v>
      </x:c>
      <x:c r="P383" s="43" t="str"/>
      <x:c r="Q383" s="43" t="str"/>
      <x:c r="R383" s="43" t="str">
        <x:v>Queued for contact research</x:v>
      </x:c>
      <x:c r="S383" s="43" t="str">
        <x:v>Not reviewed</x:v>
      </x:c>
      <x:c r="T383" s="43" t="str">
        <x:v>Hold</x:v>
      </x:c>
      <x:c r="U383" s="43" t="str">
        <x:v>No</x:v>
      </x:c>
      <x:c r="V383" s="44"/>
      <x:c r="W383" s="43" t="str"/>
      <x:c r="X383" s="43" t="str"/>
      <x:c r="Y383" s="43" t="str"/>
      <x:c r="Z383" s="43" t="str">
        <x:v>https://www.get-information-schools.service.gov.uk/Downloads</x:v>
      </x:c>
    </x:row>
    <x:row r="384">
      <x:c r="A384" s="43" t="str">
        <x:v>UK independent</x:v>
      </x:c>
      <x:c r="B384" s="43" t="str">
        <x:v>100648</x:v>
      </x:c>
      <x:c r="C384" s="43" t="n">
        <x:f>IF(K384="Boarding school",30,0)+IF(J384&gt;=18,20,0)+IF(I384&lt;=11,10,0)+IF(L384="Has a sixth form",15,0)+IF(M384&gt;=200,10,0)+IF(N384&lt;&gt;"",10,0)</x:f>
        <x:v>65</x:v>
      </x:c>
      <x:c r="D384" s="43" t="str">
        <x:f>IF(C384&gt;=85,"A",IF(C384&gt;=65,"B","C"))</x:f>
        <x:v>B</x:v>
      </x:c>
      <x:c r="E384" s="43" t="str">
        <x:v>Streatham &amp; Clapham High School GDST</x:v>
      </x:c>
      <x:c r="F384" s="43" t="str"/>
      <x:c r="G384" s="43" t="str"/>
      <x:c r="H384" s="43" t="str">
        <x:v>SW16 1AW</x:v>
      </x:c>
      <x:c r="I384" s="43" t="n">
        <x:v>3</x:v>
      </x:c>
      <x:c r="J384" s="43" t="n">
        <x:v>19</x:v>
      </x:c>
      <x:c r="K384" s="43" t="str">
        <x:v>No boarders</x:v>
      </x:c>
      <x:c r="L384" s="43" t="str">
        <x:v>Has a sixth form</x:v>
      </x:c>
      <x:c r="M384" s="43" t="n">
        <x:v>811</x:v>
      </x:c>
      <x:c r="N384" s="43" t="str">
        <x:v>https://www.schs.gdst.net</x:v>
      </x:c>
      <x:c r="O384" s="43" t="str">
        <x:v>02086778400</x:v>
      </x:c>
      <x:c r="P384" s="43" t="str"/>
      <x:c r="Q384" s="43" t="str"/>
      <x:c r="R384" s="43" t="str">
        <x:v>Queued for contact research</x:v>
      </x:c>
      <x:c r="S384" s="43" t="str">
        <x:v>Not reviewed</x:v>
      </x:c>
      <x:c r="T384" s="43" t="str">
        <x:v>Hold</x:v>
      </x:c>
      <x:c r="U384" s="43" t="str">
        <x:v>No</x:v>
      </x:c>
      <x:c r="V384" s="44"/>
      <x:c r="W384" s="43" t="str"/>
      <x:c r="X384" s="43" t="str"/>
      <x:c r="Y384" s="43" t="str"/>
      <x:c r="Z384" s="43" t="str">
        <x:v>https://www.get-information-schools.service.gov.uk/Downloads</x:v>
      </x:c>
    </x:row>
    <x:row r="385">
      <x:c r="A385" s="43" t="str">
        <x:v>UK independent</x:v>
      </x:c>
      <x:c r="B385" s="43" t="str">
        <x:v>110165</x:v>
      </x:c>
      <x:c r="C385" s="43" t="n">
        <x:f>IF(K385="Boarding school",30,0)+IF(J385&gt;=18,20,0)+IF(I385&lt;=11,10,0)+IF(L385="Has a sixth form",15,0)+IF(M385&gt;=200,10,0)+IF(N385&lt;&gt;"",10,0)</x:f>
        <x:v>65</x:v>
      </x:c>
      <x:c r="D385" s="43" t="str">
        <x:f>IF(C385&gt;=85,"A",IF(C385&gt;=65,"B","C"))</x:f>
        <x:v>B</x:v>
      </x:c>
      <x:c r="E385" s="43" t="str">
        <x:v>The Abbey School Reading</x:v>
      </x:c>
      <x:c r="F385" s="43" t="str">
        <x:v>Reading</x:v>
      </x:c>
      <x:c r="G385" s="43" t="str">
        <x:v>Berkshire</x:v>
      </x:c>
      <x:c r="H385" s="43" t="str">
        <x:v>RG1 5DZ</x:v>
      </x:c>
      <x:c r="I385" s="43" t="n">
        <x:v>3</x:v>
      </x:c>
      <x:c r="J385" s="43" t="n">
        <x:v>19</x:v>
      </x:c>
      <x:c r="K385" s="43" t="str">
        <x:v>No boarders</x:v>
      </x:c>
      <x:c r="L385" s="43" t="str">
        <x:v>Has a sixth form</x:v>
      </x:c>
      <x:c r="M385" s="43" t="n">
        <x:v>807</x:v>
      </x:c>
      <x:c r="N385" s="43" t="str">
        <x:v>https://www.theabbey.co.uk</x:v>
      </x:c>
      <x:c r="O385" s="43" t="str">
        <x:v>01189872256</x:v>
      </x:c>
      <x:c r="P385" s="43" t="str"/>
      <x:c r="Q385" s="43" t="str"/>
      <x:c r="R385" s="43" t="str">
        <x:v>Queued for contact research</x:v>
      </x:c>
      <x:c r="S385" s="43" t="str">
        <x:v>Not reviewed</x:v>
      </x:c>
      <x:c r="T385" s="43" t="str">
        <x:v>Hold</x:v>
      </x:c>
      <x:c r="U385" s="43" t="str">
        <x:v>No</x:v>
      </x:c>
      <x:c r="V385" s="44"/>
      <x:c r="W385" s="43" t="str"/>
      <x:c r="X385" s="43" t="str"/>
      <x:c r="Y385" s="43" t="str"/>
      <x:c r="Z385" s="43" t="str">
        <x:v>https://www.get-information-schools.service.gov.uk/Downloads</x:v>
      </x:c>
    </x:row>
    <x:row r="386">
      <x:c r="A386" s="43" t="str">
        <x:v>UK independent</x:v>
      </x:c>
      <x:c r="B386" s="43" t="str">
        <x:v>109335</x:v>
      </x:c>
      <x:c r="C386" s="43" t="n">
        <x:f>IF(K386="Boarding school",30,0)+IF(J386&gt;=18,20,0)+IF(I386&lt;=11,10,0)+IF(L386="Has a sixth form",15,0)+IF(M386&gt;=200,10,0)+IF(N386&lt;&gt;"",10,0)</x:f>
        <x:v>65</x:v>
      </x:c>
      <x:c r="D386" s="43" t="str">
        <x:f>IF(C386&gt;=85,"A",IF(C386&gt;=65,"B","C"))</x:f>
        <x:v>B</x:v>
      </x:c>
      <x:c r="E386" s="43" t="str">
        <x:v>Clifton High School</x:v>
      </x:c>
      <x:c r="F386" s="43" t="str"/>
      <x:c r="G386" s="43" t="str"/>
      <x:c r="H386" s="43" t="str">
        <x:v>BS8 3JD</x:v>
      </x:c>
      <x:c r="I386" s="43" t="n">
        <x:v>3</x:v>
      </x:c>
      <x:c r="J386" s="43" t="n">
        <x:v>19</x:v>
      </x:c>
      <x:c r="K386" s="43" t="str">
        <x:v>No boarders</x:v>
      </x:c>
      <x:c r="L386" s="43" t="str">
        <x:v>Has a sixth form</x:v>
      </x:c>
      <x:c r="M386" s="43" t="n">
        <x:v>803</x:v>
      </x:c>
      <x:c r="N386" s="43" t="str">
        <x:v>https://www.cliftonhigh.co.uk</x:v>
      </x:c>
      <x:c r="O386" s="43" t="str">
        <x:v>01179730201</x:v>
      </x:c>
      <x:c r="P386" s="43" t="str"/>
      <x:c r="Q386" s="43" t="str"/>
      <x:c r="R386" s="43" t="str">
        <x:v>Queued for contact research</x:v>
      </x:c>
      <x:c r="S386" s="43" t="str">
        <x:v>Not reviewed</x:v>
      </x:c>
      <x:c r="T386" s="43" t="str">
        <x:v>Hold</x:v>
      </x:c>
      <x:c r="U386" s="43" t="str">
        <x:v>No</x:v>
      </x:c>
      <x:c r="V386" s="44"/>
      <x:c r="W386" s="43" t="str"/>
      <x:c r="X386" s="43" t="str"/>
      <x:c r="Y386" s="43" t="str"/>
      <x:c r="Z386" s="43" t="str">
        <x:v>https://www.get-information-schools.service.gov.uk/Downloads</x:v>
      </x:c>
    </x:row>
    <x:row r="387">
      <x:c r="A387" s="43" t="str">
        <x:v>UK independent</x:v>
      </x:c>
      <x:c r="B387" s="43" t="str">
        <x:v>121758</x:v>
      </x:c>
      <x:c r="C387" s="43" t="n">
        <x:f>IF(K387="Boarding school",30,0)+IF(J387&gt;=18,20,0)+IF(I387&lt;=11,10,0)+IF(L387="Has a sixth form",15,0)+IF(M387&gt;=200,10,0)+IF(N387&lt;&gt;"",10,0)</x:f>
        <x:v>65</x:v>
      </x:c>
      <x:c r="D387" s="43" t="str">
        <x:f>IF(C387&gt;=85,"A",IF(C387&gt;=65,"B","C"))</x:f>
        <x:v>B</x:v>
      </x:c>
      <x:c r="E387" s="43" t="str">
        <x:v>Ashville College</x:v>
      </x:c>
      <x:c r="F387" s="43" t="str">
        <x:v>Harrogate</x:v>
      </x:c>
      <x:c r="G387" s="43" t="str">
        <x:v>North Yorkshire</x:v>
      </x:c>
      <x:c r="H387" s="43" t="str">
        <x:v>HG2 9JP</x:v>
      </x:c>
      <x:c r="I387" s="43" t="n">
        <x:v>2</x:v>
      </x:c>
      <x:c r="J387" s="43" t="n">
        <x:v>19</x:v>
      </x:c>
      <x:c r="K387" s="43" t="str">
        <x:v>No boarders</x:v>
      </x:c>
      <x:c r="L387" s="43" t="str">
        <x:v>Has a sixth form</x:v>
      </x:c>
      <x:c r="M387" s="43" t="n">
        <x:v>797</x:v>
      </x:c>
      <x:c r="N387" s="43" t="str">
        <x:v>http://www.ashville.co.uk</x:v>
      </x:c>
      <x:c r="O387" s="43" t="str">
        <x:v>01423566358</x:v>
      </x:c>
      <x:c r="P387" s="43" t="str"/>
      <x:c r="Q387" s="43" t="str"/>
      <x:c r="R387" s="43" t="str">
        <x:v>Queued for contact research</x:v>
      </x:c>
      <x:c r="S387" s="43" t="str">
        <x:v>Not reviewed</x:v>
      </x:c>
      <x:c r="T387" s="43" t="str">
        <x:v>Hold</x:v>
      </x:c>
      <x:c r="U387" s="43" t="str">
        <x:v>No</x:v>
      </x:c>
      <x:c r="V387" s="44"/>
      <x:c r="W387" s="43" t="str"/>
      <x:c r="X387" s="43" t="str"/>
      <x:c r="Y387" s="43" t="str"/>
      <x:c r="Z387" s="43" t="str">
        <x:v>https://www.get-information-schools.service.gov.uk/Downloads</x:v>
      </x:c>
    </x:row>
    <x:row r="388">
      <x:c r="A388" s="43" t="str">
        <x:v>UK independent</x:v>
      </x:c>
      <x:c r="B388" s="43" t="str">
        <x:v>103567</x:v>
      </x:c>
      <x:c r="C388" s="43" t="n">
        <x:f>IF(K388="Boarding school",30,0)+IF(J388&gt;=18,20,0)+IF(I388&lt;=11,10,0)+IF(L388="Has a sixth form",15,0)+IF(M388&gt;=200,10,0)+IF(N388&lt;&gt;"",10,0)</x:f>
        <x:v>65</x:v>
      </x:c>
      <x:c r="D388" s="43" t="str">
        <x:f>IF(C388&gt;=85,"A",IF(C388&gt;=65,"B","C"))</x:f>
        <x:v>B</x:v>
      </x:c>
      <x:c r="E388" s="43" t="str">
        <x:v>Edgbaston High School for Girls</x:v>
      </x:c>
      <x:c r="F388" s="43" t="str">
        <x:v>Birmingham</x:v>
      </x:c>
      <x:c r="G388" s="43" t="str">
        <x:v>West Midlands</x:v>
      </x:c>
      <x:c r="H388" s="43" t="str">
        <x:v>B15 3TS</x:v>
      </x:c>
      <x:c r="I388" s="43" t="n">
        <x:v>2</x:v>
      </x:c>
      <x:c r="J388" s="43" t="n">
        <x:v>19</x:v>
      </x:c>
      <x:c r="K388" s="43" t="str">
        <x:v>No boarders</x:v>
      </x:c>
      <x:c r="L388" s="43" t="str">
        <x:v>Has a sixth form</x:v>
      </x:c>
      <x:c r="M388" s="43" t="n">
        <x:v>797</x:v>
      </x:c>
      <x:c r="N388" s="43" t="str">
        <x:v>https://www.edgbastonhigh.co.uk/</x:v>
      </x:c>
      <x:c r="O388" s="43" t="str">
        <x:v>01214545831</x:v>
      </x:c>
      <x:c r="P388" s="43" t="str"/>
      <x:c r="Q388" s="43" t="str"/>
      <x:c r="R388" s="43" t="str">
        <x:v>Queued for contact research</x:v>
      </x:c>
      <x:c r="S388" s="43" t="str">
        <x:v>Not reviewed</x:v>
      </x:c>
      <x:c r="T388" s="43" t="str">
        <x:v>Hold</x:v>
      </x:c>
      <x:c r="U388" s="43" t="str">
        <x:v>No</x:v>
      </x:c>
      <x:c r="V388" s="44"/>
      <x:c r="W388" s="43" t="str"/>
      <x:c r="X388" s="43" t="str"/>
      <x:c r="Y388" s="43" t="str"/>
      <x:c r="Z388" s="43" t="str">
        <x:v>https://www.get-information-schools.service.gov.uk/Downloads</x:v>
      </x:c>
    </x:row>
    <x:row r="389">
      <x:c r="A389" s="43" t="str">
        <x:v>UK independent</x:v>
      </x:c>
      <x:c r="B389" s="43" t="str">
        <x:v>100001</x:v>
      </x:c>
      <x:c r="C389" s="43" t="n">
        <x:f>IF(K389="Boarding school",30,0)+IF(J389&gt;=18,20,0)+IF(I389&lt;=11,10,0)+IF(L389="Has a sixth form",15,0)+IF(M389&gt;=200,10,0)+IF(N389&lt;&gt;"",10,0)</x:f>
        <x:v>65</x:v>
      </x:c>
      <x:c r="D389" s="43" t="str">
        <x:f>IF(C389&gt;=85,"A",IF(C389&gt;=65,"B","C"))</x:f>
        <x:v>B</x:v>
      </x:c>
      <x:c r="E389" s="43" t="str">
        <x:v>City of London School for Girls</x:v>
      </x:c>
      <x:c r="F389" s="43" t="str">
        <x:v>London</x:v>
      </x:c>
      <x:c r="G389" s="43" t="str"/>
      <x:c r="H389" s="43" t="str">
        <x:v>EC2Y 8BB</x:v>
      </x:c>
      <x:c r="I389" s="43" t="n">
        <x:v>10</x:v>
      </x:c>
      <x:c r="J389" s="43" t="n">
        <x:v>18</x:v>
      </x:c>
      <x:c r="K389" s="43" t="str">
        <x:v>No boarders</x:v>
      </x:c>
      <x:c r="L389" s="43" t="str">
        <x:v>Has a sixth form</x:v>
      </x:c>
      <x:c r="M389" s="43" t="n">
        <x:v>794</x:v>
      </x:c>
      <x:c r="N389" s="43" t="str">
        <x:v>http://www.clsg.org.uk</x:v>
      </x:c>
      <x:c r="O389" s="43" t="str">
        <x:v>02078475500</x:v>
      </x:c>
      <x:c r="P389" s="43" t="str"/>
      <x:c r="Q389" s="43" t="str"/>
      <x:c r="R389" s="43" t="str">
        <x:v>Queued for contact research</x:v>
      </x:c>
      <x:c r="S389" s="43" t="str">
        <x:v>Not reviewed</x:v>
      </x:c>
      <x:c r="T389" s="43" t="str">
        <x:v>Hold</x:v>
      </x:c>
      <x:c r="U389" s="43" t="str">
        <x:v>No</x:v>
      </x:c>
      <x:c r="V389" s="44"/>
      <x:c r="W389" s="43" t="str"/>
      <x:c r="X389" s="43" t="str"/>
      <x:c r="Y389" s="43" t="str"/>
      <x:c r="Z389" s="43" t="str">
        <x:v>https://www.get-information-schools.service.gov.uk/Downloads</x:v>
      </x:c>
    </x:row>
    <x:row r="390">
      <x:c r="A390" s="43" t="str">
        <x:v>UK independent</x:v>
      </x:c>
      <x:c r="B390" s="43" t="str">
        <x:v>109371</x:v>
      </x:c>
      <x:c r="C390" s="43" t="n">
        <x:f>IF(K390="Boarding school",30,0)+IF(J390&gt;=18,20,0)+IF(I390&lt;=11,10,0)+IF(L390="Has a sixth form",15,0)+IF(M390&gt;=200,10,0)+IF(N390&lt;&gt;"",10,0)</x:f>
        <x:v>65</x:v>
      </x:c>
      <x:c r="D390" s="43" t="str">
        <x:f>IF(C390&gt;=85,"A",IF(C390&gt;=65,"B","C"))</x:f>
        <x:v>B</x:v>
      </x:c>
      <x:c r="E390" s="43" t="str">
        <x:v>Redmaids' High School</x:v>
      </x:c>
      <x:c r="F390" s="43" t="str">
        <x:v>Bristol</x:v>
      </x:c>
      <x:c r="G390" s="43" t="str"/>
      <x:c r="H390" s="43" t="str">
        <x:v>BS9 3AW</x:v>
      </x:c>
      <x:c r="I390" s="43" t="n">
        <x:v>6</x:v>
      </x:c>
      <x:c r="J390" s="43" t="n">
        <x:v>19</x:v>
      </x:c>
      <x:c r="K390" s="43" t="str">
        <x:v>No boarders</x:v>
      </x:c>
      <x:c r="L390" s="43" t="str">
        <x:v>Has a sixth form</x:v>
      </x:c>
      <x:c r="M390" s="43" t="n">
        <x:v>789</x:v>
      </x:c>
      <x:c r="N390" s="43" t="str">
        <x:v>https://redmaidshigh.co.uk</x:v>
      </x:c>
      <x:c r="O390" s="43" t="str">
        <x:v>01179622641</x:v>
      </x:c>
      <x:c r="P390" s="43" t="str"/>
      <x:c r="Q390" s="43" t="str"/>
      <x:c r="R390" s="43" t="str">
        <x:v>Queued for contact research</x:v>
      </x:c>
      <x:c r="S390" s="43" t="str">
        <x:v>Not reviewed</x:v>
      </x:c>
      <x:c r="T390" s="43" t="str">
        <x:v>Hold</x:v>
      </x:c>
      <x:c r="U390" s="43" t="str">
        <x:v>No</x:v>
      </x:c>
      <x:c r="V390" s="44"/>
      <x:c r="W390" s="43" t="str"/>
      <x:c r="X390" s="43" t="str"/>
      <x:c r="Y390" s="43" t="str"/>
      <x:c r="Z390" s="43" t="str">
        <x:v>https://www.get-information-schools.service.gov.uk/Downloads</x:v>
      </x:c>
    </x:row>
    <x:row r="391">
      <x:c r="A391" s="43" t="str">
        <x:v>UK independent</x:v>
      </x:c>
      <x:c r="B391" s="43" t="str">
        <x:v>125345</x:v>
      </x:c>
      <x:c r="C391" s="43" t="n">
        <x:f>IF(K391="Boarding school",30,0)+IF(J391&gt;=18,20,0)+IF(I391&lt;=11,10,0)+IF(L391="Has a sixth form",15,0)+IF(M391&gt;=200,10,0)+IF(N391&lt;&gt;"",10,0)</x:f>
        <x:v>65</x:v>
      </x:c>
      <x:c r="D391" s="43" t="str">
        <x:f>IF(C391&gt;=85,"A",IF(C391&gt;=65,"B","C"))</x:f>
        <x:v>B</x:v>
      </x:c>
      <x:c r="E391" s="43" t="str">
        <x:v>Tormead School</x:v>
      </x:c>
      <x:c r="F391" s="43" t="str">
        <x:v>Guildford</x:v>
      </x:c>
      <x:c r="G391" s="43" t="str">
        <x:v>Surrey</x:v>
      </x:c>
      <x:c r="H391" s="43" t="str">
        <x:v>GU1 2JD</x:v>
      </x:c>
      <x:c r="I391" s="43" t="n">
        <x:v>4</x:v>
      </x:c>
      <x:c r="J391" s="43" t="n">
        <x:v>18</x:v>
      </x:c>
      <x:c r="K391" s="43" t="str">
        <x:v>No boarders</x:v>
      </x:c>
      <x:c r="L391" s="43" t="str">
        <x:v>Has a sixth form</x:v>
      </x:c>
      <x:c r="M391" s="43" t="n">
        <x:v>786</x:v>
      </x:c>
      <x:c r="N391" s="43" t="str">
        <x:v>https://Www.tormeadschool.org.uk</x:v>
      </x:c>
      <x:c r="O391" s="43" t="str">
        <x:v>01483575101</x:v>
      </x:c>
      <x:c r="P391" s="43" t="str"/>
      <x:c r="Q391" s="43" t="str"/>
      <x:c r="R391" s="43" t="str">
        <x:v>Queued for contact research</x:v>
      </x:c>
      <x:c r="S391" s="43" t="str">
        <x:v>Not reviewed</x:v>
      </x:c>
      <x:c r="T391" s="43" t="str">
        <x:v>Hold</x:v>
      </x:c>
      <x:c r="U391" s="43" t="str">
        <x:v>No</x:v>
      </x:c>
      <x:c r="V391" s="44"/>
      <x:c r="W391" s="43" t="str"/>
      <x:c r="X391" s="43" t="str"/>
      <x:c r="Y391" s="43" t="str"/>
      <x:c r="Z391" s="43" t="str">
        <x:v>https://www.get-information-schools.service.gov.uk/Downloads</x:v>
      </x:c>
    </x:row>
    <x:row r="392">
      <x:c r="A392" s="43" t="str">
        <x:v>UK independent</x:v>
      </x:c>
      <x:c r="B392" s="43" t="str">
        <x:v>119836</x:v>
      </x:c>
      <x:c r="C392" s="43" t="n">
        <x:f>IF(K392="Boarding school",30,0)+IF(J392&gt;=18,20,0)+IF(I392&lt;=11,10,0)+IF(L392="Has a sixth form",15,0)+IF(M392&gt;=200,10,0)+IF(N392&lt;&gt;"",10,0)</x:f>
        <x:v>65</x:v>
      </x:c>
      <x:c r="D392" s="43" t="str">
        <x:f>IF(C392&gt;=85,"A",IF(C392&gt;=65,"B","C"))</x:f>
        <x:v>B</x:v>
      </x:c>
      <x:c r="E392" s="43" t="str">
        <x:v>AKS Lytham</x:v>
      </x:c>
      <x:c r="F392" s="43" t="str">
        <x:v>Lytham St Annes</x:v>
      </x:c>
      <x:c r="G392" s="43" t="str">
        <x:v>Lancashire</x:v>
      </x:c>
      <x:c r="H392" s="43" t="str">
        <x:v>FY8 1DT</x:v>
      </x:c>
      <x:c r="I392" s="43" t="n">
        <x:v>0</x:v>
      </x:c>
      <x:c r="J392" s="43" t="n">
        <x:v>19</x:v>
      </x:c>
      <x:c r="K392" s="43" t="str">
        <x:v>No boarders</x:v>
      </x:c>
      <x:c r="L392" s="43" t="str">
        <x:v>Has a sixth form</x:v>
      </x:c>
      <x:c r="M392" s="43" t="n">
        <x:v>785</x:v>
      </x:c>
      <x:c r="N392" s="43" t="str">
        <x:v>http://www.akslytham.com</x:v>
      </x:c>
      <x:c r="O392" s="43" t="str">
        <x:v>01253784100</x:v>
      </x:c>
      <x:c r="P392" s="43" t="str"/>
      <x:c r="Q392" s="43" t="str"/>
      <x:c r="R392" s="43" t="str">
        <x:v>Queued for contact research</x:v>
      </x:c>
      <x:c r="S392" s="43" t="str">
        <x:v>Not reviewed</x:v>
      </x:c>
      <x:c r="T392" s="43" t="str">
        <x:v>Hold</x:v>
      </x:c>
      <x:c r="U392" s="43" t="str">
        <x:v>No</x:v>
      </x:c>
      <x:c r="V392" s="44"/>
      <x:c r="W392" s="43" t="str"/>
      <x:c r="X392" s="43" t="str"/>
      <x:c r="Y392" s="43" t="str"/>
      <x:c r="Z392" s="43" t="str">
        <x:v>https://www.get-information-schools.service.gov.uk/Downloads</x:v>
      </x:c>
    </x:row>
    <x:row r="393">
      <x:c r="A393" s="43" t="str">
        <x:v>UK independent</x:v>
      </x:c>
      <x:c r="B393" s="43" t="str">
        <x:v>102247</x:v>
      </x:c>
      <x:c r="C393" s="43" t="n">
        <x:f>IF(K393="Boarding school",30,0)+IF(J393&gt;=18,20,0)+IF(I393&lt;=11,10,0)+IF(L393="Has a sixth form",15,0)+IF(M393&gt;=200,10,0)+IF(N393&lt;&gt;"",10,0)</x:f>
        <x:v>65</x:v>
      </x:c>
      <x:c r="D393" s="43" t="str">
        <x:f>IF(C393&gt;=85,"A",IF(C393&gt;=65,"B","C"))</x:f>
        <x:v>B</x:v>
      </x:c>
      <x:c r="E393" s="43" t="str">
        <x:v>The John Lyon School</x:v>
      </x:c>
      <x:c r="F393" s="43" t="str">
        <x:v>Harrow-on-the-Hill</x:v>
      </x:c>
      <x:c r="G393" s="43" t="str"/>
      <x:c r="H393" s="43" t="str">
        <x:v>HA2 0HN</x:v>
      </x:c>
      <x:c r="I393" s="43" t="n">
        <x:v>2</x:v>
      </x:c>
      <x:c r="J393" s="43" t="n">
        <x:v>18</x:v>
      </x:c>
      <x:c r="K393" s="43" t="str">
        <x:v>No boarders</x:v>
      </x:c>
      <x:c r="L393" s="43" t="str">
        <x:v>Has a sixth form</x:v>
      </x:c>
      <x:c r="M393" s="43" t="n">
        <x:v>781</x:v>
      </x:c>
      <x:c r="N393" s="43" t="str">
        <x:v>https://www.johnlyon.org</x:v>
      </x:c>
      <x:c r="O393" s="43" t="str">
        <x:v>02085159400</x:v>
      </x:c>
      <x:c r="P393" s="43" t="str"/>
      <x:c r="Q393" s="43" t="str"/>
      <x:c r="R393" s="43" t="str">
        <x:v>Queued for contact research</x:v>
      </x:c>
      <x:c r="S393" s="43" t="str">
        <x:v>Not reviewed</x:v>
      </x:c>
      <x:c r="T393" s="43" t="str">
        <x:v>Hold</x:v>
      </x:c>
      <x:c r="U393" s="43" t="str">
        <x:v>No</x:v>
      </x:c>
      <x:c r="V393" s="44"/>
      <x:c r="W393" s="43" t="str"/>
      <x:c r="X393" s="43" t="str"/>
      <x:c r="Y393" s="43" t="str"/>
      <x:c r="Z393" s="43" t="str">
        <x:v>https://www.get-information-schools.service.gov.uk/Downloads</x:v>
      </x:c>
    </x:row>
    <x:row r="394">
      <x:c r="A394" s="43" t="str">
        <x:v>UK independent</x:v>
      </x:c>
      <x:c r="B394" s="43" t="str">
        <x:v>109717</x:v>
      </x:c>
      <x:c r="C394" s="43" t="n">
        <x:f>IF(K394="Boarding school",30,0)+IF(J394&gt;=18,20,0)+IF(I394&lt;=11,10,0)+IF(L394="Has a sixth form",15,0)+IF(M394&gt;=200,10,0)+IF(N394&lt;&gt;"",10,0)</x:f>
        <x:v>65</x:v>
      </x:c>
      <x:c r="D394" s="43" t="str">
        <x:f>IF(C394&gt;=85,"A",IF(C394&gt;=65,"B","C"))</x:f>
        <x:v>B</x:v>
      </x:c>
      <x:c r="E394" s="43" t="str">
        <x:v>Bedford Greenacre Independent School</x:v>
      </x:c>
      <x:c r="F394" s="43" t="str">
        <x:v>Bedford</x:v>
      </x:c>
      <x:c r="G394" s="43" t="str"/>
      <x:c r="H394" s="43" t="str">
        <x:v>MK41 7FZ</x:v>
      </x:c>
      <x:c r="I394" s="43" t="n">
        <x:v>0</x:v>
      </x:c>
      <x:c r="J394" s="43" t="n">
        <x:v>18</x:v>
      </x:c>
      <x:c r="K394" s="43" t="str">
        <x:v>No boarders</x:v>
      </x:c>
      <x:c r="L394" s="43" t="str">
        <x:v>Has a sixth form</x:v>
      </x:c>
      <x:c r="M394" s="43" t="n">
        <x:v>775</x:v>
      </x:c>
      <x:c r="N394" s="43" t="str">
        <x:v>https://www.bedfordgreenacre.co.uk</x:v>
      </x:c>
      <x:c r="O394" s="43" t="str">
        <x:v>01234352031</x:v>
      </x:c>
      <x:c r="P394" s="43" t="str"/>
      <x:c r="Q394" s="43" t="str"/>
      <x:c r="R394" s="43" t="str">
        <x:v>Queued for contact research</x:v>
      </x:c>
      <x:c r="S394" s="43" t="str">
        <x:v>Not reviewed</x:v>
      </x:c>
      <x:c r="T394" s="43" t="str">
        <x:v>Hold</x:v>
      </x:c>
      <x:c r="U394" s="43" t="str">
        <x:v>No</x:v>
      </x:c>
      <x:c r="V394" s="44"/>
      <x:c r="W394" s="43" t="str"/>
      <x:c r="X394" s="43" t="str"/>
      <x:c r="Y394" s="43" t="str"/>
      <x:c r="Z394" s="43" t="str">
        <x:v>https://www.get-information-schools.service.gov.uk/Downloads</x:v>
      </x:c>
    </x:row>
    <x:row r="395">
      <x:c r="A395" s="43" t="str">
        <x:v>UK independent</x:v>
      </x:c>
      <x:c r="B395" s="43" t="str">
        <x:v>101845</x:v>
      </x:c>
      <x:c r="C395" s="43" t="n">
        <x:f>IF(K395="Boarding school",30,0)+IF(J395&gt;=18,20,0)+IF(I395&lt;=11,10,0)+IF(L395="Has a sixth form",15,0)+IF(M395&gt;=200,10,0)+IF(N395&lt;&gt;"",10,0)</x:f>
        <x:v>65</x:v>
      </x:c>
      <x:c r="D395" s="43" t="str">
        <x:f>IF(C395&gt;=85,"A",IF(C395&gt;=65,"B","C"))</x:f>
        <x:v>B</x:v>
      </x:c>
      <x:c r="E395" s="43" t="str">
        <x:v>Croydon High School</x:v>
      </x:c>
      <x:c r="F395" s="43" t="str">
        <x:v>South Croydon</x:v>
      </x:c>
      <x:c r="G395" s="43" t="str">
        <x:v>Surrey</x:v>
      </x:c>
      <x:c r="H395" s="43" t="str">
        <x:v>CR2 8YB</x:v>
      </x:c>
      <x:c r="I395" s="43" t="n">
        <x:v>3</x:v>
      </x:c>
      <x:c r="J395" s="43" t="n">
        <x:v>19</x:v>
      </x:c>
      <x:c r="K395" s="43" t="str">
        <x:v>No boarders</x:v>
      </x:c>
      <x:c r="L395" s="43" t="str">
        <x:v>Has a sixth form</x:v>
      </x:c>
      <x:c r="M395" s="43" t="n">
        <x:v>773</x:v>
      </x:c>
      <x:c r="N395" s="43" t="str">
        <x:v>https://www.gdst.net/CroydonHigh</x:v>
      </x:c>
      <x:c r="O395" s="43" t="str">
        <x:v>02082607500</x:v>
      </x:c>
      <x:c r="P395" s="43" t="str"/>
      <x:c r="Q395" s="43" t="str"/>
      <x:c r="R395" s="43" t="str">
        <x:v>Queued for contact research</x:v>
      </x:c>
      <x:c r="S395" s="43" t="str">
        <x:v>Not reviewed</x:v>
      </x:c>
      <x:c r="T395" s="43" t="str">
        <x:v>Hold</x:v>
      </x:c>
      <x:c r="U395" s="43" t="str">
        <x:v>No</x:v>
      </x:c>
      <x:c r="V395" s="44"/>
      <x:c r="W395" s="43" t="str"/>
      <x:c r="X395" s="43" t="str"/>
      <x:c r="Y395" s="43" t="str"/>
      <x:c r="Z395" s="43" t="str">
        <x:v>https://www.get-information-schools.service.gov.uk/Downloads</x:v>
      </x:c>
    </x:row>
    <x:row r="396">
      <x:c r="A396" s="43" t="str">
        <x:v>UK independent</x:v>
      </x:c>
      <x:c r="B396" s="43" t="str">
        <x:v>111769</x:v>
      </x:c>
      <x:c r="C396" s="43" t="n">
        <x:f>IF(K396="Boarding school",30,0)+IF(J396&gt;=18,20,0)+IF(I396&lt;=11,10,0)+IF(L396="Has a sixth form",15,0)+IF(M396&gt;=200,10,0)+IF(N396&lt;&gt;"",10,0)</x:f>
        <x:v>65</x:v>
      </x:c>
      <x:c r="D396" s="43" t="str">
        <x:f>IF(C396&gt;=85,"A",IF(C396&gt;=65,"B","C"))</x:f>
        <x:v>B</x:v>
      </x:c>
      <x:c r="E396" s="43" t="str">
        <x:v>Yarm School</x:v>
      </x:c>
      <x:c r="F396" s="43" t="str">
        <x:v>Yarm</x:v>
      </x:c>
      <x:c r="G396" s="43" t="str"/>
      <x:c r="H396" s="43" t="str">
        <x:v>TS15 9EJ</x:v>
      </x:c>
      <x:c r="I396" s="43" t="n">
        <x:v>11</x:v>
      </x:c>
      <x:c r="J396" s="43" t="n">
        <x:v>18</x:v>
      </x:c>
      <x:c r="K396" s="43" t="str">
        <x:v>No boarders</x:v>
      </x:c>
      <x:c r="L396" s="43" t="str">
        <x:v>Has a sixth form</x:v>
      </x:c>
      <x:c r="M396" s="43" t="n">
        <x:v>771</x:v>
      </x:c>
      <x:c r="N396" s="43" t="str">
        <x:v>http://www.yarmschool.org/</x:v>
      </x:c>
      <x:c r="O396" s="43" t="str">
        <x:v>01642786023</x:v>
      </x:c>
      <x:c r="P396" s="43" t="str"/>
      <x:c r="Q396" s="43" t="str"/>
      <x:c r="R396" s="43" t="str">
        <x:v>Queued for contact research</x:v>
      </x:c>
      <x:c r="S396" s="43" t="str">
        <x:v>Not reviewed</x:v>
      </x:c>
      <x:c r="T396" s="43" t="str">
        <x:v>Hold</x:v>
      </x:c>
      <x:c r="U396" s="43" t="str">
        <x:v>No</x:v>
      </x:c>
      <x:c r="V396" s="44"/>
      <x:c r="W396" s="43" t="str"/>
      <x:c r="X396" s="43" t="str"/>
      <x:c r="Y396" s="43" t="str"/>
      <x:c r="Z396" s="43" t="str">
        <x:v>https://www.get-information-schools.service.gov.uk/Downloads</x:v>
      </x:c>
    </x:row>
    <x:row r="397">
      <x:c r="A397" s="43" t="str">
        <x:v>UK independent</x:v>
      </x:c>
      <x:c r="B397" s="43" t="str">
        <x:v>109370</x:v>
      </x:c>
      <x:c r="C397" s="43" t="n">
        <x:f>IF(K397="Boarding school",30,0)+IF(J397&gt;=18,20,0)+IF(I397&lt;=11,10,0)+IF(L397="Has a sixth form",15,0)+IF(M397&gt;=200,10,0)+IF(N397&lt;&gt;"",10,0)</x:f>
        <x:v>65</x:v>
      </x:c>
      <x:c r="D397" s="43" t="str">
        <x:f>IF(C397&gt;=85,"A",IF(C397&gt;=65,"B","C"))</x:f>
        <x:v>B</x:v>
      </x:c>
      <x:c r="E397" s="43" t="str">
        <x:v>Queen Elizabeth's Hospital</x:v>
      </x:c>
      <x:c r="F397" s="43" t="str">
        <x:v>Bristol</x:v>
      </x:c>
      <x:c r="G397" s="43" t="str">
        <x:v>Bristol</x:v>
      </x:c>
      <x:c r="H397" s="43" t="str">
        <x:v>BS8 1JX</x:v>
      </x:c>
      <x:c r="I397" s="43" t="n">
        <x:v>7</x:v>
      </x:c>
      <x:c r="J397" s="43" t="n">
        <x:v>18</x:v>
      </x:c>
      <x:c r="K397" s="43" t="str">
        <x:v>No boarders</x:v>
      </x:c>
      <x:c r="L397" s="43" t="str">
        <x:v>Has a sixth form</x:v>
      </x:c>
      <x:c r="M397" s="43" t="n">
        <x:v>764</x:v>
      </x:c>
      <x:c r="N397" s="43" t="str">
        <x:v>https://www.qehbristol.co.uk</x:v>
      </x:c>
      <x:c r="O397" s="43" t="str">
        <x:v>01179303040</x:v>
      </x:c>
      <x:c r="P397" s="43" t="str"/>
      <x:c r="Q397" s="43" t="str"/>
      <x:c r="R397" s="43" t="str">
        <x:v>Queued for contact research</x:v>
      </x:c>
      <x:c r="S397" s="43" t="str">
        <x:v>Not reviewed</x:v>
      </x:c>
      <x:c r="T397" s="43" t="str">
        <x:v>Hold</x:v>
      </x:c>
      <x:c r="U397" s="43" t="str">
        <x:v>No</x:v>
      </x:c>
      <x:c r="V397" s="44"/>
      <x:c r="W397" s="43" t="str"/>
      <x:c r="X397" s="43" t="str"/>
      <x:c r="Y397" s="43" t="str"/>
      <x:c r="Z397" s="43" t="str">
        <x:v>https://www.get-information-schools.service.gov.uk/Downloads</x:v>
      </x:c>
    </x:row>
    <x:row r="398">
      <x:c r="A398" s="43" t="str">
        <x:v>UK independent</x:v>
      </x:c>
      <x:c r="B398" s="43" t="str">
        <x:v>123310</x:v>
      </x:c>
      <x:c r="C398" s="43" t="n">
        <x:f>IF(K398="Boarding school",30,0)+IF(J398&gt;=18,20,0)+IF(I398&lt;=11,10,0)+IF(L398="Has a sixth form",15,0)+IF(M398&gt;=200,10,0)+IF(N398&lt;&gt;"",10,0)</x:f>
        <x:v>65</x:v>
      </x:c>
      <x:c r="D398" s="43" t="str">
        <x:f>IF(C398&gt;=85,"A",IF(C398&gt;=65,"B","C"))</x:f>
        <x:v>B</x:v>
      </x:c>
      <x:c r="E398" s="43" t="str">
        <x:v>Oxford High School GDST</x:v>
      </x:c>
      <x:c r="F398" s="43" t="str">
        <x:v>Oxford</x:v>
      </x:c>
      <x:c r="G398" s="43" t="str"/>
      <x:c r="H398" s="43" t="str">
        <x:v>OX2 6XA</x:v>
      </x:c>
      <x:c r="I398" s="43" t="n">
        <x:v>4</x:v>
      </x:c>
      <x:c r="J398" s="43" t="n">
        <x:v>19</x:v>
      </x:c>
      <x:c r="K398" s="43" t="str">
        <x:v>No boarders</x:v>
      </x:c>
      <x:c r="L398" s="43" t="str">
        <x:v>Has a sixth form</x:v>
      </x:c>
      <x:c r="M398" s="43" t="n">
        <x:v>756</x:v>
      </x:c>
      <x:c r="N398" s="43" t="str">
        <x:v>http://oxfordhigh.gdst.net/</x:v>
      </x:c>
      <x:c r="O398" s="43" t="str">
        <x:v>01865559888</x:v>
      </x:c>
      <x:c r="P398" s="43" t="str"/>
      <x:c r="Q398" s="43" t="str"/>
      <x:c r="R398" s="43" t="str">
        <x:v>Queued for contact research</x:v>
      </x:c>
      <x:c r="S398" s="43" t="str">
        <x:v>Not reviewed</x:v>
      </x:c>
      <x:c r="T398" s="43" t="str">
        <x:v>Hold</x:v>
      </x:c>
      <x:c r="U398" s="43" t="str">
        <x:v>No</x:v>
      </x:c>
      <x:c r="V398" s="44"/>
      <x:c r="W398" s="43" t="str"/>
      <x:c r="X398" s="43" t="str"/>
      <x:c r="Y398" s="43" t="str"/>
      <x:c r="Z398" s="43" t="str">
        <x:v>https://www.get-information-schools.service.gov.uk/Downloads</x:v>
      </x:c>
    </x:row>
    <x:row r="399">
      <x:c r="A399" s="43" t="str">
        <x:v>UK independent</x:v>
      </x:c>
      <x:c r="B399" s="43" t="str">
        <x:v>104411</x:v>
      </x:c>
      <x:c r="C399" s="43" t="n">
        <x:f>IF(K399="Boarding school",30,0)+IF(J399&gt;=18,20,0)+IF(I399&lt;=11,10,0)+IF(L399="Has a sixth form",15,0)+IF(M399&gt;=200,10,0)+IF(N399&lt;&gt;"",10,0)</x:f>
        <x:v>65</x:v>
      </x:c>
      <x:c r="D399" s="43" t="str">
        <x:f>IF(C399&gt;=85,"A",IF(C399&gt;=65,"B","C"))</x:f>
        <x:v>B</x:v>
      </x:c>
      <x:c r="E399" s="43" t="str">
        <x:v>Wolverhampton Grammar School</x:v>
      </x:c>
      <x:c r="F399" s="43" t="str">
        <x:v>Wolverhampton</x:v>
      </x:c>
      <x:c r="G399" s="43" t="str">
        <x:v>West Midlands</x:v>
      </x:c>
      <x:c r="H399" s="43" t="str">
        <x:v>WV3 9RB</x:v>
      </x:c>
      <x:c r="I399" s="43" t="n">
        <x:v>4</x:v>
      </x:c>
      <x:c r="J399" s="43" t="n">
        <x:v>18</x:v>
      </x:c>
      <x:c r="K399" s="43" t="str">
        <x:v>No boarders</x:v>
      </x:c>
      <x:c r="L399" s="43" t="str">
        <x:v>Has a sixth form</x:v>
      </x:c>
      <x:c r="M399" s="43" t="n">
        <x:v>739</x:v>
      </x:c>
      <x:c r="N399" s="43" t="str">
        <x:v>http://www.wgs.org.uk/</x:v>
      </x:c>
      <x:c r="O399" s="43" t="str">
        <x:v>01902421326</x:v>
      </x:c>
      <x:c r="P399" s="43" t="str"/>
      <x:c r="Q399" s="43" t="str"/>
      <x:c r="R399" s="43" t="str">
        <x:v>Queued for contact research</x:v>
      </x:c>
      <x:c r="S399" s="43" t="str">
        <x:v>Not reviewed</x:v>
      </x:c>
      <x:c r="T399" s="43" t="str">
        <x:v>Hold</x:v>
      </x:c>
      <x:c r="U399" s="43" t="str">
        <x:v>No</x:v>
      </x:c>
      <x:c r="V399" s="44"/>
      <x:c r="W399" s="43" t="str"/>
      <x:c r="X399" s="43" t="str"/>
      <x:c r="Y399" s="43" t="str"/>
      <x:c r="Z399" s="43" t="str">
        <x:v>https://www.get-information-schools.service.gov.uk/Downloads</x:v>
      </x:c>
    </x:row>
    <x:row r="400">
      <x:c r="A400" s="43" t="str">
        <x:v>UK independent</x:v>
      </x:c>
      <x:c r="B400" s="43" t="str">
        <x:v>109336</x:v>
      </x:c>
      <x:c r="C400" s="43" t="n">
        <x:f>IF(K400="Boarding school",30,0)+IF(J400&gt;=18,20,0)+IF(I400&lt;=11,10,0)+IF(L400="Has a sixth form",15,0)+IF(M400&gt;=200,10,0)+IF(N400&lt;&gt;"",10,0)</x:f>
        <x:v>65</x:v>
      </x:c>
      <x:c r="D400" s="43" t="str">
        <x:f>IF(C400&gt;=85,"A",IF(C400&gt;=65,"B","C"))</x:f>
        <x:v>B</x:v>
      </x:c>
      <x:c r="E400" s="43" t="str">
        <x:v>Collegiate School</x:v>
      </x:c>
      <x:c r="F400" s="43" t="str"/>
      <x:c r="G400" s="43" t="str"/>
      <x:c r="H400" s="43" t="str">
        <x:v>BS16 1BJ</x:v>
      </x:c>
      <x:c r="I400" s="43" t="n">
        <x:v>2</x:v>
      </x:c>
      <x:c r="J400" s="43" t="n">
        <x:v>18</x:v>
      </x:c>
      <x:c r="K400" s="43" t="str">
        <x:v>No boarders</x:v>
      </x:c>
      <x:c r="L400" s="43" t="str">
        <x:v>Has a sixth form</x:v>
      </x:c>
      <x:c r="M400" s="43" t="n">
        <x:v>738</x:v>
      </x:c>
      <x:c r="N400" s="43" t="str">
        <x:v>https://collegiate.org.uk/</x:v>
      </x:c>
      <x:c r="O400" s="43" t="str">
        <x:v>01179655207</x:v>
      </x:c>
      <x:c r="P400" s="43" t="str"/>
      <x:c r="Q400" s="43" t="str"/>
      <x:c r="R400" s="43" t="str">
        <x:v>Queued for contact research</x:v>
      </x:c>
      <x:c r="S400" s="43" t="str">
        <x:v>Not reviewed</x:v>
      </x:c>
      <x:c r="T400" s="43" t="str">
        <x:v>Hold</x:v>
      </x:c>
      <x:c r="U400" s="43" t="str">
        <x:v>No</x:v>
      </x:c>
      <x:c r="V400" s="44"/>
      <x:c r="W400" s="43" t="str"/>
      <x:c r="X400" s="43" t="str"/>
      <x:c r="Y400" s="43" t="str"/>
      <x:c r="Z400" s="43" t="str">
        <x:v>https://www.get-information-schools.service.gov.uk/Downloads</x:v>
      </x:c>
    </x:row>
    <x:row r="401">
      <x:c r="A401" s="43" t="str">
        <x:v>UK independent</x:v>
      </x:c>
      <x:c r="B401" s="43" t="str">
        <x:v>105595</x:v>
      </x:c>
      <x:c r="C401" s="43" t="n">
        <x:f>IF(K401="Boarding school",30,0)+IF(J401&gt;=18,20,0)+IF(I401&lt;=11,10,0)+IF(L401="Has a sixth form",15,0)+IF(M401&gt;=200,10,0)+IF(N401&lt;&gt;"",10,0)</x:f>
        <x:v>65</x:v>
      </x:c>
      <x:c r="D401" s="43" t="str">
        <x:f>IF(C401&gt;=85,"A",IF(C401&gt;=65,"B","C"))</x:f>
        <x:v>B</x:v>
      </x:c>
      <x:c r="E401" s="43" t="str">
        <x:v>Withington Girls' School</x:v>
      </x:c>
      <x:c r="F401" s="43" t="str">
        <x:v>Manchester</x:v>
      </x:c>
      <x:c r="G401" s="43" t="str">
        <x:v>Greater Manchester</x:v>
      </x:c>
      <x:c r="H401" s="43" t="str">
        <x:v>M14 6BL</x:v>
      </x:c>
      <x:c r="I401" s="43" t="n">
        <x:v>7</x:v>
      </x:c>
      <x:c r="J401" s="43" t="n">
        <x:v>19</x:v>
      </x:c>
      <x:c r="K401" s="43" t="str">
        <x:v>No boarders</x:v>
      </x:c>
      <x:c r="L401" s="43" t="str">
        <x:v>Has a sixth form</x:v>
      </x:c>
      <x:c r="M401" s="43" t="n">
        <x:v>733</x:v>
      </x:c>
      <x:c r="N401" s="43" t="str">
        <x:v>https://www.wgs.org</x:v>
      </x:c>
      <x:c r="O401" s="43" t="str">
        <x:v>01612241077</x:v>
      </x:c>
      <x:c r="P401" s="43" t="str"/>
      <x:c r="Q401" s="43" t="str"/>
      <x:c r="R401" s="43" t="str">
        <x:v>Queued for contact research</x:v>
      </x:c>
      <x:c r="S401" s="43" t="str">
        <x:v>Not reviewed</x:v>
      </x:c>
      <x:c r="T401" s="43" t="str">
        <x:v>Hold</x:v>
      </x:c>
      <x:c r="U401" s="43" t="str">
        <x:v>No</x:v>
      </x:c>
      <x:c r="V401" s="44"/>
      <x:c r="W401" s="43" t="str"/>
      <x:c r="X401" s="43" t="str"/>
      <x:c r="Y401" s="43" t="str"/>
      <x:c r="Z401" s="43" t="str">
        <x:v>https://www.get-information-schools.service.gov.uk/Downloads</x:v>
      </x:c>
    </x:row>
    <x:row r="402">
      <x:c r="A402" s="43" t="str">
        <x:v>UK independent</x:v>
      </x:c>
      <x:c r="B402" s="43" t="str">
        <x:v>107163</x:v>
      </x:c>
      <x:c r="C402" s="43" t="n">
        <x:f>IF(K402="Boarding school",30,0)+IF(J402&gt;=18,20,0)+IF(I402&lt;=11,10,0)+IF(L402="Has a sixth form",15,0)+IF(M402&gt;=200,10,0)+IF(N402&lt;&gt;"",10,0)</x:f>
        <x:v>65</x:v>
      </x:c>
      <x:c r="D402" s="43" t="str">
        <x:f>IF(C402&gt;=85,"A",IF(C402&gt;=65,"B","C"))</x:f>
        <x:v>B</x:v>
      </x:c>
      <x:c r="E402" s="43" t="str">
        <x:v>Birkdale School</x:v>
      </x:c>
      <x:c r="F402" s="43" t="str">
        <x:v>Sheffield</x:v>
      </x:c>
      <x:c r="G402" s="43" t="str">
        <x:v>South Yorkshire</x:v>
      </x:c>
      <x:c r="H402" s="43" t="str">
        <x:v>S10 3DH</x:v>
      </x:c>
      <x:c r="I402" s="43" t="n">
        <x:v>4</x:v>
      </x:c>
      <x:c r="J402" s="43" t="n">
        <x:v>19</x:v>
      </x:c>
      <x:c r="K402" s="43" t="str">
        <x:v>No boarders</x:v>
      </x:c>
      <x:c r="L402" s="43" t="str">
        <x:v>Has a sixth form</x:v>
      </x:c>
      <x:c r="M402" s="43" t="n">
        <x:v>721</x:v>
      </x:c>
      <x:c r="N402" s="43" t="str">
        <x:v>https://www.birkdaleschool.org.uk</x:v>
      </x:c>
      <x:c r="O402" s="43" t="str">
        <x:v>01142668408</x:v>
      </x:c>
      <x:c r="P402" s="43" t="str"/>
      <x:c r="Q402" s="43" t="str"/>
      <x:c r="R402" s="43" t="str">
        <x:v>Queued for contact research</x:v>
      </x:c>
      <x:c r="S402" s="43" t="str">
        <x:v>Not reviewed</x:v>
      </x:c>
      <x:c r="T402" s="43" t="str">
        <x:v>Hold</x:v>
      </x:c>
      <x:c r="U402" s="43" t="str">
        <x:v>No</x:v>
      </x:c>
      <x:c r="V402" s="44"/>
      <x:c r="W402" s="43" t="str"/>
      <x:c r="X402" s="43" t="str"/>
      <x:c r="Y402" s="43" t="str"/>
      <x:c r="Z402" s="43" t="str">
        <x:v>https://www.get-information-schools.service.gov.uk/Downloads</x:v>
      </x:c>
    </x:row>
    <x:row r="403">
      <x:c r="A403" s="43" t="str">
        <x:v>UK independent</x:v>
      </x:c>
      <x:c r="B403" s="43" t="str">
        <x:v>103750</x:v>
      </x:c>
      <x:c r="C403" s="43" t="n">
        <x:f>IF(K403="Boarding school",30,0)+IF(J403&gt;=18,20,0)+IF(I403&lt;=11,10,0)+IF(L403="Has a sixth form",15,0)+IF(M403&gt;=200,10,0)+IF(N403&lt;&gt;"",10,0)</x:f>
        <x:v>65</x:v>
      </x:c>
      <x:c r="D403" s="43" t="str">
        <x:f>IF(C403&gt;=85,"A",IF(C403&gt;=65,"B","C"))</x:f>
        <x:v>B</x:v>
      </x:c>
      <x:c r="E403" s="43" t="str">
        <x:v>King Henry VIII School</x:v>
      </x:c>
      <x:c r="F403" s="43" t="str"/>
      <x:c r="G403" s="43" t="str"/>
      <x:c r="H403" s="43" t="str">
        <x:v>CV3 6AQ</x:v>
      </x:c>
      <x:c r="I403" s="43" t="n">
        <x:v>3</x:v>
      </x:c>
      <x:c r="J403" s="43" t="n">
        <x:v>19</x:v>
      </x:c>
      <x:c r="K403" s="43" t="str">
        <x:v>No boarders</x:v>
      </x:c>
      <x:c r="L403" s="43" t="str">
        <x:v>Has a sixth form</x:v>
      </x:c>
      <x:c r="M403" s="43" t="n">
        <x:v>721</x:v>
      </x:c>
      <x:c r="N403" s="43" t="str">
        <x:v>https://www.kinghenrys.co.uk</x:v>
      </x:c>
      <x:c r="O403" s="43" t="str">
        <x:v>02476271111</x:v>
      </x:c>
      <x:c r="P403" s="43" t="str"/>
      <x:c r="Q403" s="43" t="str"/>
      <x:c r="R403" s="43" t="str">
        <x:v>Queued for contact research</x:v>
      </x:c>
      <x:c r="S403" s="43" t="str">
        <x:v>Not reviewed</x:v>
      </x:c>
      <x:c r="T403" s="43" t="str">
        <x:v>Hold</x:v>
      </x:c>
      <x:c r="U403" s="43" t="str">
        <x:v>No</x:v>
      </x:c>
      <x:c r="V403" s="44"/>
      <x:c r="W403" s="43" t="str"/>
      <x:c r="X403" s="43" t="str"/>
      <x:c r="Y403" s="43" t="str"/>
      <x:c r="Z403" s="43" t="str">
        <x:v>https://www.get-information-schools.service.gov.uk/Downloads</x:v>
      </x:c>
    </x:row>
    <x:row r="404">
      <x:c r="A404" s="43" t="str">
        <x:v>UK independent</x:v>
      </x:c>
      <x:c r="B404" s="43" t="str">
        <x:v>100757</x:v>
      </x:c>
      <x:c r="C404" s="43" t="n">
        <x:f>IF(K404="Boarding school",30,0)+IF(J404&gt;=18,20,0)+IF(I404&lt;=11,10,0)+IF(L404="Has a sixth form",15,0)+IF(M404&gt;=200,10,0)+IF(N404&lt;&gt;"",10,0)</x:f>
        <x:v>65</x:v>
      </x:c>
      <x:c r="D404" s="43" t="str">
        <x:f>IF(C404&gt;=85,"A",IF(C404&gt;=65,"B","C"))</x:f>
        <x:v>B</x:v>
      </x:c>
      <x:c r="E404" s="43" t="str">
        <x:v>Sydenham &amp; Dulwich Girls GDST</x:v>
      </x:c>
      <x:c r="F404" s="43" t="str"/>
      <x:c r="G404" s="43" t="str"/>
      <x:c r="H404" s="43" t="str">
        <x:v>SE26 6BL</x:v>
      </x:c>
      <x:c r="I404" s="43" t="n">
        <x:v>4</x:v>
      </x:c>
      <x:c r="J404" s="43" t="n">
        <x:v>19</x:v>
      </x:c>
      <x:c r="K404" s="43" t="str">
        <x:v>No boarders</x:v>
      </x:c>
      <x:c r="L404" s="43" t="str">
        <x:v>Has a sixth form</x:v>
      </x:c>
      <x:c r="M404" s="43" t="n">
        <x:v>716</x:v>
      </x:c>
      <x:c r="N404" s="43" t="str">
        <x:v>https://www.sydenhamdulwichgirls.gdst.net/</x:v>
      </x:c>
      <x:c r="O404" s="43" t="str">
        <x:v>02085577000</x:v>
      </x:c>
      <x:c r="P404" s="43" t="str"/>
      <x:c r="Q404" s="43" t="str"/>
      <x:c r="R404" s="43" t="str">
        <x:v>Queued for contact research</x:v>
      </x:c>
      <x:c r="S404" s="43" t="str">
        <x:v>Not reviewed</x:v>
      </x:c>
      <x:c r="T404" s="43" t="str">
        <x:v>Hold</x:v>
      </x:c>
      <x:c r="U404" s="43" t="str">
        <x:v>No</x:v>
      </x:c>
      <x:c r="V404" s="44"/>
      <x:c r="W404" s="43" t="str"/>
      <x:c r="X404" s="43" t="str"/>
      <x:c r="Y404" s="43" t="str"/>
      <x:c r="Z404" s="43" t="str">
        <x:v>https://www.get-information-schools.service.gov.uk/Downloads</x:v>
      </x:c>
    </x:row>
    <x:row r="405">
      <x:c r="A405" s="43" t="str">
        <x:v>UK independent</x:v>
      </x:c>
      <x:c r="B405" s="43" t="str">
        <x:v>115780</x:v>
      </x:c>
      <x:c r="C405" s="43" t="n">
        <x:f>IF(K405="Boarding school",30,0)+IF(J405&gt;=18,20,0)+IF(I405&lt;=11,10,0)+IF(L405="Has a sixth form",15,0)+IF(M405&gt;=200,10,0)+IF(N405&lt;&gt;"",10,0)</x:f>
        <x:v>65</x:v>
      </x:c>
      <x:c r="D405" s="43" t="str">
        <x:f>IF(C405&gt;=85,"A",IF(C405&gt;=65,"B","C"))</x:f>
        <x:v>B</x:v>
      </x:c>
      <x:c r="E405" s="43" t="str">
        <x:v>The King's School, Gloucester</x:v>
      </x:c>
      <x:c r="F405" s="43" t="str">
        <x:v>Gloucester</x:v>
      </x:c>
      <x:c r="G405" s="43" t="str">
        <x:v>Gloucestershire</x:v>
      </x:c>
      <x:c r="H405" s="43" t="str">
        <x:v>GL1 2BG</x:v>
      </x:c>
      <x:c r="I405" s="43" t="n">
        <x:v>3</x:v>
      </x:c>
      <x:c r="J405" s="43" t="n">
        <x:v>18</x:v>
      </x:c>
      <x:c r="K405" s="43" t="str">
        <x:v>No boarders</x:v>
      </x:c>
      <x:c r="L405" s="43" t="str">
        <x:v>Has a sixth form</x:v>
      </x:c>
      <x:c r="M405" s="43" t="n">
        <x:v>709</x:v>
      </x:c>
      <x:c r="N405" s="43" t="str">
        <x:v>https://www.thekingsschool.co.uk</x:v>
      </x:c>
      <x:c r="O405" s="43" t="str">
        <x:v>01452337337</x:v>
      </x:c>
      <x:c r="P405" s="43" t="str"/>
      <x:c r="Q405" s="43" t="str"/>
      <x:c r="R405" s="43" t="str">
        <x:v>Queued for contact research</x:v>
      </x:c>
      <x:c r="S405" s="43" t="str">
        <x:v>Not reviewed</x:v>
      </x:c>
      <x:c r="T405" s="43" t="str">
        <x:v>Hold</x:v>
      </x:c>
      <x:c r="U405" s="43" t="str">
        <x:v>No</x:v>
      </x:c>
      <x:c r="V405" s="44"/>
      <x:c r="W405" s="43" t="str"/>
      <x:c r="X405" s="43" t="str"/>
      <x:c r="Y405" s="43" t="str"/>
      <x:c r="Z405" s="43" t="str">
        <x:v>https://www.get-information-schools.service.gov.uk/Downloads</x:v>
      </x:c>
    </x:row>
    <x:row r="406">
      <x:c r="A406" s="43" t="str">
        <x:v>UK independent</x:v>
      </x:c>
      <x:c r="B406" s="43" t="str">
        <x:v>119826</x:v>
      </x:c>
      <x:c r="C406" s="43" t="n">
        <x:f>IF(K406="Boarding school",30,0)+IF(J406&gt;=18,20,0)+IF(I406&lt;=11,10,0)+IF(L406="Has a sixth form",15,0)+IF(M406&gt;=200,10,0)+IF(N406&lt;&gt;"",10,0)</x:f>
        <x:v>65</x:v>
      </x:c>
      <x:c r="D406" s="43" t="str">
        <x:f>IF(C406&gt;=85,"A",IF(C406&gt;=65,"B","C"))</x:f>
        <x:v>B</x:v>
      </x:c>
      <x:c r="E406" s="43" t="str">
        <x:v>Westholme School</x:v>
      </x:c>
      <x:c r="F406" s="43" t="str">
        <x:v>Blackburn</x:v>
      </x:c>
      <x:c r="G406" s="43" t="str">
        <x:v>Lancashire</x:v>
      </x:c>
      <x:c r="H406" s="43" t="str">
        <x:v>BB2 6QU</x:v>
      </x:c>
      <x:c r="I406" s="43" t="n">
        <x:v>3</x:v>
      </x:c>
      <x:c r="J406" s="43" t="n">
        <x:v>18</x:v>
      </x:c>
      <x:c r="K406" s="43" t="str">
        <x:v>No boarders</x:v>
      </x:c>
      <x:c r="L406" s="43" t="str">
        <x:v>Has a sixth form</x:v>
      </x:c>
      <x:c r="M406" s="43" t="n">
        <x:v>706</x:v>
      </x:c>
      <x:c r="N406" s="43" t="str">
        <x:v>https://www.westholmeschool.com</x:v>
      </x:c>
      <x:c r="O406" s="43" t="str">
        <x:v>01254506070</x:v>
      </x:c>
      <x:c r="P406" s="43" t="str"/>
      <x:c r="Q406" s="43" t="str"/>
      <x:c r="R406" s="43" t="str">
        <x:v>Queued for contact research</x:v>
      </x:c>
      <x:c r="S406" s="43" t="str">
        <x:v>Not reviewed</x:v>
      </x:c>
      <x:c r="T406" s="43" t="str">
        <x:v>Hold</x:v>
      </x:c>
      <x:c r="U406" s="43" t="str">
        <x:v>No</x:v>
      </x:c>
      <x:c r="V406" s="44"/>
      <x:c r="W406" s="43" t="str"/>
      <x:c r="X406" s="43" t="str"/>
      <x:c r="Y406" s="43" t="str"/>
      <x:c r="Z406" s="43" t="str">
        <x:v>https://www.get-information-schools.service.gov.uk/Downloads</x:v>
      </x:c>
    </x:row>
    <x:row r="407">
      <x:c r="A407" s="43" t="str">
        <x:v>UK independent</x:v>
      </x:c>
      <x:c r="B407" s="43" t="str">
        <x:v>100756</x:v>
      </x:c>
      <x:c r="C407" s="43" t="n">
        <x:f>IF(K407="Boarding school",30,0)+IF(J407&gt;=18,20,0)+IF(I407&lt;=11,10,0)+IF(L407="Has a sixth form",15,0)+IF(M407&gt;=200,10,0)+IF(N407&lt;&gt;"",10,0)</x:f>
        <x:v>65</x:v>
      </x:c>
      <x:c r="D407" s="43" t="str">
        <x:f>IF(C407&gt;=85,"A",IF(C407&gt;=65,"B","C"))</x:f>
        <x:v>B</x:v>
      </x:c>
      <x:c r="E407" s="43" t="str">
        <x:v>Blackheath High School GDST</x:v>
      </x:c>
      <x:c r="F407" s="43" t="str"/>
      <x:c r="G407" s="43" t="str"/>
      <x:c r="H407" s="43" t="str">
        <x:v>SE3 7AG</x:v>
      </x:c>
      <x:c r="I407" s="43" t="n">
        <x:v>3</x:v>
      </x:c>
      <x:c r="J407" s="43" t="n">
        <x:v>18</x:v>
      </x:c>
      <x:c r="K407" s="43" t="str">
        <x:v>No boarders</x:v>
      </x:c>
      <x:c r="L407" s="43" t="str">
        <x:v>Has a sixth form</x:v>
      </x:c>
      <x:c r="M407" s="43" t="n">
        <x:v>704</x:v>
      </x:c>
      <x:c r="N407" s="43" t="str">
        <x:v>https://www.blackheathhighschool.gdst.net</x:v>
      </x:c>
      <x:c r="O407" s="43" t="str">
        <x:v>02088532929</x:v>
      </x:c>
      <x:c r="P407" s="43" t="str"/>
      <x:c r="Q407" s="43" t="str"/>
      <x:c r="R407" s="43" t="str">
        <x:v>Queued for contact research</x:v>
      </x:c>
      <x:c r="S407" s="43" t="str">
        <x:v>Not reviewed</x:v>
      </x:c>
      <x:c r="T407" s="43" t="str">
        <x:v>Hold</x:v>
      </x:c>
      <x:c r="U407" s="43" t="str">
        <x:v>No</x:v>
      </x:c>
      <x:c r="V407" s="44"/>
      <x:c r="W407" s="43" t="str"/>
      <x:c r="X407" s="43" t="str"/>
      <x:c r="Y407" s="43" t="str"/>
      <x:c r="Z407" s="43" t="str">
        <x:v>https://www.get-information-schools.service.gov.uk/Downloads</x:v>
      </x:c>
    </x:row>
    <x:row r="408">
      <x:c r="A408" s="43" t="str">
        <x:v>UK independent</x:v>
      </x:c>
      <x:c r="B408" s="43" t="str">
        <x:v>123313</x:v>
      </x:c>
      <x:c r="C408" s="43" t="n">
        <x:f>IF(K408="Boarding school",30,0)+IF(J408&gt;=18,20,0)+IF(I408&lt;=11,10,0)+IF(L408="Has a sixth form",15,0)+IF(M408&gt;=200,10,0)+IF(N408&lt;&gt;"",10,0)</x:f>
        <x:v>65</x:v>
      </x:c>
      <x:c r="D408" s="43" t="str">
        <x:f>IF(C408&gt;=85,"A",IF(C408&gt;=65,"B","C"))</x:f>
        <x:v>B</x:v>
      </x:c>
      <x:c r="E408" s="43" t="str">
        <x:v>St Helen and St Katharine</x:v>
      </x:c>
      <x:c r="F408" s="43" t="str">
        <x:v>Abingdon</x:v>
      </x:c>
      <x:c r="G408" s="43" t="str">
        <x:v>Oxfordshire</x:v>
      </x:c>
      <x:c r="H408" s="43" t="str">
        <x:v>OX14 1BE</x:v>
      </x:c>
      <x:c r="I408" s="43" t="n">
        <x:v>9</x:v>
      </x:c>
      <x:c r="J408" s="43" t="n">
        <x:v>18</x:v>
      </x:c>
      <x:c r="K408" s="43" t="str">
        <x:v>No boarders</x:v>
      </x:c>
      <x:c r="L408" s="43" t="str">
        <x:v>Has a sixth form</x:v>
      </x:c>
      <x:c r="M408" s="43" t="n">
        <x:v>700</x:v>
      </x:c>
      <x:c r="N408" s="43" t="str">
        <x:v>https://www.shsk.org.uk</x:v>
      </x:c>
      <x:c r="O408" s="43" t="str">
        <x:v>01235520173</x:v>
      </x:c>
      <x:c r="P408" s="43" t="str"/>
      <x:c r="Q408" s="43" t="str"/>
      <x:c r="R408" s="43" t="str">
        <x:v>Queued for contact research</x:v>
      </x:c>
      <x:c r="S408" s="43" t="str">
        <x:v>Not reviewed</x:v>
      </x:c>
      <x:c r="T408" s="43" t="str">
        <x:v>Hold</x:v>
      </x:c>
      <x:c r="U408" s="43" t="str">
        <x:v>No</x:v>
      </x:c>
      <x:c r="V408" s="44"/>
      <x:c r="W408" s="43" t="str"/>
      <x:c r="X408" s="43" t="str"/>
      <x:c r="Y408" s="43" t="str"/>
      <x:c r="Z408" s="43" t="str">
        <x:v>https://www.get-information-schools.service.gov.uk/Downloads</x:v>
      </x:c>
    </x:row>
    <x:row r="409">
      <x:c r="A409" s="43" t="str">
        <x:v>UK independent</x:v>
      </x:c>
      <x:c r="B409" s="43" t="str">
        <x:v>122131</x:v>
      </x:c>
      <x:c r="C409" s="43" t="n">
        <x:f>IF(K409="Boarding school",30,0)+IF(J409&gt;=18,20,0)+IF(I409&lt;=11,10,0)+IF(L409="Has a sixth form",15,0)+IF(M409&gt;=200,10,0)+IF(N409&lt;&gt;"",10,0)</x:f>
        <x:v>65</x:v>
      </x:c>
      <x:c r="D409" s="43" t="str">
        <x:f>IF(C409&gt;=85,"A",IF(C409&gt;=65,"B","C"))</x:f>
        <x:v>B</x:v>
      </x:c>
      <x:c r="E409" s="43" t="str">
        <x:v>Wellingborough School</x:v>
      </x:c>
      <x:c r="F409" s="43" t="str">
        <x:v>Wellingborough</x:v>
      </x:c>
      <x:c r="G409" s="43" t="str">
        <x:v>Northamptonshire</x:v>
      </x:c>
      <x:c r="H409" s="43" t="str">
        <x:v>NN8 2BX</x:v>
      </x:c>
      <x:c r="I409" s="43" t="n">
        <x:v>3</x:v>
      </x:c>
      <x:c r="J409" s="43" t="n">
        <x:v>19</x:v>
      </x:c>
      <x:c r="K409" s="43" t="str">
        <x:v>No boarders</x:v>
      </x:c>
      <x:c r="L409" s="43" t="str">
        <x:v>Has a sixth form</x:v>
      </x:c>
      <x:c r="M409" s="43" t="n">
        <x:v>699</x:v>
      </x:c>
      <x:c r="N409" s="43" t="str">
        <x:v>https://www.wellingboroughschool.org</x:v>
      </x:c>
      <x:c r="O409" s="43" t="str">
        <x:v>01933222427</x:v>
      </x:c>
      <x:c r="P409" s="43" t="str"/>
      <x:c r="Q409" s="43" t="str"/>
      <x:c r="R409" s="43" t="str">
        <x:v>Queued for contact research</x:v>
      </x:c>
      <x:c r="S409" s="43" t="str">
        <x:v>Not reviewed</x:v>
      </x:c>
      <x:c r="T409" s="43" t="str">
        <x:v>Hold</x:v>
      </x:c>
      <x:c r="U409" s="43" t="str">
        <x:v>No</x:v>
      </x:c>
      <x:c r="V409" s="44"/>
      <x:c r="W409" s="43" t="str"/>
      <x:c r="X409" s="43" t="str"/>
      <x:c r="Y409" s="43" t="str"/>
      <x:c r="Z409" s="43" t="str">
        <x:v>https://www.get-information-schools.service.gov.uk/Downloads</x:v>
      </x:c>
    </x:row>
    <x:row r="410">
      <x:c r="A410" s="43" t="str">
        <x:v>UK independent</x:v>
      </x:c>
      <x:c r="B410" s="43" t="str">
        <x:v>107166</x:v>
      </x:c>
      <x:c r="C410" s="43" t="n">
        <x:f>IF(K410="Boarding school",30,0)+IF(J410&gt;=18,20,0)+IF(I410&lt;=11,10,0)+IF(L410="Has a sixth form",15,0)+IF(M410&gt;=200,10,0)+IF(N410&lt;&gt;"",10,0)</x:f>
        <x:v>65</x:v>
      </x:c>
      <x:c r="D410" s="43" t="str">
        <x:f>IF(C410&gt;=85,"A",IF(C410&gt;=65,"B","C"))</x:f>
        <x:v>B</x:v>
      </x:c>
      <x:c r="E410" s="43" t="str">
        <x:v>Sheffield High School GDST</x:v>
      </x:c>
      <x:c r="F410" s="43" t="str">
        <x:v>Sheffield</x:v>
      </x:c>
      <x:c r="G410" s="43" t="str">
        <x:v>South Yorkshire</x:v>
      </x:c>
      <x:c r="H410" s="43" t="str">
        <x:v>S10 2PE</x:v>
      </x:c>
      <x:c r="I410" s="43" t="n">
        <x:v>3</x:v>
      </x:c>
      <x:c r="J410" s="43" t="n">
        <x:v>19</x:v>
      </x:c>
      <x:c r="K410" s="43" t="str">
        <x:v>No boarders</x:v>
      </x:c>
      <x:c r="L410" s="43" t="str">
        <x:v>Has a sixth form</x:v>
      </x:c>
      <x:c r="M410" s="43" t="n">
        <x:v>695</x:v>
      </x:c>
      <x:c r="N410" s="43" t="str">
        <x:v>http://www.sheffieldhighschool.org.uk</x:v>
      </x:c>
      <x:c r="O410" s="43" t="str">
        <x:v>01142660324</x:v>
      </x:c>
      <x:c r="P410" s="43" t="str"/>
      <x:c r="Q410" s="43" t="str"/>
      <x:c r="R410" s="43" t="str">
        <x:v>Queued for contact research</x:v>
      </x:c>
      <x:c r="S410" s="43" t="str">
        <x:v>Not reviewed</x:v>
      </x:c>
      <x:c r="T410" s="43" t="str">
        <x:v>Hold</x:v>
      </x:c>
      <x:c r="U410" s="43" t="str">
        <x:v>No</x:v>
      </x:c>
      <x:c r="V410" s="44"/>
      <x:c r="W410" s="43" t="str"/>
      <x:c r="X410" s="43" t="str"/>
      <x:c r="Y410" s="43" t="str"/>
      <x:c r="Z410" s="43" t="str">
        <x:v>https://www.get-information-schools.service.gov.uk/Downloads</x:v>
      </x:c>
    </x:row>
    <x:row r="411">
      <x:c r="A411" s="43" t="str">
        <x:v>UK independent</x:v>
      </x:c>
      <x:c r="B411" s="43" t="str">
        <x:v>142408</x:v>
      </x:c>
      <x:c r="C411" s="43" t="n">
        <x:f>IF(K411="Boarding school",30,0)+IF(J411&gt;=18,20,0)+IF(I411&lt;=11,10,0)+IF(L411="Has a sixth form",15,0)+IF(M411&gt;=200,10,0)+IF(N411&lt;&gt;"",10,0)</x:f>
        <x:v>65</x:v>
      </x:c>
      <x:c r="D411" s="43" t="str">
        <x:f>IF(C411&gt;=85,"A",IF(C411&gt;=65,"B","C"))</x:f>
        <x:v>B</x:v>
      </x:c>
      <x:c r="E411" s="43" t="str">
        <x:v>Jeannine Manuel School</x:v>
      </x:c>
      <x:c r="F411" s="43" t="str">
        <x:v>London</x:v>
      </x:c>
      <x:c r="G411" s="43" t="str"/>
      <x:c r="H411" s="43" t="str">
        <x:v>WC1B 3DN</x:v>
      </x:c>
      <x:c r="I411" s="43" t="n">
        <x:v>2</x:v>
      </x:c>
      <x:c r="J411" s="43" t="n">
        <x:v>18</x:v>
      </x:c>
      <x:c r="K411" s="43" t="str">
        <x:v>No boarders</x:v>
      </x:c>
      <x:c r="L411" s="43" t="str">
        <x:v>Has a sixth form</x:v>
      </x:c>
      <x:c r="M411" s="43" t="n">
        <x:v>687</x:v>
      </x:c>
      <x:c r="N411" s="43" t="str">
        <x:v>https://www.ecolejeanninemanuel.org.uk</x:v>
      </x:c>
      <x:c r="O411" s="43" t="str">
        <x:v>02038295974</x:v>
      </x:c>
      <x:c r="P411" s="43" t="str"/>
      <x:c r="Q411" s="43" t="str"/>
      <x:c r="R411" s="43" t="str">
        <x:v>Queued for contact research</x:v>
      </x:c>
      <x:c r="S411" s="43" t="str">
        <x:v>Not reviewed</x:v>
      </x:c>
      <x:c r="T411" s="43" t="str">
        <x:v>Hold</x:v>
      </x:c>
      <x:c r="U411" s="43" t="str">
        <x:v>No</x:v>
      </x:c>
      <x:c r="V411" s="44"/>
      <x:c r="W411" s="43" t="str"/>
      <x:c r="X411" s="43" t="str"/>
      <x:c r="Y411" s="43" t="str"/>
      <x:c r="Z411" s="43" t="str">
        <x:v>https://www.get-information-schools.service.gov.uk/Downloads</x:v>
      </x:c>
    </x:row>
    <x:row r="412">
      <x:c r="A412" s="43" t="str">
        <x:v>UK independent</x:v>
      </x:c>
      <x:c r="B412" s="43" t="str">
        <x:v>142329</x:v>
      </x:c>
      <x:c r="C412" s="43" t="n">
        <x:f>IF(K412="Boarding school",30,0)+IF(J412&gt;=18,20,0)+IF(I412&lt;=11,10,0)+IF(L412="Has a sixth form",15,0)+IF(M412&gt;=200,10,0)+IF(N412&lt;&gt;"",10,0)</x:f>
        <x:v>65</x:v>
      </x:c>
      <x:c r="D412" s="43" t="str">
        <x:f>IF(C412&gt;=85,"A",IF(C412&gt;=65,"B","C"))</x:f>
        <x:v>B</x:v>
      </x:c>
      <x:c r="E412" s="43" t="str">
        <x:v>Lycee International de Londres</x:v>
      </x:c>
      <x:c r="F412" s="43" t="str">
        <x:v>London</x:v>
      </x:c>
      <x:c r="G412" s="43" t="str"/>
      <x:c r="H412" s="43" t="str">
        <x:v>HA9 9LY</x:v>
      </x:c>
      <x:c r="I412" s="43" t="n">
        <x:v>3</x:v>
      </x:c>
      <x:c r="J412" s="43" t="n">
        <x:v>19</x:v>
      </x:c>
      <x:c r="K412" s="43" t="str">
        <x:v>No boarders</x:v>
      </x:c>
      <x:c r="L412" s="43" t="str">
        <x:v>Has a sixth form</x:v>
      </x:c>
      <x:c r="M412" s="43" t="n">
        <x:v>684</x:v>
      </x:c>
      <x:c r="N412" s="43" t="str">
        <x:v>https://www.lyceeinternational.london/</x:v>
      </x:c>
      <x:c r="O412" s="43" t="str">
        <x:v>02038244900</x:v>
      </x:c>
      <x:c r="P412" s="43" t="str"/>
      <x:c r="Q412" s="43" t="str"/>
      <x:c r="R412" s="43" t="str">
        <x:v>Queued for contact research</x:v>
      </x:c>
      <x:c r="S412" s="43" t="str">
        <x:v>Not reviewed</x:v>
      </x:c>
      <x:c r="T412" s="43" t="str">
        <x:v>Hold</x:v>
      </x:c>
      <x:c r="U412" s="43" t="str">
        <x:v>No</x:v>
      </x:c>
      <x:c r="V412" s="44"/>
      <x:c r="W412" s="43" t="str"/>
      <x:c r="X412" s="43" t="str"/>
      <x:c r="Y412" s="43" t="str"/>
      <x:c r="Z412" s="43" t="str">
        <x:v>https://www.get-information-schools.service.gov.uk/Downloads</x:v>
      </x:c>
    </x:row>
    <x:row r="413">
      <x:c r="A413" s="43" t="str">
        <x:v>UK independent</x:v>
      </x:c>
      <x:c r="B413" s="43" t="str">
        <x:v>105594</x:v>
      </x:c>
      <x:c r="C413" s="43" t="n">
        <x:f>IF(K413="Boarding school",30,0)+IF(J413&gt;=18,20,0)+IF(I413&lt;=11,10,0)+IF(L413="Has a sixth form",15,0)+IF(M413&gt;=200,10,0)+IF(N413&lt;&gt;"",10,0)</x:f>
        <x:v>65</x:v>
      </x:c>
      <x:c r="D413" s="43" t="str">
        <x:f>IF(C413&gt;=85,"A",IF(C413&gt;=65,"B","C"))</x:f>
        <x:v>B</x:v>
      </x:c>
      <x:c r="E413" s="43" t="str">
        <x:v>St Bede's College</x:v>
      </x:c>
      <x:c r="F413" s="43" t="str"/>
      <x:c r="G413" s="43" t="str"/>
      <x:c r="H413" s="43" t="str">
        <x:v>M16 8HX</x:v>
      </x:c>
      <x:c r="I413" s="43" t="n">
        <x:v>3</x:v>
      </x:c>
      <x:c r="J413" s="43" t="n">
        <x:v>19</x:v>
      </x:c>
      <x:c r="K413" s="43" t="str">
        <x:v>No boarders</x:v>
      </x:c>
      <x:c r="L413" s="43" t="str">
        <x:v>Has a sixth form</x:v>
      </x:c>
      <x:c r="M413" s="43" t="n">
        <x:v>681</x:v>
      </x:c>
      <x:c r="N413" s="43" t="str">
        <x:v>https://www.sbcm.co.uk</x:v>
      </x:c>
      <x:c r="O413" s="43" t="str">
        <x:v>01612263323</x:v>
      </x:c>
      <x:c r="P413" s="43" t="str"/>
      <x:c r="Q413" s="43" t="str"/>
      <x:c r="R413" s="43" t="str">
        <x:v>Queued for contact research</x:v>
      </x:c>
      <x:c r="S413" s="43" t="str">
        <x:v>Not reviewed</x:v>
      </x:c>
      <x:c r="T413" s="43" t="str">
        <x:v>Hold</x:v>
      </x:c>
      <x:c r="U413" s="43" t="str">
        <x:v>No</x:v>
      </x:c>
      <x:c r="V413" s="44"/>
      <x:c r="W413" s="43" t="str"/>
      <x:c r="X413" s="43" t="str"/>
      <x:c r="Y413" s="43" t="str"/>
      <x:c r="Z413" s="43" t="str">
        <x:v>https://www.get-information-schools.service.gov.uk/Downloads</x:v>
      </x:c>
    </x:row>
    <x:row r="414">
      <x:c r="A414" s="43" t="str">
        <x:v>UK independent</x:v>
      </x:c>
      <x:c r="B414" s="43" t="str">
        <x:v>113017</x:v>
      </x:c>
      <x:c r="C414" s="43" t="n">
        <x:f>IF(K414="Boarding school",30,0)+IF(J414&gt;=18,20,0)+IF(I414&lt;=11,10,0)+IF(L414="Has a sixth form",15,0)+IF(M414&gt;=200,10,0)+IF(N414&lt;&gt;"",10,0)</x:f>
        <x:v>65</x:v>
      </x:c>
      <x:c r="D414" s="43" t="str">
        <x:f>IF(C414&gt;=85,"A",IF(C414&gt;=65,"B","C"))</x:f>
        <x:v>B</x:v>
      </x:c>
      <x:c r="E414" s="43" t="str">
        <x:v>Derby High School</x:v>
      </x:c>
      <x:c r="F414" s="43" t="str">
        <x:v>Derby</x:v>
      </x:c>
      <x:c r="G414" s="43" t="str">
        <x:v>Derbyshire</x:v>
      </x:c>
      <x:c r="H414" s="43" t="str">
        <x:v>DE23 3DT</x:v>
      </x:c>
      <x:c r="I414" s="43" t="n">
        <x:v>3</x:v>
      </x:c>
      <x:c r="J414" s="43" t="n">
        <x:v>19</x:v>
      </x:c>
      <x:c r="K414" s="43" t="str">
        <x:v>No boarders</x:v>
      </x:c>
      <x:c r="L414" s="43" t="str">
        <x:v>Has a sixth form</x:v>
      </x:c>
      <x:c r="M414" s="43" t="n">
        <x:v>679</x:v>
      </x:c>
      <x:c r="N414" s="43" t="str">
        <x:v>https://www.derbyhigh.derby.sch.uk</x:v>
      </x:c>
      <x:c r="O414" s="43" t="str">
        <x:v>01332514267</x:v>
      </x:c>
      <x:c r="P414" s="43" t="str"/>
      <x:c r="Q414" s="43" t="str"/>
      <x:c r="R414" s="43" t="str">
        <x:v>Queued for contact research</x:v>
      </x:c>
      <x:c r="S414" s="43" t="str">
        <x:v>Not reviewed</x:v>
      </x:c>
      <x:c r="T414" s="43" t="str">
        <x:v>Hold</x:v>
      </x:c>
      <x:c r="U414" s="43" t="str">
        <x:v>No</x:v>
      </x:c>
      <x:c r="V414" s="44"/>
      <x:c r="W414" s="43" t="str"/>
      <x:c r="X414" s="43" t="str"/>
      <x:c r="Y414" s="43" t="str"/>
      <x:c r="Z414" s="43" t="str">
        <x:v>https://www.get-information-schools.service.gov.uk/Downloads</x:v>
      </x:c>
    </x:row>
    <x:row r="415">
      <x:c r="A415" s="43" t="str">
        <x:v>UK independent</x:v>
      </x:c>
      <x:c r="B415" s="43" t="str">
        <x:v>114634</x:v>
      </x:c>
      <x:c r="C415" s="43" t="n">
        <x:f>IF(K415="Boarding school",30,0)+IF(J415&gt;=18,20,0)+IF(I415&lt;=11,10,0)+IF(L415="Has a sixth form",15,0)+IF(M415&gt;=200,10,0)+IF(N415&lt;&gt;"",10,0)</x:f>
        <x:v>65</x:v>
      </x:c>
      <x:c r="D415" s="43" t="str">
        <x:f>IF(C415&gt;=85,"A",IF(C415&gt;=65,"B","C"))</x:f>
        <x:v>B</x:v>
      </x:c>
      <x:c r="E415" s="43" t="str">
        <x:v>Lewes Old Grammar School</x:v>
      </x:c>
      <x:c r="F415" s="43" t="str"/>
      <x:c r="G415" s="43" t="str"/>
      <x:c r="H415" s="43" t="str">
        <x:v>BN7 1XS</x:v>
      </x:c>
      <x:c r="I415" s="43" t="n">
        <x:v>3</x:v>
      </x:c>
      <x:c r="J415" s="43" t="n">
        <x:v>19</x:v>
      </x:c>
      <x:c r="K415" s="43" t="str">
        <x:v>No boarders</x:v>
      </x:c>
      <x:c r="L415" s="43" t="str">
        <x:v>Has a sixth form</x:v>
      </x:c>
      <x:c r="M415" s="43" t="n">
        <x:v>675</x:v>
      </x:c>
      <x:c r="N415" s="43" t="str">
        <x:v>https://www.logs.uk.com</x:v>
      </x:c>
      <x:c r="O415" s="43" t="str">
        <x:v>01273472634</x:v>
      </x:c>
      <x:c r="P415" s="43" t="str"/>
      <x:c r="Q415" s="43" t="str"/>
      <x:c r="R415" s="43" t="str">
        <x:v>Queued for contact research</x:v>
      </x:c>
      <x:c r="S415" s="43" t="str">
        <x:v>Not reviewed</x:v>
      </x:c>
      <x:c r="T415" s="43" t="str">
        <x:v>Hold</x:v>
      </x:c>
      <x:c r="U415" s="43" t="str">
        <x:v>No</x:v>
      </x:c>
      <x:c r="V415" s="44"/>
      <x:c r="W415" s="43" t="str"/>
      <x:c r="X415" s="43" t="str"/>
      <x:c r="Y415" s="43" t="str"/>
      <x:c r="Z415" s="43" t="str">
        <x:v>https://www.get-information-schools.service.gov.uk/Downloads</x:v>
      </x:c>
    </x:row>
    <x:row r="416">
      <x:c r="A416" s="43" t="str">
        <x:v>UK independent</x:v>
      </x:c>
      <x:c r="B416" s="43" t="str">
        <x:v>108306</x:v>
      </x:c>
      <x:c r="C416" s="43" t="n">
        <x:f>IF(K416="Boarding school",30,0)+IF(J416&gt;=18,20,0)+IF(I416&lt;=11,10,0)+IF(L416="Has a sixth form",15,0)+IF(M416&gt;=200,10,0)+IF(N416&lt;&gt;"",10,0)</x:f>
        <x:v>65</x:v>
      </x:c>
      <x:c r="D416" s="43" t="str">
        <x:f>IF(C416&gt;=85,"A",IF(C416&gt;=65,"B","C"))</x:f>
        <x:v>B</x:v>
      </x:c>
      <x:c r="E416" s="43" t="str">
        <x:v>Queen Elizabeths School Wakefield</x:v>
      </x:c>
      <x:c r="F416" s="43" t="str">
        <x:v>Wakefield</x:v>
      </x:c>
      <x:c r="G416" s="43" t="str">
        <x:v>West Yorkshire</x:v>
      </x:c>
      <x:c r="H416" s="43" t="str">
        <x:v>WF1 3QX</x:v>
      </x:c>
      <x:c r="I416" s="43" t="n">
        <x:v>3</x:v>
      </x:c>
      <x:c r="J416" s="43" t="n">
        <x:v>19</x:v>
      </x:c>
      <x:c r="K416" s="43" t="str">
        <x:v>No boarders</x:v>
      </x:c>
      <x:c r="L416" s="43" t="str">
        <x:v>Has a sixth form</x:v>
      </x:c>
      <x:c r="M416" s="43" t="n">
        <x:v>668</x:v>
      </x:c>
      <x:c r="N416" s="43" t="str">
        <x:v>http://www.wgsf.org.uk/</x:v>
      </x:c>
      <x:c r="O416" s="43" t="str">
        <x:v>01924373943</x:v>
      </x:c>
      <x:c r="P416" s="43" t="str"/>
      <x:c r="Q416" s="43" t="str"/>
      <x:c r="R416" s="43" t="str">
        <x:v>Queued for contact research</x:v>
      </x:c>
      <x:c r="S416" s="43" t="str">
        <x:v>Not reviewed</x:v>
      </x:c>
      <x:c r="T416" s="43" t="str">
        <x:v>Hold</x:v>
      </x:c>
      <x:c r="U416" s="43" t="str">
        <x:v>No</x:v>
      </x:c>
      <x:c r="V416" s="44"/>
      <x:c r="W416" s="43" t="str"/>
      <x:c r="X416" s="43" t="str"/>
      <x:c r="Y416" s="43" t="str"/>
      <x:c r="Z416" s="43" t="str">
        <x:v>https://www.get-information-schools.service.gov.uk/Downloads</x:v>
      </x:c>
    </x:row>
    <x:row r="417">
      <x:c r="A417" s="43" t="str">
        <x:v>UK independent</x:v>
      </x:c>
      <x:c r="B417" s="43" t="str">
        <x:v>103585</x:v>
      </x:c>
      <x:c r="C417" s="43" t="n">
        <x:f>IF(K417="Boarding school",30,0)+IF(J417&gt;=18,20,0)+IF(I417&lt;=11,10,0)+IF(L417="Has a sixth form",15,0)+IF(M417&gt;=200,10,0)+IF(N417&lt;&gt;"",10,0)</x:f>
        <x:v>65</x:v>
      </x:c>
      <x:c r="D417" s="43" t="str">
        <x:f>IF(C417&gt;=85,"A",IF(C417&gt;=65,"B","C"))</x:f>
        <x:v>B</x:v>
      </x:c>
      <x:c r="E417" s="43" t="str">
        <x:v>King Edward VI High School for Girls</x:v>
      </x:c>
      <x:c r="F417" s="43" t="str">
        <x:v>Birmingham</x:v>
      </x:c>
      <x:c r="G417" s="43" t="str">
        <x:v>West Midlands</x:v>
      </x:c>
      <x:c r="H417" s="43" t="str">
        <x:v>B15 2UB</x:v>
      </x:c>
      <x:c r="I417" s="43" t="n">
        <x:v>11</x:v>
      </x:c>
      <x:c r="J417" s="43" t="n">
        <x:v>19</x:v>
      </x:c>
      <x:c r="K417" s="43" t="str">
        <x:v>No boarders</x:v>
      </x:c>
      <x:c r="L417" s="43" t="str">
        <x:v>Has a sixth form</x:v>
      </x:c>
      <x:c r="M417" s="43" t="n">
        <x:v>664</x:v>
      </x:c>
      <x:c r="N417" s="43" t="str">
        <x:v>https://www.kehs.org.uk/</x:v>
      </x:c>
      <x:c r="O417" s="43" t="str">
        <x:v>01214721834</x:v>
      </x:c>
      <x:c r="P417" s="43" t="str"/>
      <x:c r="Q417" s="43" t="str"/>
      <x:c r="R417" s="43" t="str">
        <x:v>Queued for contact research</x:v>
      </x:c>
      <x:c r="S417" s="43" t="str">
        <x:v>Not reviewed</x:v>
      </x:c>
      <x:c r="T417" s="43" t="str">
        <x:v>Hold</x:v>
      </x:c>
      <x:c r="U417" s="43" t="str">
        <x:v>No</x:v>
      </x:c>
      <x:c r="V417" s="44"/>
      <x:c r="W417" s="43" t="str"/>
      <x:c r="X417" s="43" t="str"/>
      <x:c r="Y417" s="43" t="str"/>
      <x:c r="Z417" s="43" t="str">
        <x:v>https://www.get-information-schools.service.gov.uk/Downloads</x:v>
      </x:c>
    </x:row>
    <x:row r="418">
      <x:c r="A418" s="43" t="str">
        <x:v>UK independent</x:v>
      </x:c>
      <x:c r="B418" s="43" t="str">
        <x:v>108538</x:v>
      </x:c>
      <x:c r="C418" s="43" t="n">
        <x:f>IF(K418="Boarding school",30,0)+IF(J418&gt;=18,20,0)+IF(I418&lt;=11,10,0)+IF(L418="Has a sixth form",15,0)+IF(M418&gt;=200,10,0)+IF(N418&lt;&gt;"",10,0)</x:f>
        <x:v>65</x:v>
      </x:c>
      <x:c r="D418" s="43" t="str">
        <x:f>IF(C418&gt;=85,"A",IF(C418&gt;=65,"B","C"))</x:f>
        <x:v>B</x:v>
      </x:c>
      <x:c r="E418" s="43" t="str">
        <x:v>Newcastle High School for Girls GDST</x:v>
      </x:c>
      <x:c r="F418" s="43" t="str"/>
      <x:c r="G418" s="43" t="str"/>
      <x:c r="H418" s="43" t="str">
        <x:v>NE2 3BA</x:v>
      </x:c>
      <x:c r="I418" s="43" t="n">
        <x:v>3</x:v>
      </x:c>
      <x:c r="J418" s="43" t="n">
        <x:v>18</x:v>
      </x:c>
      <x:c r="K418" s="43" t="str">
        <x:v>No boarders</x:v>
      </x:c>
      <x:c r="L418" s="43" t="str">
        <x:v>Has a sixth form</x:v>
      </x:c>
      <x:c r="M418" s="43" t="n">
        <x:v>660</x:v>
      </x:c>
      <x:c r="N418" s="43" t="str">
        <x:v>http://www.newcastlehigh.gdst.net</x:v>
      </x:c>
      <x:c r="O418" s="43" t="str">
        <x:v>01912811768</x:v>
      </x:c>
      <x:c r="P418" s="43" t="str"/>
      <x:c r="Q418" s="43" t="str"/>
      <x:c r="R418" s="43" t="str">
        <x:v>Queued for contact research</x:v>
      </x:c>
      <x:c r="S418" s="43" t="str">
        <x:v>Not reviewed</x:v>
      </x:c>
      <x:c r="T418" s="43" t="str">
        <x:v>Hold</x:v>
      </x:c>
      <x:c r="U418" s="43" t="str">
        <x:v>No</x:v>
      </x:c>
      <x:c r="V418" s="44"/>
      <x:c r="W418" s="43" t="str"/>
      <x:c r="X418" s="43" t="str"/>
      <x:c r="Y418" s="43" t="str"/>
      <x:c r="Z418" s="43" t="str">
        <x:v>https://www.get-information-schools.service.gov.uk/Downloads</x:v>
      </x:c>
    </x:row>
    <x:row r="419">
      <x:c r="A419" s="43" t="str">
        <x:v>UK independent</x:v>
      </x:c>
      <x:c r="B419" s="43" t="str">
        <x:v>123303</x:v>
      </x:c>
      <x:c r="C419" s="43" t="n">
        <x:f>IF(K419="Boarding school",30,0)+IF(J419&gt;=18,20,0)+IF(I419&lt;=11,10,0)+IF(L419="Has a sixth form",15,0)+IF(M419&gt;=200,10,0)+IF(N419&lt;&gt;"",10,0)</x:f>
        <x:v>65</x:v>
      </x:c>
      <x:c r="D419" s="43" t="str">
        <x:f>IF(C419&gt;=85,"A",IF(C419&gt;=65,"B","C"))</x:f>
        <x:v>B</x:v>
      </x:c>
      <x:c r="E419" s="43" t="str">
        <x:v>Cranford School</x:v>
      </x:c>
      <x:c r="F419" s="43" t="str">
        <x:v>Wallingford</x:v>
      </x:c>
      <x:c r="G419" s="43" t="str">
        <x:v>Oxfordshire</x:v>
      </x:c>
      <x:c r="H419" s="43" t="str">
        <x:v>OX10 9HT</x:v>
      </x:c>
      <x:c r="I419" s="43" t="n">
        <x:v>2</x:v>
      </x:c>
      <x:c r="J419" s="43" t="n">
        <x:v>18</x:v>
      </x:c>
      <x:c r="K419" s="43" t="str">
        <x:v>No boarders</x:v>
      </x:c>
      <x:c r="L419" s="43" t="str">
        <x:v>Has a sixth form</x:v>
      </x:c>
      <x:c r="M419" s="43" t="n">
        <x:v>631</x:v>
      </x:c>
      <x:c r="N419" s="43" t="str">
        <x:v>https://www.cranfordschool.co.uk</x:v>
      </x:c>
      <x:c r="O419" s="43" t="str">
        <x:v>01491651218</x:v>
      </x:c>
      <x:c r="P419" s="43" t="str"/>
      <x:c r="Q419" s="43" t="str"/>
      <x:c r="R419" s="43" t="str">
        <x:v>Queued for contact research</x:v>
      </x:c>
      <x:c r="S419" s="43" t="str">
        <x:v>Not reviewed</x:v>
      </x:c>
      <x:c r="T419" s="43" t="str">
        <x:v>Hold</x:v>
      </x:c>
      <x:c r="U419" s="43" t="str">
        <x:v>No</x:v>
      </x:c>
      <x:c r="V419" s="44"/>
      <x:c r="W419" s="43" t="str"/>
      <x:c r="X419" s="43" t="str"/>
      <x:c r="Y419" s="43" t="str"/>
      <x:c r="Z419" s="43" t="str">
        <x:v>https://www.get-information-schools.service.gov.uk/Downloads</x:v>
      </x:c>
    </x:row>
    <x:row r="420">
      <x:c r="A420" s="43" t="str">
        <x:v>UK independent</x:v>
      </x:c>
      <x:c r="B420" s="43" t="str">
        <x:v>122936</x:v>
      </x:c>
      <x:c r="C420" s="43" t="n">
        <x:f>IF(K420="Boarding school",30,0)+IF(J420&gt;=18,20,0)+IF(I420&lt;=11,10,0)+IF(L420="Has a sixth form",15,0)+IF(M420&gt;=200,10,0)+IF(N420&lt;&gt;"",10,0)</x:f>
        <x:v>65</x:v>
      </x:c>
      <x:c r="D420" s="43" t="str">
        <x:f>IF(C420&gt;=85,"A",IF(C420&gt;=65,"B","C"))</x:f>
        <x:v>B</x:v>
      </x:c>
      <x:c r="E420" s="43" t="str">
        <x:v>Nottingham Girls' High School GDST</x:v>
      </x:c>
      <x:c r="F420" s="43" t="str"/>
      <x:c r="G420" s="43" t="str">
        <x:v>Nottinghamshire</x:v>
      </x:c>
      <x:c r="H420" s="43" t="str">
        <x:v>NG1 4JB</x:v>
      </x:c>
      <x:c r="I420" s="43" t="n">
        <x:v>3</x:v>
      </x:c>
      <x:c r="J420" s="43" t="n">
        <x:v>19</x:v>
      </x:c>
      <x:c r="K420" s="43" t="str">
        <x:v>No boarders</x:v>
      </x:c>
      <x:c r="L420" s="43" t="str">
        <x:v>Has a sixth form</x:v>
      </x:c>
      <x:c r="M420" s="43" t="n">
        <x:v>625</x:v>
      </x:c>
      <x:c r="N420" s="43" t="str">
        <x:v>https://nottinghamgirlshigh.gdst.net/</x:v>
      </x:c>
      <x:c r="O420" s="43" t="str">
        <x:v>01159417663</x:v>
      </x:c>
      <x:c r="P420" s="43" t="str"/>
      <x:c r="Q420" s="43" t="str"/>
      <x:c r="R420" s="43" t="str">
        <x:v>Queued for contact research</x:v>
      </x:c>
      <x:c r="S420" s="43" t="str">
        <x:v>Not reviewed</x:v>
      </x:c>
      <x:c r="T420" s="43" t="str">
        <x:v>Hold</x:v>
      </x:c>
      <x:c r="U420" s="43" t="str">
        <x:v>No</x:v>
      </x:c>
      <x:c r="V420" s="44"/>
      <x:c r="W420" s="43" t="str"/>
      <x:c r="X420" s="43" t="str"/>
      <x:c r="Y420" s="43" t="str"/>
      <x:c r="Z420" s="43" t="str">
        <x:v>https://www.get-information-schools.service.gov.uk/Downloads</x:v>
      </x:c>
    </x:row>
    <x:row r="421">
      <x:c r="A421" s="43" t="str">
        <x:v>UK independent</x:v>
      </x:c>
      <x:c r="B421" s="43" t="str">
        <x:v>125380</x:v>
      </x:c>
      <x:c r="C421" s="43" t="n">
        <x:f>IF(K421="Boarding school",30,0)+IF(J421&gt;=18,20,0)+IF(I421&lt;=11,10,0)+IF(L421="Has a sixth form",15,0)+IF(M421&gt;=200,10,0)+IF(N421&lt;&gt;"",10,0)</x:f>
        <x:v>65</x:v>
      </x:c>
      <x:c r="D421" s="43" t="str">
        <x:f>IF(C421&gt;=85,"A",IF(C421&gt;=65,"B","C"))</x:f>
        <x:v>B</x:v>
      </x:c>
      <x:c r="E421" s="43" t="str">
        <x:v>Ewell Castle School</x:v>
      </x:c>
      <x:c r="F421" s="43" t="str">
        <x:v>Epsom</x:v>
      </x:c>
      <x:c r="G421" s="43" t="str">
        <x:v>Surrey</x:v>
      </x:c>
      <x:c r="H421" s="43" t="str">
        <x:v>KT17 2AW</x:v>
      </x:c>
      <x:c r="I421" s="43" t="n">
        <x:v>4</x:v>
      </x:c>
      <x:c r="J421" s="43" t="n">
        <x:v>19</x:v>
      </x:c>
      <x:c r="K421" s="43" t="str">
        <x:v>No boarders</x:v>
      </x:c>
      <x:c r="L421" s="43" t="str">
        <x:v>Has a sixth form</x:v>
      </x:c>
      <x:c r="M421" s="43" t="n">
        <x:v>611</x:v>
      </x:c>
      <x:c r="N421" s="43" t="str">
        <x:v>https://www.ewellcastle.co.uk</x:v>
      </x:c>
      <x:c r="O421" s="43" t="str">
        <x:v>02083931413</x:v>
      </x:c>
      <x:c r="P421" s="43" t="str"/>
      <x:c r="Q421" s="43" t="str"/>
      <x:c r="R421" s="43" t="str">
        <x:v>Queued for contact research</x:v>
      </x:c>
      <x:c r="S421" s="43" t="str">
        <x:v>Not reviewed</x:v>
      </x:c>
      <x:c r="T421" s="43" t="str">
        <x:v>Hold</x:v>
      </x:c>
      <x:c r="U421" s="43" t="str">
        <x:v>No</x:v>
      </x:c>
      <x:c r="V421" s="44"/>
      <x:c r="W421" s="43" t="str"/>
      <x:c r="X421" s="43" t="str"/>
      <x:c r="Y421" s="43" t="str"/>
      <x:c r="Z421" s="43" t="str">
        <x:v>https://www.get-information-schools.service.gov.uk/Downloads</x:v>
      </x:c>
    </x:row>
    <x:row r="422">
      <x:c r="A422" s="43" t="str">
        <x:v>UK independent</x:v>
      </x:c>
      <x:c r="B422" s="43" t="str">
        <x:v>110545</x:v>
      </x:c>
      <x:c r="C422" s="43" t="n">
        <x:f>IF(K422="Boarding school",30,0)+IF(J422&gt;=18,20,0)+IF(I422&lt;=11,10,0)+IF(L422="Has a sixth form",15,0)+IF(M422&gt;=200,10,0)+IF(N422&lt;&gt;"",10,0)</x:f>
        <x:v>65</x:v>
      </x:c>
      <x:c r="D422" s="43" t="str">
        <x:f>IF(C422&gt;=85,"A",IF(C422&gt;=65,"B","C"))</x:f>
        <x:v>B</x:v>
      </x:c>
      <x:c r="E422" s="43" t="str">
        <x:v>Pipers Corner School</x:v>
      </x:c>
      <x:c r="F422" s="43" t="str">
        <x:v>High Wycombe</x:v>
      </x:c>
      <x:c r="G422" s="43" t="str">
        <x:v>Buckinghamshire</x:v>
      </x:c>
      <x:c r="H422" s="43" t="str">
        <x:v>HP15 6LP</x:v>
      </x:c>
      <x:c r="I422" s="43" t="n">
        <x:v>4</x:v>
      </x:c>
      <x:c r="J422" s="43" t="n">
        <x:v>19</x:v>
      </x:c>
      <x:c r="K422" s="43" t="str">
        <x:v>No boarders</x:v>
      </x:c>
      <x:c r="L422" s="43" t="str">
        <x:v>Has a sixth form</x:v>
      </x:c>
      <x:c r="M422" s="43" t="n">
        <x:v>598</x:v>
      </x:c>
      <x:c r="N422" s="43" t="str">
        <x:v>https://www.piperscorner.co.uk</x:v>
      </x:c>
      <x:c r="O422" s="43" t="str">
        <x:v>01494718255</x:v>
      </x:c>
      <x:c r="P422" s="43" t="str"/>
      <x:c r="Q422" s="43" t="str"/>
      <x:c r="R422" s="43" t="str">
        <x:v>Queued for contact research</x:v>
      </x:c>
      <x:c r="S422" s="43" t="str">
        <x:v>Not reviewed</x:v>
      </x:c>
      <x:c r="T422" s="43" t="str">
        <x:v>Hold</x:v>
      </x:c>
      <x:c r="U422" s="43" t="str">
        <x:v>No</x:v>
      </x:c>
      <x:c r="V422" s="44"/>
      <x:c r="W422" s="43" t="str"/>
      <x:c r="X422" s="43" t="str"/>
      <x:c r="Y422" s="43" t="str"/>
      <x:c r="Z422" s="43" t="str">
        <x:v>https://www.get-information-schools.service.gov.uk/Downloads</x:v>
      </x:c>
    </x:row>
    <x:row r="423">
      <x:c r="A423" s="43" t="str">
        <x:v>UK independent</x:v>
      </x:c>
      <x:c r="B423" s="43" t="str">
        <x:v>101161</x:v>
      </x:c>
      <x:c r="C423" s="43" t="n">
        <x:f>IF(K423="Boarding school",30,0)+IF(J423&gt;=18,20,0)+IF(I423&lt;=11,10,0)+IF(L423="Has a sixth form",15,0)+IF(M423&gt;=200,10,0)+IF(N423&lt;&gt;"",10,0)</x:f>
        <x:v>65</x:v>
      </x:c>
      <x:c r="D423" s="43" t="str">
        <x:f>IF(C423&gt;=85,"A",IF(C423&gt;=65,"B","C"))</x:f>
        <x:v>B</x:v>
      </x:c>
      <x:c r="E423" s="43" t="str">
        <x:v>Francis Holland School</x:v>
      </x:c>
      <x:c r="F423" s="43" t="str">
        <x:v>London</x:v>
      </x:c>
      <x:c r="G423" s="43" t="str"/>
      <x:c r="H423" s="43" t="str">
        <x:v>SW1W 8JF</x:v>
      </x:c>
      <x:c r="I423" s="43" t="n">
        <x:v>10</x:v>
      </x:c>
      <x:c r="J423" s="43" t="n">
        <x:v>19</x:v>
      </x:c>
      <x:c r="K423" s="43" t="str">
        <x:v>No boarders</x:v>
      </x:c>
      <x:c r="L423" s="43" t="str">
        <x:v>Has a sixth form</x:v>
      </x:c>
      <x:c r="M423" s="43" t="n">
        <x:v>594</x:v>
      </x:c>
      <x:c r="N423" s="43" t="str">
        <x:v>https://www.fhs-sw1.org.uk</x:v>
      </x:c>
      <x:c r="O423" s="43" t="str">
        <x:v>02077302971</x:v>
      </x:c>
      <x:c r="P423" s="43" t="str"/>
      <x:c r="Q423" s="43" t="str"/>
      <x:c r="R423" s="43" t="str">
        <x:v>Queued for contact research</x:v>
      </x:c>
      <x:c r="S423" s="43" t="str">
        <x:v>Not reviewed</x:v>
      </x:c>
      <x:c r="T423" s="43" t="str">
        <x:v>Hold</x:v>
      </x:c>
      <x:c r="U423" s="43" t="str">
        <x:v>No</x:v>
      </x:c>
      <x:c r="V423" s="44"/>
      <x:c r="W423" s="43" t="str"/>
      <x:c r="X423" s="43" t="str"/>
      <x:c r="Y423" s="43" t="str"/>
      <x:c r="Z423" s="43" t="str">
        <x:v>https://www.get-information-schools.service.gov.uk/Downloads</x:v>
      </x:c>
    </x:row>
    <x:row r="424">
      <x:c r="A424" s="43" t="str">
        <x:v>UK independent</x:v>
      </x:c>
      <x:c r="B424" s="43" t="str">
        <x:v>105745</x:v>
      </x:c>
      <x:c r="C424" s="43" t="n">
        <x:f>IF(K424="Boarding school",30,0)+IF(J424&gt;=18,20,0)+IF(I424&lt;=11,10,0)+IF(L424="Has a sixth form",15,0)+IF(M424&gt;=200,10,0)+IF(N424&lt;&gt;"",10,0)</x:f>
        <x:v>65</x:v>
      </x:c>
      <x:c r="D424" s="43" t="str">
        <x:f>IF(C424&gt;=85,"A",IF(C424&gt;=65,"B","C"))</x:f>
        <x:v>B</x:v>
      </x:c>
      <x:c r="E424" s="43" t="str">
        <x:v>Hulme Grammar School</x:v>
      </x:c>
      <x:c r="F424" s="43" t="str">
        <x:v>Oldham</x:v>
      </x:c>
      <x:c r="G424" s="43" t="str">
        <x:v>Lancashire</x:v>
      </x:c>
      <x:c r="H424" s="43" t="str">
        <x:v>OL8 4BX</x:v>
      </x:c>
      <x:c r="I424" s="43" t="n">
        <x:v>4</x:v>
      </x:c>
      <x:c r="J424" s="43" t="n">
        <x:v>18</x:v>
      </x:c>
      <x:c r="K424" s="43" t="str">
        <x:v>No boarders</x:v>
      </x:c>
      <x:c r="L424" s="43" t="str">
        <x:v>Has a sixth form</x:v>
      </x:c>
      <x:c r="M424" s="43" t="n">
        <x:v>579</x:v>
      </x:c>
      <x:c r="N424" s="43" t="str">
        <x:v>https://www.hulmegrammar.org</x:v>
      </x:c>
      <x:c r="O424" s="43" t="str">
        <x:v>01616306158</x:v>
      </x:c>
      <x:c r="P424" s="43" t="str"/>
      <x:c r="Q424" s="43" t="str"/>
      <x:c r="R424" s="43" t="str">
        <x:v>Queued for contact research</x:v>
      </x:c>
      <x:c r="S424" s="43" t="str">
        <x:v>Not reviewed</x:v>
      </x:c>
      <x:c r="T424" s="43" t="str">
        <x:v>Hold</x:v>
      </x:c>
      <x:c r="U424" s="43" t="str">
        <x:v>No</x:v>
      </x:c>
      <x:c r="V424" s="44"/>
      <x:c r="W424" s="43" t="str"/>
      <x:c r="X424" s="43" t="str"/>
      <x:c r="Y424" s="43" t="str"/>
      <x:c r="Z424" s="43" t="str">
        <x:v>https://www.get-information-schools.service.gov.uk/Downloads</x:v>
      </x:c>
    </x:row>
    <x:row r="425">
      <x:c r="A425" s="43" t="str">
        <x:v>UK independent</x:v>
      </x:c>
      <x:c r="B425" s="43" t="str">
        <x:v>123283</x:v>
      </x:c>
      <x:c r="C425" s="43" t="n">
        <x:f>IF(K425="Boarding school",30,0)+IF(J425&gt;=18,20,0)+IF(I425&lt;=11,10,0)+IF(L425="Has a sixth form",15,0)+IF(M425&gt;=200,10,0)+IF(N425&lt;&gt;"",10,0)</x:f>
        <x:v>65</x:v>
      </x:c>
      <x:c r="D425" s="43" t="str">
        <x:f>IF(C425&gt;=85,"A",IF(C425&gt;=65,"B","C"))</x:f>
        <x:v>B</x:v>
      </x:c>
      <x:c r="E425" s="43" t="str">
        <x:v>Cokethorpe School</x:v>
      </x:c>
      <x:c r="F425" s="43" t="str">
        <x:v>Witney</x:v>
      </x:c>
      <x:c r="G425" s="43" t="str">
        <x:v>Oxfordshire</x:v>
      </x:c>
      <x:c r="H425" s="43" t="str">
        <x:v>OX29 7PU</x:v>
      </x:c>
      <x:c r="I425" s="43" t="n">
        <x:v>4</x:v>
      </x:c>
      <x:c r="J425" s="43" t="n">
        <x:v>18</x:v>
      </x:c>
      <x:c r="K425" s="43" t="str">
        <x:v>No boarders</x:v>
      </x:c>
      <x:c r="L425" s="43" t="str">
        <x:v>Has a sixth form</x:v>
      </x:c>
      <x:c r="M425" s="43" t="n">
        <x:v>574</x:v>
      </x:c>
      <x:c r="N425" s="43" t="str">
        <x:v>https://www.cokethorpe.org</x:v>
      </x:c>
      <x:c r="O425" s="43" t="str">
        <x:v>01993703921</x:v>
      </x:c>
      <x:c r="P425" s="43" t="str"/>
      <x:c r="Q425" s="43" t="str"/>
      <x:c r="R425" s="43" t="str">
        <x:v>Queued for contact research</x:v>
      </x:c>
      <x:c r="S425" s="43" t="str">
        <x:v>Not reviewed</x:v>
      </x:c>
      <x:c r="T425" s="43" t="str">
        <x:v>Hold</x:v>
      </x:c>
      <x:c r="U425" s="43" t="str">
        <x:v>No</x:v>
      </x:c>
      <x:c r="V425" s="44"/>
      <x:c r="W425" s="43" t="str"/>
      <x:c r="X425" s="43" t="str"/>
      <x:c r="Y425" s="43" t="str"/>
      <x:c r="Z425" s="43" t="str">
        <x:v>https://www.get-information-schools.service.gov.uk/Downloads</x:v>
      </x:c>
    </x:row>
    <x:row r="426">
      <x:c r="A426" s="43" t="str">
        <x:v>UK independent</x:v>
      </x:c>
      <x:c r="B426" s="43" t="str">
        <x:v>121241</x:v>
      </x:c>
      <x:c r="C426" s="43" t="n">
        <x:f>IF(K426="Boarding school",30,0)+IF(J426&gt;=18,20,0)+IF(I426&lt;=11,10,0)+IF(L426="Has a sixth form",15,0)+IF(M426&gt;=200,10,0)+IF(N426&lt;&gt;"",10,0)</x:f>
        <x:v>65</x:v>
      </x:c>
      <x:c r="D426" s="43" t="str">
        <x:f>IF(C426&gt;=85,"A",IF(C426&gt;=65,"B","C"))</x:f>
        <x:v>B</x:v>
      </x:c>
      <x:c r="E426" s="43" t="str">
        <x:v>Norwich High School for Girls GDST</x:v>
      </x:c>
      <x:c r="F426" s="43" t="str"/>
      <x:c r="G426" s="43" t="str">
        <x:v>Norfolk</x:v>
      </x:c>
      <x:c r="H426" s="43" t="str">
        <x:v>NR2 2HU</x:v>
      </x:c>
      <x:c r="I426" s="43" t="n">
        <x:v>3</x:v>
      </x:c>
      <x:c r="J426" s="43" t="n">
        <x:v>19</x:v>
      </x:c>
      <x:c r="K426" s="43" t="str">
        <x:v>No boarders</x:v>
      </x:c>
      <x:c r="L426" s="43" t="str">
        <x:v>Has a sixth form</x:v>
      </x:c>
      <x:c r="M426" s="43" t="n">
        <x:v>574</x:v>
      </x:c>
      <x:c r="N426" s="43" t="str">
        <x:v>https://www.norwichhigh.gdst.net</x:v>
      </x:c>
      <x:c r="O426" s="43" t="str">
        <x:v>01603453265</x:v>
      </x:c>
      <x:c r="P426" s="43" t="str"/>
      <x:c r="Q426" s="43" t="str"/>
      <x:c r="R426" s="43" t="str">
        <x:v>Queued for contact research</x:v>
      </x:c>
      <x:c r="S426" s="43" t="str">
        <x:v>Not reviewed</x:v>
      </x:c>
      <x:c r="T426" s="43" t="str">
        <x:v>Hold</x:v>
      </x:c>
      <x:c r="U426" s="43" t="str">
        <x:v>No</x:v>
      </x:c>
      <x:c r="V426" s="44"/>
      <x:c r="W426" s="43" t="str"/>
      <x:c r="X426" s="43" t="str"/>
      <x:c r="Y426" s="43" t="str"/>
      <x:c r="Z426" s="43" t="str">
        <x:v>https://www.get-information-schools.service.gov.uk/Downloads</x:v>
      </x:c>
    </x:row>
    <x:row r="427">
      <x:c r="A427" s="43" t="str">
        <x:v>UK independent</x:v>
      </x:c>
      <x:c r="B427" s="43" t="str">
        <x:v>101158</x:v>
      </x:c>
      <x:c r="C427" s="43" t="n">
        <x:f>IF(K427="Boarding school",30,0)+IF(J427&gt;=18,20,0)+IF(I427&lt;=11,10,0)+IF(L427="Has a sixth form",15,0)+IF(M427&gt;=200,10,0)+IF(N427&lt;&gt;"",10,0)</x:f>
        <x:v>65</x:v>
      </x:c>
      <x:c r="D427" s="43" t="str">
        <x:f>IF(C427&gt;=85,"A",IF(C427&gt;=65,"B","C"))</x:f>
        <x:v>B</x:v>
      </x:c>
      <x:c r="E427" s="43" t="str">
        <x:v>Francis Holland School</x:v>
      </x:c>
      <x:c r="F427" s="43" t="str">
        <x:v>London</x:v>
      </x:c>
      <x:c r="G427" s="43" t="str"/>
      <x:c r="H427" s="43" t="str">
        <x:v>NW1 6XR</x:v>
      </x:c>
      <x:c r="I427" s="43" t="n">
        <x:v>10</x:v>
      </x:c>
      <x:c r="J427" s="43" t="n">
        <x:v>19</x:v>
      </x:c>
      <x:c r="K427" s="43" t="str">
        <x:v>No boarders</x:v>
      </x:c>
      <x:c r="L427" s="43" t="str">
        <x:v>Has a sixth form</x:v>
      </x:c>
      <x:c r="M427" s="43" t="n">
        <x:v>546</x:v>
      </x:c>
      <x:c r="N427" s="43" t="str">
        <x:v>https://www.fhs-nw1.org.uk</x:v>
      </x:c>
      <x:c r="O427" s="43" t="str">
        <x:v>02077230176</x:v>
      </x:c>
      <x:c r="P427" s="43" t="str"/>
      <x:c r="Q427" s="43" t="str"/>
      <x:c r="R427" s="43" t="str">
        <x:v>Queued for contact research</x:v>
      </x:c>
      <x:c r="S427" s="43" t="str">
        <x:v>Not reviewed</x:v>
      </x:c>
      <x:c r="T427" s="43" t="str">
        <x:v>Hold</x:v>
      </x:c>
      <x:c r="U427" s="43" t="str">
        <x:v>No</x:v>
      </x:c>
      <x:c r="V427" s="44"/>
      <x:c r="W427" s="43" t="str"/>
      <x:c r="X427" s="43" t="str"/>
      <x:c r="Y427" s="43" t="str"/>
      <x:c r="Z427" s="43" t="str">
        <x:v>https://www.get-information-schools.service.gov.uk/Downloads</x:v>
      </x:c>
    </x:row>
    <x:row r="428">
      <x:c r="A428" s="43" t="str">
        <x:v>UK independent</x:v>
      </x:c>
      <x:c r="B428" s="43" t="str">
        <x:v>124474</x:v>
      </x:c>
      <x:c r="C428" s="43" t="n">
        <x:f>IF(K428="Boarding school",30,0)+IF(J428&gt;=18,20,0)+IF(I428&lt;=11,10,0)+IF(L428="Has a sixth form",15,0)+IF(M428&gt;=200,10,0)+IF(N428&lt;&gt;"",10,0)</x:f>
        <x:v>65</x:v>
      </x:c>
      <x:c r="D428" s="43" t="str">
        <x:f>IF(C428&gt;=85,"A",IF(C428&gt;=65,"B","C"))</x:f>
        <x:v>B</x:v>
      </x:c>
      <x:c r="E428" s="43" t="str">
        <x:v>Lichfield Cathedral School</x:v>
      </x:c>
      <x:c r="F428" s="43" t="str">
        <x:v>Lichfield</x:v>
      </x:c>
      <x:c r="G428" s="43" t="str">
        <x:v>Staffordshire</x:v>
      </x:c>
      <x:c r="H428" s="43" t="str">
        <x:v>WS13 7LH</x:v>
      </x:c>
      <x:c r="I428" s="43" t="n">
        <x:v>2</x:v>
      </x:c>
      <x:c r="J428" s="43" t="n">
        <x:v>19</x:v>
      </x:c>
      <x:c r="K428" s="43" t="str">
        <x:v>No boarders</x:v>
      </x:c>
      <x:c r="L428" s="43" t="str">
        <x:v>Has a sixth form</x:v>
      </x:c>
      <x:c r="M428" s="43" t="n">
        <x:v>546</x:v>
      </x:c>
      <x:c r="N428" s="43" t="str">
        <x:v>https://www.lichfieldcathedralschool.com</x:v>
      </x:c>
      <x:c r="O428" s="43" t="str">
        <x:v>01543306170</x:v>
      </x:c>
      <x:c r="P428" s="43" t="str"/>
      <x:c r="Q428" s="43" t="str"/>
      <x:c r="R428" s="43" t="str">
        <x:v>Queued for contact research</x:v>
      </x:c>
      <x:c r="S428" s="43" t="str">
        <x:v>Not reviewed</x:v>
      </x:c>
      <x:c r="T428" s="43" t="str">
        <x:v>Hold</x:v>
      </x:c>
      <x:c r="U428" s="43" t="str">
        <x:v>No</x:v>
      </x:c>
      <x:c r="V428" s="44"/>
      <x:c r="W428" s="43" t="str"/>
      <x:c r="X428" s="43" t="str"/>
      <x:c r="Y428" s="43" t="str"/>
      <x:c r="Z428" s="43" t="str">
        <x:v>https://www.get-information-schools.service.gov.uk/Downloads</x:v>
      </x:c>
    </x:row>
    <x:row r="429">
      <x:c r="A429" s="43" t="str">
        <x:v>UK independent</x:v>
      </x:c>
      <x:c r="B429" s="43" t="str">
        <x:v>125351</x:v>
      </x:c>
      <x:c r="C429" s="43" t="n">
        <x:f>IF(K429="Boarding school",30,0)+IF(J429&gt;=18,20,0)+IF(I429&lt;=11,10,0)+IF(L429="Has a sixth form",15,0)+IF(M429&gt;=200,10,0)+IF(N429&lt;&gt;"",10,0)</x:f>
        <x:v>65</x:v>
      </x:c>
      <x:c r="D429" s="43" t="str">
        <x:f>IF(C429&gt;=85,"A",IF(C429&gt;=65,"B","C"))</x:f>
        <x:v>B</x:v>
      </x:c>
      <x:c r="E429" s="43" t="str">
        <x:v>Downsend School</x:v>
      </x:c>
      <x:c r="F429" s="43" t="str">
        <x:v>Leatherhead</x:v>
      </x:c>
      <x:c r="G429" s="43" t="str">
        <x:v>Surrey</x:v>
      </x:c>
      <x:c r="H429" s="43" t="str">
        <x:v>KT22 8TJ</x:v>
      </x:c>
      <x:c r="I429" s="43" t="n">
        <x:v>7</x:v>
      </x:c>
      <x:c r="J429" s="43" t="n">
        <x:v>19</x:v>
      </x:c>
      <x:c r="K429" s="43" t="str">
        <x:v>No boarders</x:v>
      </x:c>
      <x:c r="L429" s="43" t="str">
        <x:v>Has a sixth form</x:v>
      </x:c>
      <x:c r="M429" s="43" t="n">
        <x:v>537</x:v>
      </x:c>
      <x:c r="N429" s="43" t="str">
        <x:v>https://www.downsend.co.uk</x:v>
      </x:c>
      <x:c r="O429" s="43" t="str">
        <x:v>01372372197</x:v>
      </x:c>
      <x:c r="P429" s="43" t="str"/>
      <x:c r="Q429" s="43" t="str"/>
      <x:c r="R429" s="43" t="str">
        <x:v>Queued for contact research</x:v>
      </x:c>
      <x:c r="S429" s="43" t="str">
        <x:v>Not reviewed</x:v>
      </x:c>
      <x:c r="T429" s="43" t="str">
        <x:v>Hold</x:v>
      </x:c>
      <x:c r="U429" s="43" t="str">
        <x:v>No</x:v>
      </x:c>
      <x:c r="V429" s="44"/>
      <x:c r="W429" s="43" t="str"/>
      <x:c r="X429" s="43" t="str"/>
      <x:c r="Y429" s="43" t="str"/>
      <x:c r="Z429" s="43" t="str">
        <x:v>https://www.get-information-schools.service.gov.uk/Downloads</x:v>
      </x:c>
    </x:row>
    <x:row r="430">
      <x:c r="A430" s="43" t="str">
        <x:v>UK independent</x:v>
      </x:c>
      <x:c r="B430" s="43" t="str">
        <x:v>116543</x:v>
      </x:c>
      <x:c r="C430" s="43" t="n">
        <x:f>IF(K430="Boarding school",30,0)+IF(J430&gt;=18,20,0)+IF(I430&lt;=11,10,0)+IF(L430="Has a sixth form",15,0)+IF(M430&gt;=200,10,0)+IF(N430&lt;&gt;"",10,0)</x:f>
        <x:v>65</x:v>
      </x:c>
      <x:c r="D430" s="43" t="str">
        <x:f>IF(C430&gt;=85,"A",IF(C430&gt;=65,"B","C"))</x:f>
        <x:v>B</x:v>
      </x:c>
      <x:c r="E430" s="43" t="str">
        <x:v>Salesian College</x:v>
      </x:c>
      <x:c r="F430" s="43" t="str">
        <x:v>Farnborough</x:v>
      </x:c>
      <x:c r="G430" s="43" t="str">
        <x:v>Hampshire</x:v>
      </x:c>
      <x:c r="H430" s="43" t="str">
        <x:v>GU14 6PA</x:v>
      </x:c>
      <x:c r="I430" s="43" t="n">
        <x:v>11</x:v>
      </x:c>
      <x:c r="J430" s="43" t="n">
        <x:v>18</x:v>
      </x:c>
      <x:c r="K430" s="43" t="str">
        <x:v>No boarders</x:v>
      </x:c>
      <x:c r="L430" s="43" t="str">
        <x:v>Has a sixth form</x:v>
      </x:c>
      <x:c r="M430" s="43" t="n">
        <x:v>527</x:v>
      </x:c>
      <x:c r="N430" s="43" t="str">
        <x:v>https://www.salesiancollege.com</x:v>
      </x:c>
      <x:c r="O430" s="43" t="str">
        <x:v>01252893000</x:v>
      </x:c>
      <x:c r="P430" s="43" t="str"/>
      <x:c r="Q430" s="43" t="str"/>
      <x:c r="R430" s="43" t="str">
        <x:v>Queued for contact research</x:v>
      </x:c>
      <x:c r="S430" s="43" t="str">
        <x:v>Not reviewed</x:v>
      </x:c>
      <x:c r="T430" s="43" t="str">
        <x:v>Hold</x:v>
      </x:c>
      <x:c r="U430" s="43" t="str">
        <x:v>No</x:v>
      </x:c>
      <x:c r="V430" s="44"/>
      <x:c r="W430" s="43" t="str"/>
      <x:c r="X430" s="43" t="str"/>
      <x:c r="Y430" s="43" t="str"/>
      <x:c r="Z430" s="43" t="str">
        <x:v>https://www.get-information-schools.service.gov.uk/Downloads</x:v>
      </x:c>
    </x:row>
    <x:row r="431">
      <x:c r="A431" s="43" t="str">
        <x:v>UK independent</x:v>
      </x:c>
      <x:c r="B431" s="43" t="str">
        <x:v>108104</x:v>
      </x:c>
      <x:c r="C431" s="43" t="n">
        <x:f>IF(K431="Boarding school",30,0)+IF(J431&gt;=18,20,0)+IF(I431&lt;=11,10,0)+IF(L431="Has a sixth form",15,0)+IF(M431&gt;=200,10,0)+IF(N431&lt;&gt;"",10,0)</x:f>
        <x:v>65</x:v>
      </x:c>
      <x:c r="D431" s="43" t="str">
        <x:f>IF(C431&gt;=85,"A",IF(C431&gt;=65,"B","C"))</x:f>
        <x:v>B</x:v>
      </x:c>
      <x:c r="E431" s="43" t="str">
        <x:v>Gateways School</x:v>
      </x:c>
      <x:c r="F431" s="43" t="str">
        <x:v>Leeds</x:v>
      </x:c>
      <x:c r="G431" s="43" t="str">
        <x:v>West Yorkshire</x:v>
      </x:c>
      <x:c r="H431" s="43" t="str">
        <x:v>LS17 9LE</x:v>
      </x:c>
      <x:c r="I431" s="43" t="n">
        <x:v>2</x:v>
      </x:c>
      <x:c r="J431" s="43" t="n">
        <x:v>19</x:v>
      </x:c>
      <x:c r="K431" s="43" t="str">
        <x:v>No boarders</x:v>
      </x:c>
      <x:c r="L431" s="43" t="str">
        <x:v>Has a sixth form</x:v>
      </x:c>
      <x:c r="M431" s="43" t="n">
        <x:v>525</x:v>
      </x:c>
      <x:c r="N431" s="43" t="str">
        <x:v>https://www.gatewaysschool.co.uk</x:v>
      </x:c>
      <x:c r="O431" s="43" t="str">
        <x:v>01132886345</x:v>
      </x:c>
      <x:c r="P431" s="43" t="str"/>
      <x:c r="Q431" s="43" t="str"/>
      <x:c r="R431" s="43" t="str">
        <x:v>Queued for contact research</x:v>
      </x:c>
      <x:c r="S431" s="43" t="str">
        <x:v>Not reviewed</x:v>
      </x:c>
      <x:c r="T431" s="43" t="str">
        <x:v>Hold</x:v>
      </x:c>
      <x:c r="U431" s="43" t="str">
        <x:v>No</x:v>
      </x:c>
      <x:c r="V431" s="44"/>
      <x:c r="W431" s="43" t="str"/>
      <x:c r="X431" s="43" t="str"/>
      <x:c r="Y431" s="43" t="str"/>
      <x:c r="Z431" s="43" t="str">
        <x:v>https://www.get-information-schools.service.gov.uk/Downloads</x:v>
      </x:c>
    </x:row>
    <x:row r="432">
      <x:c r="A432" s="43" t="str">
        <x:v>UK independent</x:v>
      </x:c>
      <x:c r="B432" s="43" t="str">
        <x:v>108303</x:v>
      </x:c>
      <x:c r="C432" s="43" t="n">
        <x:f>IF(K432="Boarding school",30,0)+IF(J432&gt;=18,20,0)+IF(I432&lt;=11,10,0)+IF(L432="Has a sixth form",15,0)+IF(M432&gt;=200,10,0)+IF(N432&lt;&gt;"",10,0)</x:f>
        <x:v>65</x:v>
      </x:c>
      <x:c r="D432" s="43" t="str">
        <x:f>IF(C432&gt;=85,"A",IF(C432&gt;=65,"B","C"))</x:f>
        <x:v>B</x:v>
      </x:c>
      <x:c r="E432" s="43" t="str">
        <x:v>Silcoates School</x:v>
      </x:c>
      <x:c r="F432" s="43" t="str">
        <x:v>West Yorkshire</x:v>
      </x:c>
      <x:c r="G432" s="43" t="str"/>
      <x:c r="H432" s="43" t="str">
        <x:v>WF2 0PD</x:v>
      </x:c>
      <x:c r="I432" s="43" t="n">
        <x:v>2</x:v>
      </x:c>
      <x:c r="J432" s="43" t="n">
        <x:v>19</x:v>
      </x:c>
      <x:c r="K432" s="43" t="str">
        <x:v>No boarders</x:v>
      </x:c>
      <x:c r="L432" s="43" t="str">
        <x:v>Has a sixth form</x:v>
      </x:c>
      <x:c r="M432" s="43" t="n">
        <x:v>517</x:v>
      </x:c>
      <x:c r="N432" s="43" t="str">
        <x:v>https://www.silcoates.org.uk</x:v>
      </x:c>
      <x:c r="O432" s="43" t="str">
        <x:v>01924291614</x:v>
      </x:c>
      <x:c r="P432" s="43" t="str"/>
      <x:c r="Q432" s="43" t="str"/>
      <x:c r="R432" s="43" t="str">
        <x:v>Queued for contact research</x:v>
      </x:c>
      <x:c r="S432" s="43" t="str">
        <x:v>Not reviewed</x:v>
      </x:c>
      <x:c r="T432" s="43" t="str">
        <x:v>Hold</x:v>
      </x:c>
      <x:c r="U432" s="43" t="str">
        <x:v>No</x:v>
      </x:c>
      <x:c r="V432" s="44"/>
      <x:c r="W432" s="43" t="str"/>
      <x:c r="X432" s="43" t="str"/>
      <x:c r="Y432" s="43" t="str"/>
      <x:c r="Z432" s="43" t="str">
        <x:v>https://www.get-information-schools.service.gov.uk/Downloads</x:v>
      </x:c>
    </x:row>
    <x:row r="433">
      <x:c r="A433" s="43" t="str">
        <x:v>UK independent</x:v>
      </x:c>
      <x:c r="B433" s="43" t="str">
        <x:v>125411</x:v>
      </x:c>
      <x:c r="C433" s="43" t="n">
        <x:f>IF(K433="Boarding school",30,0)+IF(J433&gt;=18,20,0)+IF(I433&lt;=11,10,0)+IF(L433="Has a sixth form",15,0)+IF(M433&gt;=200,10,0)+IF(N433&lt;&gt;"",10,0)</x:f>
        <x:v>65</x:v>
      </x:c>
      <x:c r="D433" s="43" t="str">
        <x:f>IF(C433&gt;=85,"A",IF(C433&gt;=65,"B","C"))</x:f>
        <x:v>B</x:v>
      </x:c>
      <x:c r="E433" s="43" t="str">
        <x:v>Halliford School</x:v>
      </x:c>
      <x:c r="F433" s="43" t="str">
        <x:v>Shepperton</x:v>
      </x:c>
      <x:c r="G433" s="43" t="str"/>
      <x:c r="H433" s="43" t="str">
        <x:v>TW17 9HX</x:v>
      </x:c>
      <x:c r="I433" s="43" t="n">
        <x:v>11</x:v>
      </x:c>
      <x:c r="J433" s="43" t="n">
        <x:v>19</x:v>
      </x:c>
      <x:c r="K433" s="43" t="str">
        <x:v>No boarders</x:v>
      </x:c>
      <x:c r="L433" s="43" t="str">
        <x:v>Has a sixth form</x:v>
      </x:c>
      <x:c r="M433" s="43" t="n">
        <x:v>513</x:v>
      </x:c>
      <x:c r="N433" s="43" t="str">
        <x:v>https://www.hallifordschool.co.uk</x:v>
      </x:c>
      <x:c r="O433" s="43" t="str">
        <x:v>01932223593</x:v>
      </x:c>
      <x:c r="P433" s="43" t="str"/>
      <x:c r="Q433" s="43" t="str"/>
      <x:c r="R433" s="43" t="str">
        <x:v>Queued for contact research</x:v>
      </x:c>
      <x:c r="S433" s="43" t="str">
        <x:v>Not reviewed</x:v>
      </x:c>
      <x:c r="T433" s="43" t="str">
        <x:v>Hold</x:v>
      </x:c>
      <x:c r="U433" s="43" t="str">
        <x:v>No</x:v>
      </x:c>
      <x:c r="V433" s="44"/>
      <x:c r="W433" s="43" t="str"/>
      <x:c r="X433" s="43" t="str"/>
      <x:c r="Y433" s="43" t="str"/>
      <x:c r="Z433" s="43" t="str">
        <x:v>https://www.get-information-schools.service.gov.uk/Downloads</x:v>
      </x:c>
    </x:row>
    <x:row r="434">
      <x:c r="A434" s="43" t="str">
        <x:v>UK independent</x:v>
      </x:c>
      <x:c r="B434" s="43" t="str">
        <x:v>125425</x:v>
      </x:c>
      <x:c r="C434" s="43" t="n">
        <x:f>IF(K434="Boarding school",30,0)+IF(J434&gt;=18,20,0)+IF(I434&lt;=11,10,0)+IF(L434="Has a sixth form",15,0)+IF(M434&gt;=200,10,0)+IF(N434&lt;&gt;"",10,0)</x:f>
        <x:v>65</x:v>
      </x:c>
      <x:c r="D434" s="43" t="str">
        <x:f>IF(C434&gt;=85,"A",IF(C434&gt;=65,"B","C"))</x:f>
        <x:v>B</x:v>
      </x:c>
      <x:c r="E434" s="43" t="str">
        <x:v>Sir William Perkins's School</x:v>
      </x:c>
      <x:c r="F434" s="43" t="str"/>
      <x:c r="G434" s="43" t="str"/>
      <x:c r="H434" s="43" t="str">
        <x:v>KT16 9BN</x:v>
      </x:c>
      <x:c r="I434" s="43" t="n">
        <x:v>11</x:v>
      </x:c>
      <x:c r="J434" s="43" t="n">
        <x:v>19</x:v>
      </x:c>
      <x:c r="K434" s="43" t="str">
        <x:v>No boarders</x:v>
      </x:c>
      <x:c r="L434" s="43" t="str">
        <x:v>Has a sixth form</x:v>
      </x:c>
      <x:c r="M434" s="43" t="n">
        <x:v>505</x:v>
      </x:c>
      <x:c r="N434" s="43" t="str">
        <x:v>https://www.swps.org.uk</x:v>
      </x:c>
      <x:c r="O434" s="43" t="str">
        <x:v>01932574900</x:v>
      </x:c>
      <x:c r="P434" s="43" t="str"/>
      <x:c r="Q434" s="43" t="str"/>
      <x:c r="R434" s="43" t="str">
        <x:v>Queued for contact research</x:v>
      </x:c>
      <x:c r="S434" s="43" t="str">
        <x:v>Not reviewed</x:v>
      </x:c>
      <x:c r="T434" s="43" t="str">
        <x:v>Hold</x:v>
      </x:c>
      <x:c r="U434" s="43" t="str">
        <x:v>No</x:v>
      </x:c>
      <x:c r="V434" s="44"/>
      <x:c r="W434" s="43" t="str"/>
      <x:c r="X434" s="43" t="str"/>
      <x:c r="Y434" s="43" t="str"/>
      <x:c r="Z434" s="43" t="str">
        <x:v>https://www.get-information-schools.service.gov.uk/Downloads</x:v>
      </x:c>
    </x:row>
    <x:row r="435">
      <x:c r="A435" s="43" t="str">
        <x:v>UK independent</x:v>
      </x:c>
      <x:c r="B435" s="43" t="str">
        <x:v>118957</x:v>
      </x:c>
      <x:c r="C435" s="43" t="n">
        <x:f>IF(K435="Boarding school",30,0)+IF(J435&gt;=18,20,0)+IF(I435&lt;=11,10,0)+IF(L435="Has a sixth form",15,0)+IF(M435&gt;=200,10,0)+IF(N435&lt;&gt;"",10,0)</x:f>
        <x:v>65</x:v>
      </x:c>
      <x:c r="D435" s="43" t="str">
        <x:f>IF(C435&gt;=85,"A",IF(C435&gt;=65,"B","C"))</x:f>
        <x:v>B</x:v>
      </x:c>
      <x:c r="E435" s="43" t="str">
        <x:v>Radnor House Sevenoaks</x:v>
      </x:c>
      <x:c r="F435" s="43" t="str"/>
      <x:c r="G435" s="43" t="str">
        <x:v>Kent</x:v>
      </x:c>
      <x:c r="H435" s="43" t="str">
        <x:v>TN14 6AE</x:v>
      </x:c>
      <x:c r="I435" s="43" t="n">
        <x:v>2</x:v>
      </x:c>
      <x:c r="J435" s="43" t="n">
        <x:v>18</x:v>
      </x:c>
      <x:c r="K435" s="43" t="str">
        <x:v>No boarders</x:v>
      </x:c>
      <x:c r="L435" s="43" t="str">
        <x:v>Has a sixth form</x:v>
      </x:c>
      <x:c r="M435" s="43" t="n">
        <x:v>502</x:v>
      </x:c>
      <x:c r="N435" s="43" t="str">
        <x:v>https://www.radnor-sevenoaks.org</x:v>
      </x:c>
      <x:c r="O435" s="43" t="str">
        <x:v>01959563720</x:v>
      </x:c>
      <x:c r="P435" s="43" t="str"/>
      <x:c r="Q435" s="43" t="str"/>
      <x:c r="R435" s="43" t="str">
        <x:v>Queued for contact research</x:v>
      </x:c>
      <x:c r="S435" s="43" t="str">
        <x:v>Not reviewed</x:v>
      </x:c>
      <x:c r="T435" s="43" t="str">
        <x:v>Hold</x:v>
      </x:c>
      <x:c r="U435" s="43" t="str">
        <x:v>No</x:v>
      </x:c>
      <x:c r="V435" s="44"/>
      <x:c r="W435" s="43" t="str"/>
      <x:c r="X435" s="43" t="str"/>
      <x:c r="Y435" s="43" t="str"/>
      <x:c r="Z435" s="43" t="str">
        <x:v>https://www.get-information-schools.service.gov.uk/Downloads</x:v>
      </x:c>
    </x:row>
    <x:row r="436">
      <x:c r="A436" s="43" t="str">
        <x:v>UK independent</x:v>
      </x:c>
      <x:c r="B436" s="43" t="str">
        <x:v>102458</x:v>
      </x:c>
      <x:c r="C436" s="43" t="n">
        <x:f>IF(K436="Boarding school",30,0)+IF(J436&gt;=18,20,0)+IF(I436&lt;=11,10,0)+IF(L436="Has a sixth form",15,0)+IF(M436&gt;=200,10,0)+IF(N436&lt;&gt;"",10,0)</x:f>
        <x:v>65</x:v>
      </x:c>
      <x:c r="D436" s="43" t="str">
        <x:f>IF(C436&gt;=85,"A",IF(C436&gt;=65,"B","C"))</x:f>
        <x:v>B</x:v>
      </x:c>
      <x:c r="E436" s="43" t="str">
        <x:v>ACS Hillingdon International School</x:v>
      </x:c>
      <x:c r="F436" s="43" t="str">
        <x:v>Uxbridge</x:v>
      </x:c>
      <x:c r="G436" s="43" t="str">
        <x:v>Middlesex</x:v>
      </x:c>
      <x:c r="H436" s="43" t="str">
        <x:v>UB10 0BE</x:v>
      </x:c>
      <x:c r="I436" s="43" t="n">
        <x:v>3</x:v>
      </x:c>
      <x:c r="J436" s="43" t="n">
        <x:v>19</x:v>
      </x:c>
      <x:c r="K436" s="43" t="str">
        <x:v>No boarders</x:v>
      </x:c>
      <x:c r="L436" s="43" t="str">
        <x:v>Has a sixth form</x:v>
      </x:c>
      <x:c r="M436" s="43" t="n">
        <x:v>494</x:v>
      </x:c>
      <x:c r="N436" s="43" t="str">
        <x:v>https://www.acs-schools.com/hillingdon</x:v>
      </x:c>
      <x:c r="O436" s="43" t="str">
        <x:v>01895259771</x:v>
      </x:c>
      <x:c r="P436" s="43" t="str"/>
      <x:c r="Q436" s="43" t="str"/>
      <x:c r="R436" s="43" t="str">
        <x:v>Queued for contact research</x:v>
      </x:c>
      <x:c r="S436" s="43" t="str">
        <x:v>Not reviewed</x:v>
      </x:c>
      <x:c r="T436" s="43" t="str">
        <x:v>Hold</x:v>
      </x:c>
      <x:c r="U436" s="43" t="str">
        <x:v>No</x:v>
      </x:c>
      <x:c r="V436" s="44"/>
      <x:c r="W436" s="43" t="str"/>
      <x:c r="X436" s="43" t="str"/>
      <x:c r="Y436" s="43" t="str"/>
      <x:c r="Z436" s="43" t="str">
        <x:v>https://www.get-information-schools.service.gov.uk/Downloads</x:v>
      </x:c>
    </x:row>
    <x:row r="437">
      <x:c r="A437" s="43" t="str">
        <x:v>UK independent</x:v>
      </x:c>
      <x:c r="B437" s="43" t="str">
        <x:v>102065</x:v>
      </x:c>
      <x:c r="C437" s="43" t="n">
        <x:f>IF(K437="Boarding school",30,0)+IF(J437&gt;=18,20,0)+IF(I437&lt;=11,10,0)+IF(L437="Has a sixth form",15,0)+IF(M437&gt;=200,10,0)+IF(N437&lt;&gt;"",10,0)</x:f>
        <x:v>65</x:v>
      </x:c>
      <x:c r="D437" s="43" t="str">
        <x:f>IF(C437&gt;=85,"A",IF(C437&gt;=65,"B","C"))</x:f>
        <x:v>B</x:v>
      </x:c>
      <x:c r="E437" s="43" t="str">
        <x:v>St John's Preparatory and Senior School</x:v>
      </x:c>
      <x:c r="F437" s="43" t="str">
        <x:v>Potters Bar</x:v>
      </x:c>
      <x:c r="G437" s="43" t="str">
        <x:v>Hertfordshire</x:v>
      </x:c>
      <x:c r="H437" s="43" t="str">
        <x:v>EN6 5QT</x:v>
      </x:c>
      <x:c r="I437" s="43" t="n">
        <x:v>3</x:v>
      </x:c>
      <x:c r="J437" s="43" t="n">
        <x:v>19</x:v>
      </x:c>
      <x:c r="K437" s="43" t="str">
        <x:v>No boarders</x:v>
      </x:c>
      <x:c r="L437" s="43" t="str">
        <x:v>Has a sixth form</x:v>
      </x:c>
      <x:c r="M437" s="43" t="n">
        <x:v>493</x:v>
      </x:c>
      <x:c r="N437" s="43" t="str">
        <x:v>https://www.stjohnsprepandseniorschool.co.uk</x:v>
      </x:c>
      <x:c r="O437" s="43" t="str">
        <x:v>01707657294</x:v>
      </x:c>
      <x:c r="P437" s="43" t="str"/>
      <x:c r="Q437" s="43" t="str"/>
      <x:c r="R437" s="43" t="str">
        <x:v>Queued for contact research</x:v>
      </x:c>
      <x:c r="S437" s="43" t="str">
        <x:v>Not reviewed</x:v>
      </x:c>
      <x:c r="T437" s="43" t="str">
        <x:v>Hold</x:v>
      </x:c>
      <x:c r="U437" s="43" t="str">
        <x:v>No</x:v>
      </x:c>
      <x:c r="V437" s="44"/>
      <x:c r="W437" s="43" t="str"/>
      <x:c r="X437" s="43" t="str"/>
      <x:c r="Y437" s="43" t="str"/>
      <x:c r="Z437" s="43" t="str">
        <x:v>https://www.get-information-schools.service.gov.uk/Downloads</x:v>
      </x:c>
    </x:row>
    <x:row r="438">
      <x:c r="A438" s="43" t="str">
        <x:v>UK independent</x:v>
      </x:c>
      <x:c r="B438" s="43" t="str">
        <x:v>125356</x:v>
      </x:c>
      <x:c r="C438" s="43" t="n">
        <x:f>IF(K438="Boarding school",30,0)+IF(J438&gt;=18,20,0)+IF(I438&lt;=11,10,0)+IF(L438="Has a sixth form",15,0)+IF(M438&gt;=200,10,0)+IF(N438&lt;&gt;"",10,0)</x:f>
        <x:v>65</x:v>
      </x:c>
      <x:c r="D438" s="43" t="str">
        <x:f>IF(C438&gt;=85,"A",IF(C438&gt;=65,"B","C"))</x:f>
        <x:v>B</x:v>
      </x:c>
      <x:c r="E438" s="43" t="str">
        <x:v>Dunottar School</x:v>
      </x:c>
      <x:c r="F438" s="43" t="str">
        <x:v>Reigate</x:v>
      </x:c>
      <x:c r="G438" s="43" t="str">
        <x:v>Surrey</x:v>
      </x:c>
      <x:c r="H438" s="43" t="str">
        <x:v>RH2 7EL</x:v>
      </x:c>
      <x:c r="I438" s="43" t="n">
        <x:v>11</x:v>
      </x:c>
      <x:c r="J438" s="43" t="n">
        <x:v>18</x:v>
      </x:c>
      <x:c r="K438" s="43" t="str">
        <x:v>No boarders</x:v>
      </x:c>
      <x:c r="L438" s="43" t="str">
        <x:v>Has a sixth form</x:v>
      </x:c>
      <x:c r="M438" s="43" t="n">
        <x:v>492</x:v>
      </x:c>
      <x:c r="N438" s="43" t="str">
        <x:v>https://www.dunottarschool.com</x:v>
      </x:c>
      <x:c r="O438" s="43" t="str">
        <x:v>01737761945</x:v>
      </x:c>
      <x:c r="P438" s="43" t="str"/>
      <x:c r="Q438" s="43" t="str"/>
      <x:c r="R438" s="43" t="str">
        <x:v>Queued for contact research</x:v>
      </x:c>
      <x:c r="S438" s="43" t="str">
        <x:v>Not reviewed</x:v>
      </x:c>
      <x:c r="T438" s="43" t="str">
        <x:v>Hold</x:v>
      </x:c>
      <x:c r="U438" s="43" t="str">
        <x:v>No</x:v>
      </x:c>
      <x:c r="V438" s="44"/>
      <x:c r="W438" s="43" t="str"/>
      <x:c r="X438" s="43" t="str"/>
      <x:c r="Y438" s="43" t="str"/>
      <x:c r="Z438" s="43" t="str">
        <x:v>https://www.get-information-schools.service.gov.uk/Downloads</x:v>
      </x:c>
    </x:row>
    <x:row r="439">
      <x:c r="A439" s="43" t="str">
        <x:v>UK independent</x:v>
      </x:c>
      <x:c r="B439" s="43" t="str">
        <x:v>110910</x:v>
      </x:c>
      <x:c r="C439" s="43" t="n">
        <x:f>IF(K439="Boarding school",30,0)+IF(J439&gt;=18,20,0)+IF(I439&lt;=11,10,0)+IF(L439="Has a sixth form",15,0)+IF(M439&gt;=200,10,0)+IF(N439&lt;&gt;"",10,0)</x:f>
        <x:v>65</x:v>
      </x:c>
      <x:c r="D439" s="43" t="str">
        <x:f>IF(C439&gt;=85,"A",IF(C439&gt;=65,"B","C"))</x:f>
        <x:v>B</x:v>
      </x:c>
      <x:c r="E439" s="43" t="str">
        <x:v>The Peterborough School</x:v>
      </x:c>
      <x:c r="F439" s="43" t="str">
        <x:v>Peterborough</x:v>
      </x:c>
      <x:c r="G439" s="43" t="str">
        <x:v>Cambridgeshire</x:v>
      </x:c>
      <x:c r="H439" s="43" t="str">
        <x:v>PE3 6AP</x:v>
      </x:c>
      <x:c r="I439" s="43" t="n">
        <x:v>4</x:v>
      </x:c>
      <x:c r="J439" s="43" t="n">
        <x:v>20</x:v>
      </x:c>
      <x:c r="K439" s="43" t="str">
        <x:v>No boarders</x:v>
      </x:c>
      <x:c r="L439" s="43" t="str">
        <x:v>Has a sixth form</x:v>
      </x:c>
      <x:c r="M439" s="43" t="n">
        <x:v>486</x:v>
      </x:c>
      <x:c r="N439" s="43" t="str">
        <x:v>https://www.thepeterboroughschool.co.uk</x:v>
      </x:c>
      <x:c r="O439" s="43" t="str">
        <x:v>01733343357</x:v>
      </x:c>
      <x:c r="P439" s="43" t="str"/>
      <x:c r="Q439" s="43" t="str"/>
      <x:c r="R439" s="43" t="str">
        <x:v>Queued for contact research</x:v>
      </x:c>
      <x:c r="S439" s="43" t="str">
        <x:v>Not reviewed</x:v>
      </x:c>
      <x:c r="T439" s="43" t="str">
        <x:v>Hold</x:v>
      </x:c>
      <x:c r="U439" s="43" t="str">
        <x:v>No</x:v>
      </x:c>
      <x:c r="V439" s="44"/>
      <x:c r="W439" s="43" t="str"/>
      <x:c r="X439" s="43" t="str"/>
      <x:c r="Y439" s="43" t="str"/>
      <x:c r="Z439" s="43" t="str">
        <x:v>https://www.get-information-schools.service.gov.uk/Downloads</x:v>
      </x:c>
    </x:row>
    <x:row r="440">
      <x:c r="A440" s="43" t="str">
        <x:v>UK independent</x:v>
      </x:c>
      <x:c r="B440" s="43" t="str">
        <x:v>118126</x:v>
      </x:c>
      <x:c r="C440" s="43" t="n">
        <x:f>IF(K440="Boarding school",30,0)+IF(J440&gt;=18,20,0)+IF(I440&lt;=11,10,0)+IF(L440="Has a sixth form",15,0)+IF(M440&gt;=200,10,0)+IF(N440&lt;&gt;"",10,0)</x:f>
        <x:v>65</x:v>
      </x:c>
      <x:c r="D440" s="43" t="str">
        <x:f>IF(C440&gt;=85,"A",IF(C440&gt;=65,"B","C"))</x:f>
        <x:v>B</x:v>
      </x:c>
      <x:c r="E440" s="43" t="str">
        <x:v>Tranby</x:v>
      </x:c>
      <x:c r="F440" s="43" t="str">
        <x:v>Hull</x:v>
      </x:c>
      <x:c r="G440" s="43" t="str"/>
      <x:c r="H440" s="43" t="str">
        <x:v>HU10 7EH</x:v>
      </x:c>
      <x:c r="I440" s="43" t="n">
        <x:v>2</x:v>
      </x:c>
      <x:c r="J440" s="43" t="n">
        <x:v>19</x:v>
      </x:c>
      <x:c r="K440" s="43" t="str">
        <x:v>No boarders</x:v>
      </x:c>
      <x:c r="L440" s="43" t="str">
        <x:v>Has a sixth form</x:v>
      </x:c>
      <x:c r="M440" s="43" t="n">
        <x:v>484</x:v>
      </x:c>
      <x:c r="N440" s="43" t="str">
        <x:v>https://www.tranby.org.uk</x:v>
      </x:c>
      <x:c r="O440" s="43" t="str">
        <x:v>01482657016</x:v>
      </x:c>
      <x:c r="P440" s="43" t="str"/>
      <x:c r="Q440" s="43" t="str"/>
      <x:c r="R440" s="43" t="str">
        <x:v>Queued for contact research</x:v>
      </x:c>
      <x:c r="S440" s="43" t="str">
        <x:v>Not reviewed</x:v>
      </x:c>
      <x:c r="T440" s="43" t="str">
        <x:v>Hold</x:v>
      </x:c>
      <x:c r="U440" s="43" t="str">
        <x:v>No</x:v>
      </x:c>
      <x:c r="V440" s="44"/>
      <x:c r="W440" s="43" t="str"/>
      <x:c r="X440" s="43" t="str"/>
      <x:c r="Y440" s="43" t="str"/>
      <x:c r="Z440" s="43" t="str">
        <x:v>https://www.get-information-schools.service.gov.uk/Downloads</x:v>
      </x:c>
    </x:row>
    <x:row r="441">
      <x:c r="A441" s="43" t="str">
        <x:v>UK independent</x:v>
      </x:c>
      <x:c r="B441" s="43" t="str">
        <x:v>116517</x:v>
      </x:c>
      <x:c r="C441" s="43" t="n">
        <x:f>IF(K441="Boarding school",30,0)+IF(J441&gt;=18,20,0)+IF(I441&lt;=11,10,0)+IF(L441="Has a sixth form",15,0)+IF(M441&gt;=200,10,0)+IF(N441&lt;&gt;"",10,0)</x:f>
        <x:v>65</x:v>
      </x:c>
      <x:c r="D441" s="43" t="str">
        <x:f>IF(C441&gt;=85,"A",IF(C441&gt;=65,"B","C"))</x:f>
        <x:v>B</x:v>
      </x:c>
      <x:c r="E441" s="43" t="str">
        <x:v>Farnborough Hill</x:v>
      </x:c>
      <x:c r="F441" s="43" t="str">
        <x:v>Farnborough</x:v>
      </x:c>
      <x:c r="G441" s="43" t="str">
        <x:v>Hampshire</x:v>
      </x:c>
      <x:c r="H441" s="43" t="str">
        <x:v>GU14 8AT</x:v>
      </x:c>
      <x:c r="I441" s="43" t="n">
        <x:v>11</x:v>
      </x:c>
      <x:c r="J441" s="43" t="n">
        <x:v>18</x:v>
      </x:c>
      <x:c r="K441" s="43" t="str">
        <x:v>No boarders</x:v>
      </x:c>
      <x:c r="L441" s="43" t="str">
        <x:v>Has a sixth form</x:v>
      </x:c>
      <x:c r="M441" s="43" t="n">
        <x:v>475</x:v>
      </x:c>
      <x:c r="N441" s="43" t="str">
        <x:v>http://www.farnborough-hill.org</x:v>
      </x:c>
      <x:c r="O441" s="43" t="str">
        <x:v>01252545197</x:v>
      </x:c>
      <x:c r="P441" s="43" t="str"/>
      <x:c r="Q441" s="43" t="str"/>
      <x:c r="R441" s="43" t="str">
        <x:v>Queued for contact research</x:v>
      </x:c>
      <x:c r="S441" s="43" t="str">
        <x:v>Not reviewed</x:v>
      </x:c>
      <x:c r="T441" s="43" t="str">
        <x:v>Hold</x:v>
      </x:c>
      <x:c r="U441" s="43" t="str">
        <x:v>No</x:v>
      </x:c>
      <x:c r="V441" s="44"/>
      <x:c r="W441" s="43" t="str"/>
      <x:c r="X441" s="43" t="str"/>
      <x:c r="Y441" s="43" t="str"/>
      <x:c r="Z441" s="43" t="str">
        <x:v>https://www.get-information-schools.service.gov.uk/Downloads</x:v>
      </x:c>
    </x:row>
    <x:row r="442">
      <x:c r="A442" s="43" t="str">
        <x:v>UK independent</x:v>
      </x:c>
      <x:c r="B442" s="43" t="str">
        <x:v>137018</x:v>
      </x:c>
      <x:c r="C442" s="43" t="n">
        <x:f>IF(K442="Boarding school",30,0)+IF(J442&gt;=18,20,0)+IF(I442&lt;=11,10,0)+IF(L442="Has a sixth form",15,0)+IF(M442&gt;=200,10,0)+IF(N442&lt;&gt;"",10,0)</x:f>
        <x:v>65</x:v>
      </x:c>
      <x:c r="D442" s="43" t="str">
        <x:f>IF(C442&gt;=85,"A",IF(C442&gt;=65,"B","C"))</x:f>
        <x:v>B</x:v>
      </x:c>
      <x:c r="E442" s="43" t="str">
        <x:v>Kneller Hall School</x:v>
      </x:c>
      <x:c r="F442" s="43" t="str">
        <x:v>Twickenham</x:v>
      </x:c>
      <x:c r="G442" s="43" t="str">
        <x:v>Middlesex</x:v>
      </x:c>
      <x:c r="H442" s="43" t="str">
        <x:v>TW1 4QG</x:v>
      </x:c>
      <x:c r="I442" s="43" t="n">
        <x:v>11</x:v>
      </x:c>
      <x:c r="J442" s="43" t="n">
        <x:v>18</x:v>
      </x:c>
      <x:c r="K442" s="43" t="str">
        <x:v>No boarders</x:v>
      </x:c>
      <x:c r="L442" s="43" t="str">
        <x:v>Has a sixth form</x:v>
      </x:c>
      <x:c r="M442" s="43" t="n">
        <x:v>471</x:v>
      </x:c>
      <x:c r="N442" s="43" t="str">
        <x:v>https://www.radnorhouse.org</x:v>
      </x:c>
      <x:c r="O442" s="43" t="str">
        <x:v>02088916264</x:v>
      </x:c>
      <x:c r="P442" s="43" t="str"/>
      <x:c r="Q442" s="43" t="str"/>
      <x:c r="R442" s="43" t="str">
        <x:v>Queued for contact research</x:v>
      </x:c>
      <x:c r="S442" s="43" t="str">
        <x:v>Not reviewed</x:v>
      </x:c>
      <x:c r="T442" s="43" t="str">
        <x:v>Hold</x:v>
      </x:c>
      <x:c r="U442" s="43" t="str">
        <x:v>No</x:v>
      </x:c>
      <x:c r="V442" s="44"/>
      <x:c r="W442" s="43" t="str"/>
      <x:c r="X442" s="43" t="str"/>
      <x:c r="Y442" s="43" t="str"/>
      <x:c r="Z442" s="43" t="str">
        <x:v>https://www.get-information-schools.service.gov.uk/Downloads</x:v>
      </x:c>
    </x:row>
    <x:row r="443">
      <x:c r="A443" s="43" t="str">
        <x:v>UK independent</x:v>
      </x:c>
      <x:c r="B443" s="43" t="str">
        <x:v>103576</x:v>
      </x:c>
      <x:c r="C443" s="43" t="n">
        <x:f>IF(K443="Boarding school",30,0)+IF(J443&gt;=18,20,0)+IF(I443&lt;=11,10,0)+IF(L443="Has a sixth form",15,0)+IF(M443&gt;=200,10,0)+IF(N443&lt;&gt;"",10,0)</x:f>
        <x:v>65</x:v>
      </x:c>
      <x:c r="D443" s="43" t="str">
        <x:f>IF(C443&gt;=85,"A",IF(C443&gt;=65,"B","C"))</x:f>
        <x:v>B</x:v>
      </x:c>
      <x:c r="E443" s="43" t="str">
        <x:v>Highclare School</x:v>
      </x:c>
      <x:c r="F443" s="43" t="str">
        <x:v>West Midlands</x:v>
      </x:c>
      <x:c r="G443" s="43" t="str"/>
      <x:c r="H443" s="43" t="str">
        <x:v>B23 6QL</x:v>
      </x:c>
      <x:c r="I443" s="43" t="n">
        <x:v>2</x:v>
      </x:c>
      <x:c r="J443" s="43" t="n">
        <x:v>19</x:v>
      </x:c>
      <x:c r="K443" s="43" t="str">
        <x:v>No boarders</x:v>
      </x:c>
      <x:c r="L443" s="43" t="str">
        <x:v>Has a sixth form</x:v>
      </x:c>
      <x:c r="M443" s="43" t="n">
        <x:v>469</x:v>
      </x:c>
      <x:c r="N443" s="43" t="str">
        <x:v>https://www.highclareschool.co.uk</x:v>
      </x:c>
      <x:c r="O443" s="43" t="str">
        <x:v>01213737400</x:v>
      </x:c>
      <x:c r="P443" s="43" t="str"/>
      <x:c r="Q443" s="43" t="str"/>
      <x:c r="R443" s="43" t="str">
        <x:v>Queued for contact research</x:v>
      </x:c>
      <x:c r="S443" s="43" t="str">
        <x:v>Not reviewed</x:v>
      </x:c>
      <x:c r="T443" s="43" t="str">
        <x:v>Hold</x:v>
      </x:c>
      <x:c r="U443" s="43" t="str">
        <x:v>No</x:v>
      </x:c>
      <x:c r="V443" s="44"/>
      <x:c r="W443" s="43" t="str"/>
      <x:c r="X443" s="43" t="str"/>
      <x:c r="Y443" s="43" t="str"/>
      <x:c r="Z443" s="43" t="str">
        <x:v>https://www.get-information-schools.service.gov.uk/Downloads</x:v>
      </x:c>
    </x:row>
    <x:row r="444">
      <x:c r="A444" s="43" t="str">
        <x:v>UK independent</x:v>
      </x:c>
      <x:c r="B444" s="43" t="str">
        <x:v>140066</x:v>
      </x:c>
      <x:c r="C444" s="43" t="n">
        <x:f>IF(K444="Boarding school",30,0)+IF(J444&gt;=18,20,0)+IF(I444&lt;=11,10,0)+IF(L444="Has a sixth form",15,0)+IF(M444&gt;=200,10,0)+IF(N444&lt;&gt;"",10,0)</x:f>
        <x:v>65</x:v>
      </x:c>
      <x:c r="D444" s="43" t="str">
        <x:f>IF(C444&gt;=85,"A",IF(C444&gt;=65,"B","C"))</x:f>
        <x:v>B</x:v>
      </x:c>
      <x:c r="E444" s="43" t="str">
        <x:v>Kew House</x:v>
      </x:c>
      <x:c r="F444" s="43" t="str">
        <x:v>London</x:v>
      </x:c>
      <x:c r="G444" s="43" t="str"/>
      <x:c r="H444" s="43" t="str">
        <x:v>TW8 0EX</x:v>
      </x:c>
      <x:c r="I444" s="43" t="n">
        <x:v>11</x:v>
      </x:c>
      <x:c r="J444" s="43" t="n">
        <x:v>18</x:v>
      </x:c>
      <x:c r="K444" s="43" t="str">
        <x:v>No boarders</x:v>
      </x:c>
      <x:c r="L444" s="43" t="str">
        <x:v>Has a sixth form</x:v>
      </x:c>
      <x:c r="M444" s="43" t="n">
        <x:v>467</x:v>
      </x:c>
      <x:c r="N444" s="43" t="str">
        <x:v>https://www.kewhouseschool.com</x:v>
      </x:c>
      <x:c r="O444" s="43" t="str">
        <x:v>02087422038</x:v>
      </x:c>
      <x:c r="P444" s="43" t="str"/>
      <x:c r="Q444" s="43" t="str"/>
      <x:c r="R444" s="43" t="str">
        <x:v>Queued for contact research</x:v>
      </x:c>
      <x:c r="S444" s="43" t="str">
        <x:v>Not reviewed</x:v>
      </x:c>
      <x:c r="T444" s="43" t="str">
        <x:v>Hold</x:v>
      </x:c>
      <x:c r="U444" s="43" t="str">
        <x:v>No</x:v>
      </x:c>
      <x:c r="V444" s="44"/>
      <x:c r="W444" s="43" t="str"/>
      <x:c r="X444" s="43" t="str"/>
      <x:c r="Y444" s="43" t="str"/>
      <x:c r="Z444" s="43" t="str">
        <x:v>https://www.get-information-schools.service.gov.uk/Downloads</x:v>
      </x:c>
    </x:row>
    <x:row r="445">
      <x:c r="A445" s="43" t="str">
        <x:v>UK independent</x:v>
      </x:c>
      <x:c r="B445" s="43" t="str">
        <x:v>101680</x:v>
      </x:c>
      <x:c r="C445" s="43" t="n">
        <x:f>IF(K445="Boarding school",30,0)+IF(J445&gt;=18,20,0)+IF(I445&lt;=11,10,0)+IF(L445="Has a sixth form",15,0)+IF(M445&gt;=200,10,0)+IF(N445&lt;&gt;"",10,0)</x:f>
        <x:v>65</x:v>
      </x:c>
      <x:c r="D445" s="43" t="str">
        <x:f>IF(C445&gt;=85,"A",IF(C445&gt;=65,"B","C"))</x:f>
        <x:v>B</x:v>
      </x:c>
      <x:c r="E445" s="43" t="str">
        <x:v>Babington House School</x:v>
      </x:c>
      <x:c r="F445" s="43" t="str">
        <x:v>Chislehurst</x:v>
      </x:c>
      <x:c r="G445" s="43" t="str">
        <x:v>Kent</x:v>
      </x:c>
      <x:c r="H445" s="43" t="str">
        <x:v>BR7 5ES</x:v>
      </x:c>
      <x:c r="I445" s="43" t="n">
        <x:v>3</x:v>
      </x:c>
      <x:c r="J445" s="43" t="n">
        <x:v>18</x:v>
      </x:c>
      <x:c r="K445" s="43" t="str">
        <x:v>No boarders</x:v>
      </x:c>
      <x:c r="L445" s="43" t="str">
        <x:v>Has a sixth form</x:v>
      </x:c>
      <x:c r="M445" s="43" t="n">
        <x:v>466</x:v>
      </x:c>
      <x:c r="N445" s="43" t="str">
        <x:v>http://www.babingtonhouse.com/</x:v>
      </x:c>
      <x:c r="O445" s="43" t="str">
        <x:v>02084675537</x:v>
      </x:c>
      <x:c r="P445" s="43" t="str"/>
      <x:c r="Q445" s="43" t="str"/>
      <x:c r="R445" s="43" t="str">
        <x:v>Queued for contact research</x:v>
      </x:c>
      <x:c r="S445" s="43" t="str">
        <x:v>Not reviewed</x:v>
      </x:c>
      <x:c r="T445" s="43" t="str">
        <x:v>Hold</x:v>
      </x:c>
      <x:c r="U445" s="43" t="str">
        <x:v>No</x:v>
      </x:c>
      <x:c r="V445" s="44"/>
      <x:c r="W445" s="43" t="str"/>
      <x:c r="X445" s="43" t="str"/>
      <x:c r="Y445" s="43" t="str"/>
      <x:c r="Z445" s="43" t="str">
        <x:v>https://www.get-information-schools.service.gov.uk/Downloads</x:v>
      </x:c>
    </x:row>
    <x:row r="446">
      <x:c r="A446" s="43" t="str">
        <x:v>UK independent</x:v>
      </x:c>
      <x:c r="B446" s="43" t="str">
        <x:v>120339</x:v>
      </x:c>
      <x:c r="C446" s="43" t="n">
        <x:f>IF(K446="Boarding school",30,0)+IF(J446&gt;=18,20,0)+IF(I446&lt;=11,10,0)+IF(L446="Has a sixth form",15,0)+IF(M446&gt;=200,10,0)+IF(N446&lt;&gt;"",10,0)</x:f>
        <x:v>65</x:v>
      </x:c>
      <x:c r="D446" s="43" t="str">
        <x:f>IF(C446&gt;=85,"A",IF(C446&gt;=65,"B","C"))</x:f>
        <x:v>B</x:v>
      </x:c>
      <x:c r="E446" s="43" t="str">
        <x:v>Dixie Grammar School</x:v>
      </x:c>
      <x:c r="F446" s="43" t="str">
        <x:v>Nuneaton</x:v>
      </x:c>
      <x:c r="G446" s="43" t="str">
        <x:v>Warwickshire</x:v>
      </x:c>
      <x:c r="H446" s="43" t="str">
        <x:v>CV13 0LE</x:v>
      </x:c>
      <x:c r="I446" s="43" t="n">
        <x:v>0</x:v>
      </x:c>
      <x:c r="J446" s="43" t="n">
        <x:v>18</x:v>
      </x:c>
      <x:c r="K446" s="43" t="str">
        <x:v>No boarders</x:v>
      </x:c>
      <x:c r="L446" s="43" t="str">
        <x:v>Has a sixth form</x:v>
      </x:c>
      <x:c r="M446" s="43" t="n">
        <x:v>462</x:v>
      </x:c>
      <x:c r="N446" s="43" t="str">
        <x:v>https://www.dixie.org.uk</x:v>
      </x:c>
      <x:c r="O446" s="43" t="str">
        <x:v>01455292244</x:v>
      </x:c>
      <x:c r="P446" s="43" t="str"/>
      <x:c r="Q446" s="43" t="str"/>
      <x:c r="R446" s="43" t="str">
        <x:v>Queued for contact research</x:v>
      </x:c>
      <x:c r="S446" s="43" t="str">
        <x:v>Not reviewed</x:v>
      </x:c>
      <x:c r="T446" s="43" t="str">
        <x:v>Hold</x:v>
      </x:c>
      <x:c r="U446" s="43" t="str">
        <x:v>No</x:v>
      </x:c>
      <x:c r="V446" s="44"/>
      <x:c r="W446" s="43" t="str"/>
      <x:c r="X446" s="43" t="str"/>
      <x:c r="Y446" s="43" t="str"/>
      <x:c r="Z446" s="43" t="str">
        <x:v>https://www.get-information-schools.service.gov.uk/Downloads</x:v>
      </x:c>
    </x:row>
    <x:row r="447">
      <x:c r="A447" s="43" t="str">
        <x:v>UK independent</x:v>
      </x:c>
      <x:c r="B447" s="43" t="str">
        <x:v>143530</x:v>
      </x:c>
      <x:c r="C447" s="43" t="n">
        <x:f>IF(K447="Boarding school",30,0)+IF(J447&gt;=18,20,0)+IF(I447&lt;=11,10,0)+IF(L447="Has a sixth form",15,0)+IF(M447&gt;=200,10,0)+IF(N447&lt;&gt;"",10,0)</x:f>
        <x:v>65</x:v>
      </x:c>
      <x:c r="D447" s="43" t="str">
        <x:f>IF(C447&gt;=85,"A",IF(C447&gt;=65,"B","C"))</x:f>
        <x:v>B</x:v>
      </x:c>
      <x:c r="E447" s="43" t="str">
        <x:v>Southbank International School Westminster</x:v>
      </x:c>
      <x:c r="F447" s="43" t="str"/>
      <x:c r="G447" s="43" t="str"/>
      <x:c r="H447" s="43" t="str">
        <x:v>W1B 1QR</x:v>
      </x:c>
      <x:c r="I447" s="43" t="n">
        <x:v>11</x:v>
      </x:c>
      <x:c r="J447" s="43" t="n">
        <x:v>18</x:v>
      </x:c>
      <x:c r="K447" s="43" t="str">
        <x:v>No boarders</x:v>
      </x:c>
      <x:c r="L447" s="43" t="str">
        <x:v>Has a sixth form</x:v>
      </x:c>
      <x:c r="M447" s="43" t="n">
        <x:v>456</x:v>
      </x:c>
      <x:c r="N447" s="43" t="str">
        <x:v>https://www.southbank.org</x:v>
      </x:c>
      <x:c r="O447" s="43" t="str">
        <x:v>02072433803</x:v>
      </x:c>
      <x:c r="P447" s="43" t="str"/>
      <x:c r="Q447" s="43" t="str"/>
      <x:c r="R447" s="43" t="str">
        <x:v>Queued for contact research</x:v>
      </x:c>
      <x:c r="S447" s="43" t="str">
        <x:v>Not reviewed</x:v>
      </x:c>
      <x:c r="T447" s="43" t="str">
        <x:v>Hold</x:v>
      </x:c>
      <x:c r="U447" s="43" t="str">
        <x:v>No</x:v>
      </x:c>
      <x:c r="V447" s="44"/>
      <x:c r="W447" s="43" t="str"/>
      <x:c r="X447" s="43" t="str"/>
      <x:c r="Y447" s="43" t="str"/>
      <x:c r="Z447" s="43" t="str">
        <x:v>https://www.get-information-schools.service.gov.uk/Downloads</x:v>
      </x:c>
    </x:row>
    <x:row r="448">
      <x:c r="A448" s="43" t="str">
        <x:v>UK independent</x:v>
      </x:c>
      <x:c r="B448" s="43" t="str">
        <x:v>117622</x:v>
      </x:c>
      <x:c r="C448" s="43" t="n">
        <x:f>IF(K448="Boarding school",30,0)+IF(J448&gt;=18,20,0)+IF(I448&lt;=11,10,0)+IF(L448="Has a sixth form",15,0)+IF(M448&gt;=200,10,0)+IF(N448&lt;&gt;"",10,0)</x:f>
        <x:v>65</x:v>
      </x:c>
      <x:c r="D448" s="43" t="str">
        <x:f>IF(C448&gt;=85,"A",IF(C448&gt;=65,"B","C"))</x:f>
        <x:v>B</x:v>
      </x:c>
      <x:c r="E448" s="43" t="str">
        <x:v>Sherrardswood School</x:v>
      </x:c>
      <x:c r="F448" s="43" t="str">
        <x:v>Welwyn</x:v>
      </x:c>
      <x:c r="G448" s="43" t="str">
        <x:v>Hertfordshire</x:v>
      </x:c>
      <x:c r="H448" s="43" t="str">
        <x:v>AL6 0BJ</x:v>
      </x:c>
      <x:c r="I448" s="43" t="n">
        <x:v>2</x:v>
      </x:c>
      <x:c r="J448" s="43" t="n">
        <x:v>19</x:v>
      </x:c>
      <x:c r="K448" s="43" t="str">
        <x:v>No boarders</x:v>
      </x:c>
      <x:c r="L448" s="43" t="str">
        <x:v>Has a sixth form</x:v>
      </x:c>
      <x:c r="M448" s="43" t="n">
        <x:v>445</x:v>
      </x:c>
      <x:c r="N448" s="43" t="str">
        <x:v>https://www.sherrardswood.co.uk</x:v>
      </x:c>
      <x:c r="O448" s="43" t="str">
        <x:v>01438714282</x:v>
      </x:c>
      <x:c r="P448" s="43" t="str"/>
      <x:c r="Q448" s="43" t="str"/>
      <x:c r="R448" s="43" t="str">
        <x:v>Queued for contact research</x:v>
      </x:c>
      <x:c r="S448" s="43" t="str">
        <x:v>Not reviewed</x:v>
      </x:c>
      <x:c r="T448" s="43" t="str">
        <x:v>Hold</x:v>
      </x:c>
      <x:c r="U448" s="43" t="str">
        <x:v>No</x:v>
      </x:c>
      <x:c r="V448" s="44"/>
      <x:c r="W448" s="43" t="str"/>
      <x:c r="X448" s="43" t="str"/>
      <x:c r="Y448" s="43" t="str"/>
      <x:c r="Z448" s="43" t="str">
        <x:v>https://www.get-information-schools.service.gov.uk/Downloads</x:v>
      </x:c>
    </x:row>
    <x:row r="449">
      <x:c r="A449" s="43" t="str">
        <x:v>UK independent</x:v>
      </x:c>
      <x:c r="B449" s="43" t="str">
        <x:v>125774</x:v>
      </x:c>
      <x:c r="C449" s="43" t="n">
        <x:f>IF(K449="Boarding school",30,0)+IF(J449&gt;=18,20,0)+IF(I449&lt;=11,10,0)+IF(L449="Has a sixth form",15,0)+IF(M449&gt;=200,10,0)+IF(N449&lt;&gt;"",10,0)</x:f>
        <x:v>65</x:v>
      </x:c>
      <x:c r="D449" s="43" t="str">
        <x:f>IF(C449&gt;=85,"A",IF(C449&gt;=65,"B","C"))</x:f>
        <x:v>B</x:v>
      </x:c>
      <x:c r="E449" s="43" t="str">
        <x:v>Arnold Lodge School</x:v>
      </x:c>
      <x:c r="F449" s="43" t="str">
        <x:v>Leamington Spa</x:v>
      </x:c>
      <x:c r="G449" s="43" t="str">
        <x:v>Warwickshire</x:v>
      </x:c>
      <x:c r="H449" s="43" t="str">
        <x:v>CV32 5TW</x:v>
      </x:c>
      <x:c r="I449" s="43" t="n">
        <x:v>4</x:v>
      </x:c>
      <x:c r="J449" s="43" t="n">
        <x:v>19</x:v>
      </x:c>
      <x:c r="K449" s="43" t="str">
        <x:v>No boarders</x:v>
      </x:c>
      <x:c r="L449" s="43" t="str">
        <x:v>Has a sixth form</x:v>
      </x:c>
      <x:c r="M449" s="43" t="n">
        <x:v>444</x:v>
      </x:c>
      <x:c r="N449" s="43" t="str">
        <x:v>https://www.arnoldlodge.com</x:v>
      </x:c>
      <x:c r="O449" s="43" t="str">
        <x:v>01926778050</x:v>
      </x:c>
      <x:c r="P449" s="43" t="str"/>
      <x:c r="Q449" s="43" t="str"/>
      <x:c r="R449" s="43" t="str">
        <x:v>Queued for contact research</x:v>
      </x:c>
      <x:c r="S449" s="43" t="str">
        <x:v>Not reviewed</x:v>
      </x:c>
      <x:c r="T449" s="43" t="str">
        <x:v>Hold</x:v>
      </x:c>
      <x:c r="U449" s="43" t="str">
        <x:v>No</x:v>
      </x:c>
      <x:c r="V449" s="44"/>
      <x:c r="W449" s="43" t="str"/>
      <x:c r="X449" s="43" t="str"/>
      <x:c r="Y449" s="43" t="str"/>
      <x:c r="Z449" s="43" t="str">
        <x:v>https://www.get-information-schools.service.gov.uk/Downloads</x:v>
      </x:c>
    </x:row>
    <x:row r="450">
      <x:c r="A450" s="43" t="str">
        <x:v>UK independent</x:v>
      </x:c>
      <x:c r="B450" s="43" t="str">
        <x:v>110128</x:v>
      </x:c>
      <x:c r="C450" s="43" t="n">
        <x:f>IF(K450="Boarding school",30,0)+IF(J450&gt;=18,20,0)+IF(I450&lt;=11,10,0)+IF(L450="Has a sixth form",15,0)+IF(M450&gt;=200,10,0)+IF(N450&lt;&gt;"",10,0)</x:f>
        <x:v>65</x:v>
      </x:c>
      <x:c r="D450" s="43" t="str">
        <x:f>IF(C450&gt;=85,"A",IF(C450&gt;=65,"B","C"))</x:f>
        <x:v>B</x:v>
      </x:c>
      <x:c r="E450" s="43" t="str">
        <x:v>St Gabriel's School</x:v>
      </x:c>
      <x:c r="F450" s="43" t="str">
        <x:v>Berkshire</x:v>
      </x:c>
      <x:c r="G450" s="43" t="str"/>
      <x:c r="H450" s="43" t="str">
        <x:v>RG20 9BD</x:v>
      </x:c>
      <x:c r="I450" s="43" t="n">
        <x:v>0</x:v>
      </x:c>
      <x:c r="J450" s="43" t="n">
        <x:v>18</x:v>
      </x:c>
      <x:c r="K450" s="43" t="str">
        <x:v>No boarders</x:v>
      </x:c>
      <x:c r="L450" s="43" t="str">
        <x:v>Has a sixth form</x:v>
      </x:c>
      <x:c r="M450" s="43" t="n">
        <x:v>442</x:v>
      </x:c>
      <x:c r="N450" s="43" t="str">
        <x:v>https://www.stgabriels.co.uk</x:v>
      </x:c>
      <x:c r="O450" s="43" t="str">
        <x:v>01635555680</x:v>
      </x:c>
      <x:c r="P450" s="43" t="str"/>
      <x:c r="Q450" s="43" t="str"/>
      <x:c r="R450" s="43" t="str">
        <x:v>Queued for contact research</x:v>
      </x:c>
      <x:c r="S450" s="43" t="str">
        <x:v>Not reviewed</x:v>
      </x:c>
      <x:c r="T450" s="43" t="str">
        <x:v>Hold</x:v>
      </x:c>
      <x:c r="U450" s="43" t="str">
        <x:v>No</x:v>
      </x:c>
      <x:c r="V450" s="44"/>
      <x:c r="W450" s="43" t="str"/>
      <x:c r="X450" s="43" t="str"/>
      <x:c r="Y450" s="43" t="str"/>
      <x:c r="Z450" s="43" t="str">
        <x:v>https://www.get-information-schools.service.gov.uk/Downloads</x:v>
      </x:c>
    </x:row>
    <x:row r="451">
      <x:c r="A451" s="43" t="str">
        <x:v>UK independent</x:v>
      </x:c>
      <x:c r="B451" s="43" t="str">
        <x:v>105992</x:v>
      </x:c>
      <x:c r="C451" s="43" t="n">
        <x:f>IF(K451="Boarding school",30,0)+IF(J451&gt;=18,20,0)+IF(I451&lt;=11,10,0)+IF(L451="Has a sixth form",15,0)+IF(M451&gt;=200,10,0)+IF(N451&lt;&gt;"",10,0)</x:f>
        <x:v>65</x:v>
      </x:c>
      <x:c r="D451" s="43" t="str">
        <x:f>IF(C451&gt;=85,"A",IF(C451&gt;=65,"B","C"))</x:f>
        <x:v>B</x:v>
      </x:c>
      <x:c r="E451" s="43" t="str">
        <x:v>Bridgewater School</x:v>
      </x:c>
      <x:c r="F451" s="43" t="str">
        <x:v>Manchester</x:v>
      </x:c>
      <x:c r="G451" s="43" t="str">
        <x:v>Greater Manchester</x:v>
      </x:c>
      <x:c r="H451" s="43" t="str">
        <x:v>M28 2WQ</x:v>
      </x:c>
      <x:c r="I451" s="43" t="n">
        <x:v>3</x:v>
      </x:c>
      <x:c r="J451" s="43" t="n">
        <x:v>18</x:v>
      </x:c>
      <x:c r="K451" s="43" t="str">
        <x:v>No boarders</x:v>
      </x:c>
      <x:c r="L451" s="43" t="str">
        <x:v>Has a sixth form</x:v>
      </x:c>
      <x:c r="M451" s="43" t="n">
        <x:v>439</x:v>
      </x:c>
      <x:c r="N451" s="43" t="str">
        <x:v>https://www.bridgewater-school.co.uk</x:v>
      </x:c>
      <x:c r="O451" s="43" t="str">
        <x:v>01617941463</x:v>
      </x:c>
      <x:c r="P451" s="43" t="str"/>
      <x:c r="Q451" s="43" t="str"/>
      <x:c r="R451" s="43" t="str">
        <x:v>Queued for contact research</x:v>
      </x:c>
      <x:c r="S451" s="43" t="str">
        <x:v>Not reviewed</x:v>
      </x:c>
      <x:c r="T451" s="43" t="str">
        <x:v>Hold</x:v>
      </x:c>
      <x:c r="U451" s="43" t="str">
        <x:v>No</x:v>
      </x:c>
      <x:c r="V451" s="44"/>
      <x:c r="W451" s="43" t="str"/>
      <x:c r="X451" s="43" t="str"/>
      <x:c r="Y451" s="43" t="str"/>
      <x:c r="Z451" s="43" t="str">
        <x:v>https://www.get-information-schools.service.gov.uk/Downloads</x:v>
      </x:c>
    </x:row>
    <x:row r="452">
      <x:c r="A452" s="43" t="str">
        <x:v>UK independent</x:v>
      </x:c>
      <x:c r="B452" s="43" t="str">
        <x:v>116581</x:v>
      </x:c>
      <x:c r="C452" s="43" t="n">
        <x:f>IF(K452="Boarding school",30,0)+IF(J452&gt;=18,20,0)+IF(I452&lt;=11,10,0)+IF(L452="Has a sixth form",15,0)+IF(M452&gt;=200,10,0)+IF(N452&lt;&gt;"",10,0)</x:f>
        <x:v>65</x:v>
      </x:c>
      <x:c r="D452" s="43" t="str">
        <x:f>IF(C452&gt;=85,"A",IF(C452&gt;=65,"B","C"))</x:f>
        <x:v>B</x:v>
      </x:c>
      <x:c r="E452" s="43" t="str">
        <x:v>Portsmouth High School GDST</x:v>
      </x:c>
      <x:c r="F452" s="43" t="str"/>
      <x:c r="G452" s="43" t="str"/>
      <x:c r="H452" s="43" t="str">
        <x:v>PO5 3EQ</x:v>
      </x:c>
      <x:c r="I452" s="43" t="n">
        <x:v>2</x:v>
      </x:c>
      <x:c r="J452" s="43" t="n">
        <x:v>19</x:v>
      </x:c>
      <x:c r="K452" s="43" t="str">
        <x:v>No boarders</x:v>
      </x:c>
      <x:c r="L452" s="43" t="str">
        <x:v>Has a sixth form</x:v>
      </x:c>
      <x:c r="M452" s="43" t="n">
        <x:v>436</x:v>
      </x:c>
      <x:c r="N452" s="43" t="str">
        <x:v>http://www.portsmouthhigh.co.uk/</x:v>
      </x:c>
      <x:c r="O452" s="43" t="str">
        <x:v>02392826714</x:v>
      </x:c>
      <x:c r="P452" s="43" t="str"/>
      <x:c r="Q452" s="43" t="str"/>
      <x:c r="R452" s="43" t="str">
        <x:v>Queued for contact research</x:v>
      </x:c>
      <x:c r="S452" s="43" t="str">
        <x:v>Not reviewed</x:v>
      </x:c>
      <x:c r="T452" s="43" t="str">
        <x:v>Hold</x:v>
      </x:c>
      <x:c r="U452" s="43" t="str">
        <x:v>No</x:v>
      </x:c>
      <x:c r="V452" s="44"/>
      <x:c r="W452" s="43" t="str"/>
      <x:c r="X452" s="43" t="str"/>
      <x:c r="Y452" s="43" t="str"/>
      <x:c r="Z452" s="43" t="str">
        <x:v>https://www.get-information-schools.service.gov.uk/Downloads</x:v>
      </x:c>
    </x:row>
    <x:row r="453">
      <x:c r="A453" s="43" t="str">
        <x:v>UK independent</x:v>
      </x:c>
      <x:c r="B453" s="43" t="str">
        <x:v>122144</x:v>
      </x:c>
      <x:c r="C453" s="43" t="n">
        <x:f>IF(K453="Boarding school",30,0)+IF(J453&gt;=18,20,0)+IF(I453&lt;=11,10,0)+IF(L453="Has a sixth form",15,0)+IF(M453&gt;=200,10,0)+IF(N453&lt;&gt;"",10,0)</x:f>
        <x:v>65</x:v>
      </x:c>
      <x:c r="D453" s="43" t="str">
        <x:f>IF(C453&gt;=85,"A",IF(C453&gt;=65,"B","C"))</x:f>
        <x:v>B</x:v>
      </x:c>
      <x:c r="E453" s="43" t="str">
        <x:v>Northampton High School GDST</x:v>
      </x:c>
      <x:c r="F453" s="43" t="str"/>
      <x:c r="G453" s="43" t="str"/>
      <x:c r="H453" s="43" t="str">
        <x:v>NN4 6UU</x:v>
      </x:c>
      <x:c r="I453" s="43" t="n">
        <x:v>2</x:v>
      </x:c>
      <x:c r="J453" s="43" t="n">
        <x:v>18</x:v>
      </x:c>
      <x:c r="K453" s="43" t="str">
        <x:v>No boarders</x:v>
      </x:c>
      <x:c r="L453" s="43" t="str">
        <x:v>Has a sixth form</x:v>
      </x:c>
      <x:c r="M453" s="43" t="n">
        <x:v>427</x:v>
      </x:c>
      <x:c r="N453" s="43" t="str">
        <x:v>https://www.northamptonhigh.co.uk/</x:v>
      </x:c>
      <x:c r="O453" s="43" t="str">
        <x:v>01604765765</x:v>
      </x:c>
      <x:c r="P453" s="43" t="str"/>
      <x:c r="Q453" s="43" t="str"/>
      <x:c r="R453" s="43" t="str">
        <x:v>Queued for contact research</x:v>
      </x:c>
      <x:c r="S453" s="43" t="str">
        <x:v>Not reviewed</x:v>
      </x:c>
      <x:c r="T453" s="43" t="str">
        <x:v>Hold</x:v>
      </x:c>
      <x:c r="U453" s="43" t="str">
        <x:v>No</x:v>
      </x:c>
      <x:c r="V453" s="44"/>
      <x:c r="W453" s="43" t="str"/>
      <x:c r="X453" s="43" t="str"/>
      <x:c r="Y453" s="43" t="str"/>
      <x:c r="Z453" s="43" t="str">
        <x:v>https://www.get-information-schools.service.gov.uk/Downloads</x:v>
      </x:c>
    </x:row>
    <x:row r="454">
      <x:c r="A454" s="43" t="str">
        <x:v>UK independent</x:v>
      </x:c>
      <x:c r="B454" s="43" t="str">
        <x:v>131173</x:v>
      </x:c>
      <x:c r="C454" s="43" t="n">
        <x:f>IF(K454="Boarding school",30,0)+IF(J454&gt;=18,20,0)+IF(I454&lt;=11,10,0)+IF(L454="Has a sixth form",15,0)+IF(M454&gt;=200,10,0)+IF(N454&lt;&gt;"",10,0)</x:f>
        <x:v>65</x:v>
      </x:c>
      <x:c r="D454" s="43" t="str">
        <x:f>IF(C454&gt;=85,"A",IF(C454&gt;=65,"B","C"))</x:f>
        <x:v>B</x:v>
      </x:c>
      <x:c r="E454" s="43" t="str">
        <x:v>ACS Egham International School</x:v>
      </x:c>
      <x:c r="F454" s="43" t="str">
        <x:v>Egham</x:v>
      </x:c>
      <x:c r="G454" s="43" t="str">
        <x:v>Surrey</x:v>
      </x:c>
      <x:c r="H454" s="43" t="str">
        <x:v>TW20 0HS</x:v>
      </x:c>
      <x:c r="I454" s="43" t="n">
        <x:v>3</x:v>
      </x:c>
      <x:c r="J454" s="43" t="n">
        <x:v>18</x:v>
      </x:c>
      <x:c r="K454" s="43" t="str">
        <x:v>No boarders</x:v>
      </x:c>
      <x:c r="L454" s="43" t="str">
        <x:v>Has a sixth form</x:v>
      </x:c>
      <x:c r="M454" s="43" t="n">
        <x:v>426</x:v>
      </x:c>
      <x:c r="N454" s="43" t="str">
        <x:v>https://www.acs-schools.com/egham</x:v>
      </x:c>
      <x:c r="O454" s="43" t="str">
        <x:v>01784430800</x:v>
      </x:c>
      <x:c r="P454" s="43" t="str"/>
      <x:c r="Q454" s="43" t="str"/>
      <x:c r="R454" s="43" t="str">
        <x:v>Queued for contact research</x:v>
      </x:c>
      <x:c r="S454" s="43" t="str">
        <x:v>Not reviewed</x:v>
      </x:c>
      <x:c r="T454" s="43" t="str">
        <x:v>Hold</x:v>
      </x:c>
      <x:c r="U454" s="43" t="str">
        <x:v>No</x:v>
      </x:c>
      <x:c r="V454" s="44"/>
      <x:c r="W454" s="43" t="str"/>
      <x:c r="X454" s="43" t="str"/>
      <x:c r="Y454" s="43" t="str"/>
      <x:c r="Z454" s="43" t="str">
        <x:v>https://www.get-information-schools.service.gov.uk/Downloads</x:v>
      </x:c>
    </x:row>
    <x:row r="455">
      <x:c r="A455" s="43" t="str">
        <x:v>UK independent</x:v>
      </x:c>
      <x:c r="B455" s="43" t="str">
        <x:v>119002</x:v>
      </x:c>
      <x:c r="C455" s="43" t="n">
        <x:f>IF(K455="Boarding school",30,0)+IF(J455&gt;=18,20,0)+IF(I455&lt;=11,10,0)+IF(L455="Has a sixth form",15,0)+IF(M455&gt;=200,10,0)+IF(N455&lt;&gt;"",10,0)</x:f>
        <x:v>65</x:v>
      </x:c>
      <x:c r="D455" s="43" t="str">
        <x:f>IF(C455&gt;=85,"A",IF(C455&gt;=65,"B","C"))</x:f>
        <x:v>B</x:v>
      </x:c>
      <x:c r="E455" s="43" t="str">
        <x:v>Walthamstow Hall</x:v>
      </x:c>
      <x:c r="F455" s="43" t="str">
        <x:v>Sevenoaks</x:v>
      </x:c>
      <x:c r="G455" s="43" t="str">
        <x:v>Kent</x:v>
      </x:c>
      <x:c r="H455" s="43" t="str">
        <x:v>TN13 3UL</x:v>
      </x:c>
      <x:c r="I455" s="43" t="n">
        <x:v>7</x:v>
      </x:c>
      <x:c r="J455" s="43" t="n">
        <x:v>19</x:v>
      </x:c>
      <x:c r="K455" s="43" t="str">
        <x:v>No boarders</x:v>
      </x:c>
      <x:c r="L455" s="43" t="str">
        <x:v>Has a sixth form</x:v>
      </x:c>
      <x:c r="M455" s="43" t="n">
        <x:v>416</x:v>
      </x:c>
      <x:c r="N455" s="43" t="str">
        <x:v>https://www.walthamstow-hall.co.uk</x:v>
      </x:c>
      <x:c r="O455" s="43" t="str">
        <x:v>01732451334</x:v>
      </x:c>
      <x:c r="P455" s="43" t="str"/>
      <x:c r="Q455" s="43" t="str"/>
      <x:c r="R455" s="43" t="str">
        <x:v>Queued for contact research</x:v>
      </x:c>
      <x:c r="S455" s="43" t="str">
        <x:v>Not reviewed</x:v>
      </x:c>
      <x:c r="T455" s="43" t="str">
        <x:v>Hold</x:v>
      </x:c>
      <x:c r="U455" s="43" t="str">
        <x:v>No</x:v>
      </x:c>
      <x:c r="V455" s="44"/>
      <x:c r="W455" s="43" t="str"/>
      <x:c r="X455" s="43" t="str"/>
      <x:c r="Y455" s="43" t="str"/>
      <x:c r="Z455" s="43" t="str">
        <x:v>https://www.get-information-schools.service.gov.uk/Downloads</x:v>
      </x:c>
    </x:row>
    <x:row r="456">
      <x:c r="A456" s="43" t="str">
        <x:v>UK independent</x:v>
      </x:c>
      <x:c r="B456" s="43" t="str">
        <x:v>101157</x:v>
      </x:c>
      <x:c r="C456" s="43" t="n">
        <x:f>IF(K456="Boarding school",30,0)+IF(J456&gt;=18,20,0)+IF(I456&lt;=11,10,0)+IF(L456="Has a sixth form",15,0)+IF(M456&gt;=200,10,0)+IF(N456&lt;&gt;"",10,0)</x:f>
        <x:v>65</x:v>
      </x:c>
      <x:c r="D456" s="43" t="str">
        <x:f>IF(C456&gt;=85,"A",IF(C456&gt;=65,"B","C"))</x:f>
        <x:v>B</x:v>
      </x:c>
      <x:c r="E456" s="43" t="str">
        <x:v>Queen's College, London</x:v>
      </x:c>
      <x:c r="F456" s="43" t="str">
        <x:v>London</x:v>
      </x:c>
      <x:c r="G456" s="43" t="str"/>
      <x:c r="H456" s="43" t="str">
        <x:v>W1G 8BT</x:v>
      </x:c>
      <x:c r="I456" s="43" t="n">
        <x:v>3</x:v>
      </x:c>
      <x:c r="J456" s="43" t="n">
        <x:v>19</x:v>
      </x:c>
      <x:c r="K456" s="43" t="str">
        <x:v>No boarders</x:v>
      </x:c>
      <x:c r="L456" s="43" t="str">
        <x:v>Has a sixth form</x:v>
      </x:c>
      <x:c r="M456" s="43" t="n">
        <x:v>412</x:v>
      </x:c>
      <x:c r="N456" s="43" t="str">
        <x:v>https://www.qcl.org.uk</x:v>
      </x:c>
      <x:c r="O456" s="43" t="str">
        <x:v>02072917000</x:v>
      </x:c>
      <x:c r="P456" s="43" t="str"/>
      <x:c r="Q456" s="43" t="str"/>
      <x:c r="R456" s="43" t="str">
        <x:v>Queued for contact research</x:v>
      </x:c>
      <x:c r="S456" s="43" t="str">
        <x:v>Not reviewed</x:v>
      </x:c>
      <x:c r="T456" s="43" t="str">
        <x:v>Hold</x:v>
      </x:c>
      <x:c r="U456" s="43" t="str">
        <x:v>No</x:v>
      </x:c>
      <x:c r="V456" s="44"/>
      <x:c r="W456" s="43" t="str"/>
      <x:c r="X456" s="43" t="str"/>
      <x:c r="Y456" s="43" t="str"/>
      <x:c r="Z456" s="43" t="str">
        <x:v>https://www.get-information-schools.service.gov.uk/Downloads</x:v>
      </x:c>
    </x:row>
    <x:row r="457">
      <x:c r="A457" s="43" t="str">
        <x:v>UK independent</x:v>
      </x:c>
      <x:c r="B457" s="43" t="str">
        <x:v>140356</x:v>
      </x:c>
      <x:c r="C457" s="43" t="n">
        <x:f>IF(K457="Boarding school",30,0)+IF(J457&gt;=18,20,0)+IF(I457&lt;=11,10,0)+IF(L457="Has a sixth form",15,0)+IF(M457&gt;=200,10,0)+IF(N457&lt;&gt;"",10,0)</x:f>
        <x:v>65</x:v>
      </x:c>
      <x:c r="D457" s="43" t="str">
        <x:f>IF(C457&gt;=85,"A",IF(C457&gt;=65,"B","C"))</x:f>
        <x:v>B</x:v>
      </x:c>
      <x:c r="E457" s="43" t="str">
        <x:v>Fidelis College</x:v>
      </x:c>
      <x:c r="F457" s="43" t="str">
        <x:v>London</x:v>
      </x:c>
      <x:c r="G457" s="43" t="str"/>
      <x:c r="H457" s="43" t="str">
        <x:v>SE19 1RT</x:v>
      </x:c>
      <x:c r="I457" s="43" t="n">
        <x:v>4</x:v>
      </x:c>
      <x:c r="J457" s="43" t="n">
        <x:v>19</x:v>
      </x:c>
      <x:c r="K457" s="43" t="str">
        <x:v>No boarders</x:v>
      </x:c>
      <x:c r="L457" s="43" t="str">
        <x:v>Has a sixth form</x:v>
      </x:c>
      <x:c r="M457" s="43" t="n">
        <x:v>411</x:v>
      </x:c>
      <x:c r="N457" s="43" t="str">
        <x:v>https://www.fidelis.org.uk</x:v>
      </x:c>
      <x:c r="O457" s="43" t="str">
        <x:v>02081857770</x:v>
      </x:c>
      <x:c r="P457" s="43" t="str"/>
      <x:c r="Q457" s="43" t="str"/>
      <x:c r="R457" s="43" t="str">
        <x:v>Queued for contact research</x:v>
      </x:c>
      <x:c r="S457" s="43" t="str">
        <x:v>Not reviewed</x:v>
      </x:c>
      <x:c r="T457" s="43" t="str">
        <x:v>Hold</x:v>
      </x:c>
      <x:c r="U457" s="43" t="str">
        <x:v>No</x:v>
      </x:c>
      <x:c r="V457" s="44"/>
      <x:c r="W457" s="43" t="str"/>
      <x:c r="X457" s="43" t="str"/>
      <x:c r="Y457" s="43" t="str"/>
      <x:c r="Z457" s="43" t="str">
        <x:v>https://www.get-information-schools.service.gov.uk/Downloads</x:v>
      </x:c>
    </x:row>
    <x:row r="458">
      <x:c r="A458" s="43" t="str">
        <x:v>UK independent</x:v>
      </x:c>
      <x:c r="B458" s="43" t="str">
        <x:v>113608</x:v>
      </x:c>
      <x:c r="C458" s="43" t="n">
        <x:f>IF(K458="Boarding school",30,0)+IF(J458&gt;=18,20,0)+IF(I458&lt;=11,10,0)+IF(L458="Has a sixth form",15,0)+IF(M458&gt;=200,10,0)+IF(N458&lt;&gt;"",10,0)</x:f>
        <x:v>65</x:v>
      </x:c>
      <x:c r="D458" s="43" t="str">
        <x:f>IF(C458&gt;=85,"A",IF(C458&gt;=65,"B","C"))</x:f>
        <x:v>B</x:v>
      </x:c>
      <x:c r="E458" s="43" t="str">
        <x:v>The Maynard School</x:v>
      </x:c>
      <x:c r="F458" s="43" t="str">
        <x:v>Exeter</x:v>
      </x:c>
      <x:c r="G458" s="43" t="str">
        <x:v>Devon</x:v>
      </x:c>
      <x:c r="H458" s="43" t="str">
        <x:v>EX1 1SJ</x:v>
      </x:c>
      <x:c r="I458" s="43" t="n">
        <x:v>4</x:v>
      </x:c>
      <x:c r="J458" s="43" t="n">
        <x:v>19</x:v>
      </x:c>
      <x:c r="K458" s="43" t="str">
        <x:v>No boarders</x:v>
      </x:c>
      <x:c r="L458" s="43" t="str">
        <x:v>Has a sixth form</x:v>
      </x:c>
      <x:c r="M458" s="43" t="n">
        <x:v>410</x:v>
      </x:c>
      <x:c r="N458" s="43" t="str">
        <x:v>http://www.maynard.co.uk/</x:v>
      </x:c>
      <x:c r="O458" s="43" t="str">
        <x:v>01392273417</x:v>
      </x:c>
      <x:c r="P458" s="43" t="str"/>
      <x:c r="Q458" s="43" t="str"/>
      <x:c r="R458" s="43" t="str">
        <x:v>Queued for contact research</x:v>
      </x:c>
      <x:c r="S458" s="43" t="str">
        <x:v>Not reviewed</x:v>
      </x:c>
      <x:c r="T458" s="43" t="str">
        <x:v>Hold</x:v>
      </x:c>
      <x:c r="U458" s="43" t="str">
        <x:v>No</x:v>
      </x:c>
      <x:c r="V458" s="44"/>
      <x:c r="W458" s="43" t="str"/>
      <x:c r="X458" s="43" t="str"/>
      <x:c r="Y458" s="43" t="str"/>
      <x:c r="Z458" s="43" t="str">
        <x:v>https://www.get-information-schools.service.gov.uk/Downloads</x:v>
      </x:c>
    </x:row>
    <x:row r="459">
      <x:c r="A459" s="43" t="str">
        <x:v>UK independent</x:v>
      </x:c>
      <x:c r="B459" s="43" t="str">
        <x:v>111484</x:v>
      </x:c>
      <x:c r="C459" s="43" t="n">
        <x:f>IF(K459="Boarding school",30,0)+IF(J459&gt;=18,20,0)+IF(I459&lt;=11,10,0)+IF(L459="Has a sixth form",15,0)+IF(M459&gt;=200,10,0)+IF(N459&lt;&gt;"",10,0)</x:f>
        <x:v>65</x:v>
      </x:c>
      <x:c r="D459" s="43" t="str">
        <x:f>IF(C459&gt;=85,"A",IF(C459&gt;=65,"B","C"))</x:f>
        <x:v>B</x:v>
      </x:c>
      <x:c r="E459" s="43" t="str">
        <x:v>Abbey Gate College</x:v>
      </x:c>
      <x:c r="F459" s="43" t="str">
        <x:v>Chester</x:v>
      </x:c>
      <x:c r="G459" s="43" t="str">
        <x:v>Cheshire</x:v>
      </x:c>
      <x:c r="H459" s="43" t="str">
        <x:v>CH3 6EN</x:v>
      </x:c>
      <x:c r="I459" s="43" t="n">
        <x:v>4</x:v>
      </x:c>
      <x:c r="J459" s="43" t="n">
        <x:v>18</x:v>
      </x:c>
      <x:c r="K459" s="43" t="str">
        <x:v>No boarders</x:v>
      </x:c>
      <x:c r="L459" s="43" t="str">
        <x:v>Has a sixth form</x:v>
      </x:c>
      <x:c r="M459" s="43" t="n">
        <x:v>408</x:v>
      </x:c>
      <x:c r="N459" s="43" t="str">
        <x:v>https://www.abbeygatecollege.co.uk</x:v>
      </x:c>
      <x:c r="O459" s="43" t="str">
        <x:v>01244332077</x:v>
      </x:c>
      <x:c r="P459" s="43" t="str"/>
      <x:c r="Q459" s="43" t="str"/>
      <x:c r="R459" s="43" t="str">
        <x:v>Queued for contact research</x:v>
      </x:c>
      <x:c r="S459" s="43" t="str">
        <x:v>Not reviewed</x:v>
      </x:c>
      <x:c r="T459" s="43" t="str">
        <x:v>Hold</x:v>
      </x:c>
      <x:c r="U459" s="43" t="str">
        <x:v>No</x:v>
      </x:c>
      <x:c r="V459" s="44"/>
      <x:c r="W459" s="43" t="str"/>
      <x:c r="X459" s="43" t="str"/>
      <x:c r="Y459" s="43" t="str"/>
      <x:c r="Z459" s="43" t="str">
        <x:v>https://www.get-information-schools.service.gov.uk/Downloads</x:v>
      </x:c>
    </x:row>
    <x:row r="460">
      <x:c r="A460" s="43" t="str">
        <x:v>UK independent</x:v>
      </x:c>
      <x:c r="B460" s="43" t="str">
        <x:v>142336</x:v>
      </x:c>
      <x:c r="C460" s="43" t="n">
        <x:f>IF(K460="Boarding school",30,0)+IF(J460&gt;=18,20,0)+IF(I460&lt;=11,10,0)+IF(L460="Has a sixth form",15,0)+IF(M460&gt;=200,10,0)+IF(N460&lt;&gt;"",10,0)</x:f>
        <x:v>65</x:v>
      </x:c>
      <x:c r="D460" s="43" t="str">
        <x:f>IF(C460&gt;=85,"A",IF(C460&gt;=65,"B","C"))</x:f>
        <x:v>B</x:v>
      </x:c>
      <x:c r="E460" s="43" t="str">
        <x:v>Wetherby Senior School</x:v>
      </x:c>
      <x:c r="F460" s="43" t="str">
        <x:v>London</x:v>
      </x:c>
      <x:c r="G460" s="43" t="str"/>
      <x:c r="H460" s="43" t="str">
        <x:v>W1U 2QU</x:v>
      </x:c>
      <x:c r="I460" s="43" t="n">
        <x:v>11</x:v>
      </x:c>
      <x:c r="J460" s="43" t="n">
        <x:v>18</x:v>
      </x:c>
      <x:c r="K460" s="43" t="str">
        <x:v>No boarders</x:v>
      </x:c>
      <x:c r="L460" s="43" t="str">
        <x:v>Has a sixth form</x:v>
      </x:c>
      <x:c r="M460" s="43" t="n">
        <x:v>406</x:v>
      </x:c>
      <x:c r="N460" s="43" t="str">
        <x:v>https://www.wetherbysenior.co.uk/</x:v>
      </x:c>
      <x:c r="O460" s="43" t="str">
        <x:v>02075353530</x:v>
      </x:c>
      <x:c r="P460" s="43" t="str"/>
      <x:c r="Q460" s="43" t="str"/>
      <x:c r="R460" s="43" t="str">
        <x:v>Queued for contact research</x:v>
      </x:c>
      <x:c r="S460" s="43" t="str">
        <x:v>Not reviewed</x:v>
      </x:c>
      <x:c r="T460" s="43" t="str">
        <x:v>Hold</x:v>
      </x:c>
      <x:c r="U460" s="43" t="str">
        <x:v>No</x:v>
      </x:c>
      <x:c r="V460" s="44"/>
      <x:c r="W460" s="43" t="str"/>
      <x:c r="X460" s="43" t="str"/>
      <x:c r="Y460" s="43" t="str"/>
      <x:c r="Z460" s="43" t="str">
        <x:v>https://www.get-information-schools.service.gov.uk/Downloads</x:v>
      </x:c>
    </x:row>
    <x:row r="461">
      <x:c r="A461" s="43" t="str">
        <x:v>UK independent</x:v>
      </x:c>
      <x:c r="B461" s="43" t="str">
        <x:v>114658</x:v>
      </x:c>
      <x:c r="C461" s="43" t="n">
        <x:f>IF(K461="Boarding school",30,0)+IF(J461&gt;=18,20,0)+IF(I461&lt;=11,10,0)+IF(L461="Has a sixth form",15,0)+IF(M461&gt;=200,10,0)+IF(N461&lt;&gt;"",10,0)</x:f>
        <x:v>65</x:v>
      </x:c>
      <x:c r="D461" s="43" t="str">
        <x:f>IF(C461&gt;=85,"A",IF(C461&gt;=65,"B","C"))</x:f>
        <x:v>B</x:v>
      </x:c>
      <x:c r="E461" s="43" t="str">
        <x:v>Brighton Girls GDST</x:v>
      </x:c>
      <x:c r="F461" s="43" t="str"/>
      <x:c r="G461" s="43" t="str"/>
      <x:c r="H461" s="43" t="str">
        <x:v>BN1 3AT</x:v>
      </x:c>
      <x:c r="I461" s="43" t="n">
        <x:v>3</x:v>
      </x:c>
      <x:c r="J461" s="43" t="n">
        <x:v>18</x:v>
      </x:c>
      <x:c r="K461" s="43" t="str">
        <x:v>No boarders</x:v>
      </x:c>
      <x:c r="L461" s="43" t="str">
        <x:v>Has a sixth form</x:v>
      </x:c>
      <x:c r="M461" s="43" t="n">
        <x:v>405</x:v>
      </x:c>
      <x:c r="N461" s="43" t="str">
        <x:v>https://www.brightongirls.gdst.net</x:v>
      </x:c>
      <x:c r="O461" s="43" t="str">
        <x:v>01273280280</x:v>
      </x:c>
      <x:c r="P461" s="43" t="str"/>
      <x:c r="Q461" s="43" t="str"/>
      <x:c r="R461" s="43" t="str">
        <x:v>Queued for contact research</x:v>
      </x:c>
      <x:c r="S461" s="43" t="str">
        <x:v>Not reviewed</x:v>
      </x:c>
      <x:c r="T461" s="43" t="str">
        <x:v>Hold</x:v>
      </x:c>
      <x:c r="U461" s="43" t="str">
        <x:v>No</x:v>
      </x:c>
      <x:c r="V461" s="44"/>
      <x:c r="W461" s="43" t="str"/>
      <x:c r="X461" s="43" t="str"/>
      <x:c r="Y461" s="43" t="str"/>
      <x:c r="Z461" s="43" t="str">
        <x:v>https://www.get-information-schools.service.gov.uk/Downloads</x:v>
      </x:c>
    </x:row>
    <x:row r="462">
      <x:c r="A462" s="43" t="str">
        <x:v>UK independent</x:v>
      </x:c>
      <x:c r="B462" s="43" t="str">
        <x:v>110152</x:v>
      </x:c>
      <x:c r="C462" s="43" t="n">
        <x:f>IF(K462="Boarding school",30,0)+IF(J462&gt;=18,20,0)+IF(I462&lt;=11,10,0)+IF(L462="Has a sixth form",15,0)+IF(M462&gt;=200,10,0)+IF(N462&lt;&gt;"",10,0)</x:f>
        <x:v>65</x:v>
      </x:c>
      <x:c r="D462" s="43" t="str">
        <x:f>IF(C462&gt;=85,"A",IF(C462&gt;=65,"B","C"))</x:f>
        <x:v>B</x:v>
      </x:c>
      <x:c r="E462" s="43" t="str">
        <x:v>The Marist School</x:v>
      </x:c>
      <x:c r="F462" s="43" t="str">
        <x:v>Ascot</x:v>
      </x:c>
      <x:c r="G462" s="43" t="str"/>
      <x:c r="H462" s="43" t="str">
        <x:v>SL5 7PS</x:v>
      </x:c>
      <x:c r="I462" s="43" t="n">
        <x:v>2</x:v>
      </x:c>
      <x:c r="J462" s="43" t="n">
        <x:v>18</x:v>
      </x:c>
      <x:c r="K462" s="43" t="str">
        <x:v>No boarders</x:v>
      </x:c>
      <x:c r="L462" s="43" t="str">
        <x:v>Has a sixth form</x:v>
      </x:c>
      <x:c r="M462" s="43" t="n">
        <x:v>401</x:v>
      </x:c>
      <x:c r="N462" s="43" t="str">
        <x:v>https://www.themarist.com</x:v>
      </x:c>
      <x:c r="O462" s="43" t="str">
        <x:v>01344624291</x:v>
      </x:c>
      <x:c r="P462" s="43" t="str"/>
      <x:c r="Q462" s="43" t="str"/>
      <x:c r="R462" s="43" t="str">
        <x:v>Queued for contact research</x:v>
      </x:c>
      <x:c r="S462" s="43" t="str">
        <x:v>Not reviewed</x:v>
      </x:c>
      <x:c r="T462" s="43" t="str">
        <x:v>Hold</x:v>
      </x:c>
      <x:c r="U462" s="43" t="str">
        <x:v>No</x:v>
      </x:c>
      <x:c r="V462" s="44"/>
      <x:c r="W462" s="43" t="str"/>
      <x:c r="X462" s="43" t="str"/>
      <x:c r="Y462" s="43" t="str"/>
      <x:c r="Z462" s="43" t="str">
        <x:v>https://www.get-information-schools.service.gov.uk/Downloads</x:v>
      </x:c>
    </x:row>
    <x:row r="463">
      <x:c r="A463" s="43" t="str">
        <x:v>UK independent</x:v>
      </x:c>
      <x:c r="B463" s="43" t="str">
        <x:v>100532</x:v>
      </x:c>
      <x:c r="C463" s="43" t="n">
        <x:f>IF(K463="Boarding school",30,0)+IF(J463&gt;=18,20,0)+IF(I463&lt;=11,10,0)+IF(L463="Has a sixth form",15,0)+IF(M463&gt;=200,10,0)+IF(N463&lt;&gt;"",10,0)</x:f>
        <x:v>65</x:v>
      </x:c>
      <x:c r="D463" s="43" t="str">
        <x:f>IF(C463&gt;=85,"A",IF(C463&gt;=65,"B","C"))</x:f>
        <x:v>B</x:v>
      </x:c>
      <x:c r="E463" s="43" t="str">
        <x:v>Instituto Espanol Canada Blanch</x:v>
      </x:c>
      <x:c r="F463" s="43" t="str">
        <x:v>London</x:v>
      </x:c>
      <x:c r="G463" s="43" t="str"/>
      <x:c r="H463" s="43" t="str">
        <x:v>W10 5SZ</x:v>
      </x:c>
      <x:c r="I463" s="43" t="n">
        <x:v>3</x:v>
      </x:c>
      <x:c r="J463" s="43" t="n">
        <x:v>19</x:v>
      </x:c>
      <x:c r="K463" s="43" t="str">
        <x:v>No boarders</x:v>
      </x:c>
      <x:c r="L463" s="43" t="str">
        <x:v>Has a sixth form</x:v>
      </x:c>
      <x:c r="M463" s="43" t="n">
        <x:v>394</x:v>
      </x:c>
      <x:c r="N463" s="43" t="str">
        <x:v>http://vicentecanadablanch.educacion.es</x:v>
      </x:c>
      <x:c r="O463" s="43" t="str">
        <x:v>02089692664</x:v>
      </x:c>
      <x:c r="P463" s="43" t="str"/>
      <x:c r="Q463" s="43" t="str"/>
      <x:c r="R463" s="43" t="str">
        <x:v>Queued for contact research</x:v>
      </x:c>
      <x:c r="S463" s="43" t="str">
        <x:v>Not reviewed</x:v>
      </x:c>
      <x:c r="T463" s="43" t="str">
        <x:v>Hold</x:v>
      </x:c>
      <x:c r="U463" s="43" t="str">
        <x:v>No</x:v>
      </x:c>
      <x:c r="V463" s="44"/>
      <x:c r="W463" s="43" t="str"/>
      <x:c r="X463" s="43" t="str"/>
      <x:c r="Y463" s="43" t="str"/>
      <x:c r="Z463" s="43" t="str">
        <x:v>https://www.get-information-schools.service.gov.uk/Downloads</x:v>
      </x:c>
    </x:row>
    <x:row r="464">
      <x:c r="A464" s="43" t="str">
        <x:v>UK independent</x:v>
      </x:c>
      <x:c r="B464" s="43" t="str">
        <x:v>122137</x:v>
      </x:c>
      <x:c r="C464" s="43" t="n">
        <x:f>IF(K464="Boarding school",30,0)+IF(J464&gt;=18,20,0)+IF(I464&lt;=11,10,0)+IF(L464="Has a sixth form",15,0)+IF(M464&gt;=200,10,0)+IF(N464&lt;&gt;"",10,0)</x:f>
        <x:v>65</x:v>
      </x:c>
      <x:c r="D464" s="43" t="str">
        <x:f>IF(C464&gt;=85,"A",IF(C464&gt;=65,"B","C"))</x:f>
        <x:v>B</x:v>
      </x:c>
      <x:c r="E464" s="43" t="str">
        <x:v>Quinton House School</x:v>
      </x:c>
      <x:c r="F464" s="43" t="str"/>
      <x:c r="G464" s="43" t="str"/>
      <x:c r="H464" s="43" t="str">
        <x:v>NN5 4UX</x:v>
      </x:c>
      <x:c r="I464" s="43" t="n">
        <x:v>2</x:v>
      </x:c>
      <x:c r="J464" s="43" t="n">
        <x:v>19</x:v>
      </x:c>
      <x:c r="K464" s="43" t="str">
        <x:v>No boarders</x:v>
      </x:c>
      <x:c r="L464" s="43" t="str">
        <x:v>Has a sixth form</x:v>
      </x:c>
      <x:c r="M464" s="43" t="n">
        <x:v>392</x:v>
      </x:c>
      <x:c r="N464" s="43" t="str">
        <x:v>https://www.quintonhouseschool.co.uk</x:v>
      </x:c>
      <x:c r="O464" s="43" t="str">
        <x:v>01604752050</x:v>
      </x:c>
      <x:c r="P464" s="43" t="str"/>
      <x:c r="Q464" s="43" t="str"/>
      <x:c r="R464" s="43" t="str">
        <x:v>Queued for contact research</x:v>
      </x:c>
      <x:c r="S464" s="43" t="str">
        <x:v>Not reviewed</x:v>
      </x:c>
      <x:c r="T464" s="43" t="str">
        <x:v>Hold</x:v>
      </x:c>
      <x:c r="U464" s="43" t="str">
        <x:v>No</x:v>
      </x:c>
      <x:c r="V464" s="44"/>
      <x:c r="W464" s="43" t="str"/>
      <x:c r="X464" s="43" t="str"/>
      <x:c r="Y464" s="43" t="str"/>
      <x:c r="Z464" s="43" t="str">
        <x:v>https://www.get-information-schools.service.gov.uk/Downloads</x:v>
      </x:c>
    </x:row>
    <x:row r="465">
      <x:c r="A465" s="43" t="str">
        <x:v>UK independent</x:v>
      </x:c>
      <x:c r="B465" s="43" t="str">
        <x:v>110544</x:v>
      </x:c>
      <x:c r="C465" s="43" t="n">
        <x:f>IF(K465="Boarding school",30,0)+IF(J465&gt;=18,20,0)+IF(I465&lt;=11,10,0)+IF(L465="Has a sixth form",15,0)+IF(M465&gt;=200,10,0)+IF(N465&lt;&gt;"",10,0)</x:f>
        <x:v>65</x:v>
      </x:c>
      <x:c r="D465" s="43" t="str">
        <x:f>IF(C465&gt;=85,"A",IF(C465&gt;=65,"B","C"))</x:f>
        <x:v>B</x:v>
      </x:c>
      <x:c r="E465" s="43" t="str">
        <x:v>St Mary's School</x:v>
      </x:c>
      <x:c r="F465" s="43" t="str">
        <x:v>Gerrards Cross</x:v>
      </x:c>
      <x:c r="G465" s="43" t="str">
        <x:v>Buckinghamshire</x:v>
      </x:c>
      <x:c r="H465" s="43" t="str">
        <x:v>SL9 8JQ</x:v>
      </x:c>
      <x:c r="I465" s="43" t="n">
        <x:v>3</x:v>
      </x:c>
      <x:c r="J465" s="43" t="n">
        <x:v>18</x:v>
      </x:c>
      <x:c r="K465" s="43" t="str">
        <x:v>No boarders</x:v>
      </x:c>
      <x:c r="L465" s="43" t="str">
        <x:v>Has a sixth form</x:v>
      </x:c>
      <x:c r="M465" s="43" t="n">
        <x:v>391</x:v>
      </x:c>
      <x:c r="N465" s="43" t="str">
        <x:v>https://www.stmarysgx.co.uk</x:v>
      </x:c>
      <x:c r="O465" s="43" t="str">
        <x:v>01753883370</x:v>
      </x:c>
      <x:c r="P465" s="43" t="str"/>
      <x:c r="Q465" s="43" t="str"/>
      <x:c r="R465" s="43" t="str">
        <x:v>Queued for contact research</x:v>
      </x:c>
      <x:c r="S465" s="43" t="str">
        <x:v>Not reviewed</x:v>
      </x:c>
      <x:c r="T465" s="43" t="str">
        <x:v>Hold</x:v>
      </x:c>
      <x:c r="U465" s="43" t="str">
        <x:v>No</x:v>
      </x:c>
      <x:c r="V465" s="44"/>
      <x:c r="W465" s="43" t="str"/>
      <x:c r="X465" s="43" t="str"/>
      <x:c r="Y465" s="43" t="str"/>
      <x:c r="Z465" s="43" t="str">
        <x:v>https://www.get-information-schools.service.gov.uk/Downloads</x:v>
      </x:c>
    </x:row>
    <x:row r="466">
      <x:c r="A466" s="43" t="str">
        <x:v>UK independent</x:v>
      </x:c>
      <x:c r="B466" s="43" t="str">
        <x:v>114625</x:v>
      </x:c>
      <x:c r="C466" s="43" t="n">
        <x:f>IF(K466="Boarding school",30,0)+IF(J466&gt;=18,20,0)+IF(I466&lt;=11,10,0)+IF(L466="Has a sixth form",15,0)+IF(M466&gt;=200,10,0)+IF(N466&lt;&gt;"",10,0)</x:f>
        <x:v>65</x:v>
      </x:c>
      <x:c r="D466" s="43" t="str">
        <x:f>IF(C466&gt;=85,"A",IF(C466&gt;=65,"B","C"))</x:f>
        <x:v>B</x:v>
      </x:c>
      <x:c r="E466" s="43" t="str">
        <x:v>Michael Hall School</x:v>
      </x:c>
      <x:c r="F466" s="43" t="str">
        <x:v>Forest Row</x:v>
      </x:c>
      <x:c r="G466" s="43" t="str">
        <x:v>East Sussex</x:v>
      </x:c>
      <x:c r="H466" s="43" t="str">
        <x:v>RH18 5JA</x:v>
      </x:c>
      <x:c r="I466" s="43" t="n">
        <x:v>2</x:v>
      </x:c>
      <x:c r="J466" s="43" t="n">
        <x:v>19</x:v>
      </x:c>
      <x:c r="K466" s="43" t="str">
        <x:v>No boarders</x:v>
      </x:c>
      <x:c r="L466" s="43" t="str">
        <x:v>Has a sixth form</x:v>
      </x:c>
      <x:c r="M466" s="43" t="n">
        <x:v>384</x:v>
      </x:c>
      <x:c r="N466" s="43" t="str">
        <x:v>http://www.michaelhall.co.uk/</x:v>
      </x:c>
      <x:c r="O466" s="43" t="str">
        <x:v>01342822275</x:v>
      </x:c>
      <x:c r="P466" s="43" t="str"/>
      <x:c r="Q466" s="43" t="str"/>
      <x:c r="R466" s="43" t="str">
        <x:v>Queued for contact research</x:v>
      </x:c>
      <x:c r="S466" s="43" t="str">
        <x:v>Not reviewed</x:v>
      </x:c>
      <x:c r="T466" s="43" t="str">
        <x:v>Hold</x:v>
      </x:c>
      <x:c r="U466" s="43" t="str">
        <x:v>No</x:v>
      </x:c>
      <x:c r="V466" s="44"/>
      <x:c r="W466" s="43" t="str"/>
      <x:c r="X466" s="43" t="str"/>
      <x:c r="Y466" s="43" t="str"/>
      <x:c r="Z466" s="43" t="str">
        <x:v>https://www.get-information-schools.service.gov.uk/Downloads</x:v>
      </x:c>
    </x:row>
    <x:row r="467">
      <x:c r="A467" s="43" t="str">
        <x:v>UK independent</x:v>
      </x:c>
      <x:c r="B467" s="43" t="str">
        <x:v>120331</x:v>
      </x:c>
      <x:c r="C467" s="43" t="n">
        <x:f>IF(K467="Boarding school",30,0)+IF(J467&gt;=18,20,0)+IF(I467&lt;=11,10,0)+IF(L467="Has a sixth form",15,0)+IF(M467&gt;=200,10,0)+IF(N467&lt;&gt;"",10,0)</x:f>
        <x:v>65</x:v>
      </x:c>
      <x:c r="D467" s="43" t="str">
        <x:f>IF(C467&gt;=85,"A",IF(C467&gt;=65,"B","C"))</x:f>
        <x:v>B</x:v>
      </x:c>
      <x:c r="E467" s="43" t="str">
        <x:v>Twycross House School</x:v>
      </x:c>
      <x:c r="F467" s="43" t="str">
        <x:v>Atherstone</x:v>
      </x:c>
      <x:c r="G467" s="43" t="str">
        <x:v>Warwickshire</x:v>
      </x:c>
      <x:c r="H467" s="43" t="str">
        <x:v>CV9 3PL</x:v>
      </x:c>
      <x:c r="I467" s="43" t="n">
        <x:v>8</x:v>
      </x:c>
      <x:c r="J467" s="43" t="n">
        <x:v>18</x:v>
      </x:c>
      <x:c r="K467" s="43" t="str">
        <x:v>No boarders</x:v>
      </x:c>
      <x:c r="L467" s="43" t="str">
        <x:v>Has a sixth form</x:v>
      </x:c>
      <x:c r="M467" s="43" t="n">
        <x:v>383</x:v>
      </x:c>
      <x:c r="N467" s="43" t="str">
        <x:v>https://www.twycrosshouseschool.org.uk</x:v>
      </x:c>
      <x:c r="O467" s="43" t="str">
        <x:v>01827880651</x:v>
      </x:c>
      <x:c r="P467" s="43" t="str"/>
      <x:c r="Q467" s="43" t="str"/>
      <x:c r="R467" s="43" t="str">
        <x:v>Queued for contact research</x:v>
      </x:c>
      <x:c r="S467" s="43" t="str">
        <x:v>Not reviewed</x:v>
      </x:c>
      <x:c r="T467" s="43" t="str">
        <x:v>Hold</x:v>
      </x:c>
      <x:c r="U467" s="43" t="str">
        <x:v>No</x:v>
      </x:c>
      <x:c r="V467" s="44"/>
      <x:c r="W467" s="43" t="str"/>
      <x:c r="X467" s="43" t="str"/>
      <x:c r="Y467" s="43" t="str"/>
      <x:c r="Z467" s="43" t="str">
        <x:v>https://www.get-information-schools.service.gov.uk/Downloads</x:v>
      </x:c>
    </x:row>
    <x:row r="468">
      <x:c r="A468" s="43" t="str">
        <x:v>UK independent</x:v>
      </x:c>
      <x:c r="B468" s="43" t="str">
        <x:v>111486</x:v>
      </x:c>
      <x:c r="C468" s="43" t="n">
        <x:f>IF(K468="Boarding school",30,0)+IF(J468&gt;=18,20,0)+IF(I468&lt;=11,10,0)+IF(L468="Has a sixth form",15,0)+IF(M468&gt;=200,10,0)+IF(N468&lt;&gt;"",10,0)</x:f>
        <x:v>65</x:v>
      </x:c>
      <x:c r="D468" s="43" t="str">
        <x:f>IF(C468&gt;=85,"A",IF(C468&gt;=65,"B","C"))</x:f>
        <x:v>B</x:v>
      </x:c>
      <x:c r="E468" s="43" t="str">
        <x:v>The Queen's School</x:v>
      </x:c>
      <x:c r="F468" s="43" t="str">
        <x:v>Chester</x:v>
      </x:c>
      <x:c r="G468" s="43" t="str">
        <x:v>Cheshire</x:v>
      </x:c>
      <x:c r="H468" s="43" t="str">
        <x:v>CH1 2NN</x:v>
      </x:c>
      <x:c r="I468" s="43" t="n">
        <x:v>3</x:v>
      </x:c>
      <x:c r="J468" s="43" t="n">
        <x:v>18</x:v>
      </x:c>
      <x:c r="K468" s="43" t="str">
        <x:v>No boarders</x:v>
      </x:c>
      <x:c r="L468" s="43" t="str">
        <x:v>Has a sixth form</x:v>
      </x:c>
      <x:c r="M468" s="43" t="n">
        <x:v>382</x:v>
      </x:c>
      <x:c r="N468" s="43" t="str">
        <x:v>http://www.thequeensschool.co.uk</x:v>
      </x:c>
      <x:c r="O468" s="43" t="str">
        <x:v>01244312078</x:v>
      </x:c>
      <x:c r="P468" s="43" t="str"/>
      <x:c r="Q468" s="43" t="str"/>
      <x:c r="R468" s="43" t="str">
        <x:v>Queued for contact research</x:v>
      </x:c>
      <x:c r="S468" s="43" t="str">
        <x:v>Not reviewed</x:v>
      </x:c>
      <x:c r="T468" s="43" t="str">
        <x:v>Hold</x:v>
      </x:c>
      <x:c r="U468" s="43" t="str">
        <x:v>No</x:v>
      </x:c>
      <x:c r="V468" s="44"/>
      <x:c r="W468" s="43" t="str"/>
      <x:c r="X468" s="43" t="str"/>
      <x:c r="Y468" s="43" t="str"/>
      <x:c r="Z468" s="43" t="str">
        <x:v>https://www.get-information-schools.service.gov.uk/Downloads</x:v>
      </x:c>
    </x:row>
    <x:row r="469">
      <x:c r="A469" s="43" t="str">
        <x:v>UK independent</x:v>
      </x:c>
      <x:c r="B469" s="43" t="str">
        <x:v>102936</x:v>
      </x:c>
      <x:c r="C469" s="43" t="n">
        <x:f>IF(K469="Boarding school",30,0)+IF(J469&gt;=18,20,0)+IF(I469&lt;=11,10,0)+IF(L469="Has a sixth form",15,0)+IF(M469&gt;=200,10,0)+IF(N469&lt;&gt;"",10,0)</x:f>
        <x:v>65</x:v>
      </x:c>
      <x:c r="D469" s="43" t="str">
        <x:f>IF(C469&gt;=85,"A",IF(C469&gt;=65,"B","C"))</x:f>
        <x:v>B</x:v>
      </x:c>
      <x:c r="E469" s="43" t="str">
        <x:v>St Catherine's School</x:v>
      </x:c>
      <x:c r="F469" s="43" t="str">
        <x:v>UK</x:v>
      </x:c>
      <x:c r="G469" s="43" t="str"/>
      <x:c r="H469" s="43" t="str">
        <x:v>TW1 4QJ</x:v>
      </x:c>
      <x:c r="I469" s="43" t="n">
        <x:v>7</x:v>
      </x:c>
      <x:c r="J469" s="43" t="n">
        <x:v>18</x:v>
      </x:c>
      <x:c r="K469" s="43" t="str">
        <x:v>No boarders</x:v>
      </x:c>
      <x:c r="L469" s="43" t="str">
        <x:v>Has a sixth form</x:v>
      </x:c>
      <x:c r="M469" s="43" t="n">
        <x:v>381</x:v>
      </x:c>
      <x:c r="N469" s="43" t="str">
        <x:v>https://www.stcatherineschool.co.uk/</x:v>
      </x:c>
      <x:c r="O469" s="43" t="str">
        <x:v>02088912898</x:v>
      </x:c>
      <x:c r="P469" s="43" t="str"/>
      <x:c r="Q469" s="43" t="str"/>
      <x:c r="R469" s="43" t="str">
        <x:v>Queued for contact research</x:v>
      </x:c>
      <x:c r="S469" s="43" t="str">
        <x:v>Not reviewed</x:v>
      </x:c>
      <x:c r="T469" s="43" t="str">
        <x:v>Hold</x:v>
      </x:c>
      <x:c r="U469" s="43" t="str">
        <x:v>No</x:v>
      </x:c>
      <x:c r="V469" s="44"/>
      <x:c r="W469" s="43" t="str"/>
      <x:c r="X469" s="43" t="str"/>
      <x:c r="Y469" s="43" t="str"/>
      <x:c r="Z469" s="43" t="str">
        <x:v>https://www.get-information-schools.service.gov.uk/Downloads</x:v>
      </x:c>
    </x:row>
    <x:row r="470">
      <x:c r="A470" s="43" t="str">
        <x:v>UK independent</x:v>
      </x:c>
      <x:c r="B470" s="43" t="str">
        <x:v>110536</x:v>
      </x:c>
      <x:c r="C470" s="43" t="n">
        <x:f>IF(K470="Boarding school",30,0)+IF(J470&gt;=18,20,0)+IF(I470&lt;=11,10,0)+IF(L470="Has a sixth form",15,0)+IF(M470&gt;=200,10,0)+IF(N470&lt;&gt;"",10,0)</x:f>
        <x:v>65</x:v>
      </x:c>
      <x:c r="D470" s="43" t="str">
        <x:f>IF(C470&gt;=85,"A",IF(C470&gt;=65,"B","C"))</x:f>
        <x:v>B</x:v>
      </x:c>
      <x:c r="E470" s="43" t="str">
        <x:v>Akeley Wood Senior School</x:v>
      </x:c>
      <x:c r="F470" s="43" t="str"/>
      <x:c r="G470" s="43" t="str"/>
      <x:c r="H470" s="43" t="str">
        <x:v>MK18 5AE</x:v>
      </x:c>
      <x:c r="I470" s="43" t="n">
        <x:v>11</x:v>
      </x:c>
      <x:c r="J470" s="43" t="n">
        <x:v>18</x:v>
      </x:c>
      <x:c r="K470" s="43" t="str">
        <x:v>No boarders</x:v>
      </x:c>
      <x:c r="L470" s="43" t="str">
        <x:v>Has a sixth form</x:v>
      </x:c>
      <x:c r="M470" s="43" t="n">
        <x:v>380</x:v>
      </x:c>
      <x:c r="N470" s="43" t="str">
        <x:v>https://www.akeleywoodschool.co.uk</x:v>
      </x:c>
      <x:c r="O470" s="43" t="str">
        <x:v>01280814110</x:v>
      </x:c>
      <x:c r="P470" s="43" t="str"/>
      <x:c r="Q470" s="43" t="str"/>
      <x:c r="R470" s="43" t="str">
        <x:v>Queued for contact research</x:v>
      </x:c>
      <x:c r="S470" s="43" t="str">
        <x:v>Not reviewed</x:v>
      </x:c>
      <x:c r="T470" s="43" t="str">
        <x:v>Hold</x:v>
      </x:c>
      <x:c r="U470" s="43" t="str">
        <x:v>No</x:v>
      </x:c>
      <x:c r="V470" s="44"/>
      <x:c r="W470" s="43" t="str"/>
      <x:c r="X470" s="43" t="str"/>
      <x:c r="Y470" s="43" t="str"/>
      <x:c r="Z470" s="43" t="str">
        <x:v>https://www.get-information-schools.service.gov.uk/Downloads</x:v>
      </x:c>
    </x:row>
    <x:row r="471">
      <x:c r="A471" s="43" t="str">
        <x:v>UK independent</x:v>
      </x:c>
      <x:c r="B471" s="43" t="str">
        <x:v>124489</x:v>
      </x:c>
      <x:c r="C471" s="43" t="n">
        <x:f>IF(K471="Boarding school",30,0)+IF(J471&gt;=18,20,0)+IF(I471&lt;=11,10,0)+IF(L471="Has a sixth form",15,0)+IF(M471&gt;=200,10,0)+IF(N471&lt;&gt;"",10,0)</x:f>
        <x:v>65</x:v>
      </x:c>
      <x:c r="D471" s="43" t="str">
        <x:f>IF(C471&gt;=85,"A",IF(C471&gt;=65,"B","C"))</x:f>
        <x:v>B</x:v>
      </x:c>
      <x:c r="E471" s="43" t="str">
        <x:v>Stafford Grammar School</x:v>
      </x:c>
      <x:c r="F471" s="43" t="str"/>
      <x:c r="G471" s="43" t="str"/>
      <x:c r="H471" s="43" t="str">
        <x:v>ST18 9AT</x:v>
      </x:c>
      <x:c r="I471" s="43" t="n">
        <x:v>3</x:v>
      </x:c>
      <x:c r="J471" s="43" t="n">
        <x:v>19</x:v>
      </x:c>
      <x:c r="K471" s="43" t="str">
        <x:v>No boarders</x:v>
      </x:c>
      <x:c r="L471" s="43" t="str">
        <x:v>Has a sixth form</x:v>
      </x:c>
      <x:c r="M471" s="43" t="n">
        <x:v>375</x:v>
      </x:c>
      <x:c r="N471" s="43" t="str">
        <x:v>https://www.staffordgrammar.co.uk</x:v>
      </x:c>
      <x:c r="O471" s="43" t="str">
        <x:v>01785249752</x:v>
      </x:c>
      <x:c r="P471" s="43" t="str"/>
      <x:c r="Q471" s="43" t="str"/>
      <x:c r="R471" s="43" t="str">
        <x:v>Queued for contact research</x:v>
      </x:c>
      <x:c r="S471" s="43" t="str">
        <x:v>Not reviewed</x:v>
      </x:c>
      <x:c r="T471" s="43" t="str">
        <x:v>Hold</x:v>
      </x:c>
      <x:c r="U471" s="43" t="str">
        <x:v>No</x:v>
      </x:c>
      <x:c r="V471" s="44"/>
      <x:c r="W471" s="43" t="str"/>
      <x:c r="X471" s="43" t="str"/>
      <x:c r="Y471" s="43" t="str"/>
      <x:c r="Z471" s="43" t="str">
        <x:v>https://www.get-information-schools.service.gov.uk/Downloads</x:v>
      </x:c>
    </x:row>
    <x:row r="472">
      <x:c r="A472" s="43" t="str">
        <x:v>UK independent</x:v>
      </x:c>
      <x:c r="B472" s="43" t="str">
        <x:v>125375</x:v>
      </x:c>
      <x:c r="C472" s="43" t="n">
        <x:f>IF(K472="Boarding school",30,0)+IF(J472&gt;=18,20,0)+IF(I472&lt;=11,10,0)+IF(L472="Has a sixth form",15,0)+IF(M472&gt;=200,10,0)+IF(N472&lt;&gt;"",10,0)</x:f>
        <x:v>65</x:v>
      </x:c>
      <x:c r="D472" s="43" t="str">
        <x:f>IF(C472&gt;=85,"A",IF(C472&gt;=65,"B","C"))</x:f>
        <x:v>B</x:v>
      </x:c>
      <x:c r="E472" s="43" t="str">
        <x:v>Notre Dame School</x:v>
      </x:c>
      <x:c r="F472" s="43" t="str"/>
      <x:c r="G472" s="43" t="str"/>
      <x:c r="H472" s="43" t="str">
        <x:v>KT11 1HA</x:v>
      </x:c>
      <x:c r="I472" s="43" t="n">
        <x:v>11</x:v>
      </x:c>
      <x:c r="J472" s="43" t="n">
        <x:v>19</x:v>
      </x:c>
      <x:c r="K472" s="43" t="str">
        <x:v>No boarders</x:v>
      </x:c>
      <x:c r="L472" s="43" t="str">
        <x:v>Has a sixth form</x:v>
      </x:c>
      <x:c r="M472" s="43" t="n">
        <x:v>371</x:v>
      </x:c>
      <x:c r="N472" s="43" t="str">
        <x:v>https://www.notredame.co.uk</x:v>
      </x:c>
      <x:c r="O472" s="43" t="str">
        <x:v>01932869990</x:v>
      </x:c>
      <x:c r="P472" s="43" t="str"/>
      <x:c r="Q472" s="43" t="str"/>
      <x:c r="R472" s="43" t="str">
        <x:v>Queued for contact research</x:v>
      </x:c>
      <x:c r="S472" s="43" t="str">
        <x:v>Not reviewed</x:v>
      </x:c>
      <x:c r="T472" s="43" t="str">
        <x:v>Hold</x:v>
      </x:c>
      <x:c r="U472" s="43" t="str">
        <x:v>No</x:v>
      </x:c>
      <x:c r="V472" s="44"/>
      <x:c r="W472" s="43" t="str"/>
      <x:c r="X472" s="43" t="str"/>
      <x:c r="Y472" s="43" t="str"/>
      <x:c r="Z472" s="43" t="str">
        <x:v>https://www.get-information-schools.service.gov.uk/Downloads</x:v>
      </x:c>
    </x:row>
    <x:row r="473">
      <x:c r="A473" s="43" t="str">
        <x:v>UK independent</x:v>
      </x:c>
      <x:c r="B473" s="43" t="str">
        <x:v>100511</x:v>
      </x:c>
      <x:c r="C473" s="43" t="n">
        <x:f>IF(K473="Boarding school",30,0)+IF(J473&gt;=18,20,0)+IF(I473&lt;=11,10,0)+IF(L473="Has a sixth form",15,0)+IF(M473&gt;=200,10,0)+IF(N473&lt;&gt;"",10,0)</x:f>
        <x:v>65</x:v>
      </x:c>
      <x:c r="D473" s="43" t="str">
        <x:f>IF(C473&gt;=85,"A",IF(C473&gt;=65,"B","C"))</x:f>
        <x:v>B</x:v>
      </x:c>
      <x:c r="E473" s="43" t="str">
        <x:v>Queen's Gate School</x:v>
      </x:c>
      <x:c r="F473" s="43" t="str">
        <x:v>London</x:v>
      </x:c>
      <x:c r="G473" s="43" t="str"/>
      <x:c r="H473" s="43" t="str">
        <x:v>SW7 5LE</x:v>
      </x:c>
      <x:c r="I473" s="43" t="n">
        <x:v>4</x:v>
      </x:c>
      <x:c r="J473" s="43" t="n">
        <x:v>19</x:v>
      </x:c>
      <x:c r="K473" s="43" t="str">
        <x:v>No boarders</x:v>
      </x:c>
      <x:c r="L473" s="43" t="str">
        <x:v>Has a sixth form</x:v>
      </x:c>
      <x:c r="M473" s="43" t="n">
        <x:v>371</x:v>
      </x:c>
      <x:c r="N473" s="43" t="str">
        <x:v>https://www.queensgate.org.uk/</x:v>
      </x:c>
      <x:c r="O473" s="43" t="str">
        <x:v>02075893587</x:v>
      </x:c>
      <x:c r="P473" s="43" t="str"/>
      <x:c r="Q473" s="43" t="str"/>
      <x:c r="R473" s="43" t="str">
        <x:v>Queued for contact research</x:v>
      </x:c>
      <x:c r="S473" s="43" t="str">
        <x:v>Not reviewed</x:v>
      </x:c>
      <x:c r="T473" s="43" t="str">
        <x:v>Hold</x:v>
      </x:c>
      <x:c r="U473" s="43" t="str">
        <x:v>No</x:v>
      </x:c>
      <x:c r="V473" s="44"/>
      <x:c r="W473" s="43" t="str"/>
      <x:c r="X473" s="43" t="str"/>
      <x:c r="Y473" s="43" t="str"/>
      <x:c r="Z473" s="43" t="str">
        <x:v>https://www.get-information-schools.service.gov.uk/Downloads</x:v>
      </x:c>
    </x:row>
    <x:row r="474">
      <x:c r="A474" s="43" t="str">
        <x:v>UK independent</x:v>
      </x:c>
      <x:c r="B474" s="43" t="str">
        <x:v>115396</x:v>
      </x:c>
      <x:c r="C474" s="43" t="n">
        <x:f>IF(K474="Boarding school",30,0)+IF(J474&gt;=18,20,0)+IF(I474&lt;=11,10,0)+IF(L474="Has a sixth form",15,0)+IF(M474&gt;=200,10,0)+IF(N474&lt;&gt;"",10,0)</x:f>
        <x:v>65</x:v>
      </x:c>
      <x:c r="D474" s="43" t="str">
        <x:f>IF(C474&gt;=85,"A",IF(C474&gt;=65,"B","C"))</x:f>
        <x:v>B</x:v>
      </x:c>
      <x:c r="E474" s="43" t="str">
        <x:v>Gosfield School</x:v>
      </x:c>
      <x:c r="F474" s="43" t="str"/>
      <x:c r="G474" s="43" t="str"/>
      <x:c r="H474" s="43" t="str">
        <x:v>CO9 1PF</x:v>
      </x:c>
      <x:c r="I474" s="43" t="n">
        <x:v>2</x:v>
      </x:c>
      <x:c r="J474" s="43" t="n">
        <x:v>18</x:v>
      </x:c>
      <x:c r="K474" s="43" t="str">
        <x:v>No boarders</x:v>
      </x:c>
      <x:c r="L474" s="43" t="str">
        <x:v>Has a sixth form</x:v>
      </x:c>
      <x:c r="M474" s="43" t="n">
        <x:v>369</x:v>
      </x:c>
      <x:c r="N474" s="43" t="str">
        <x:v>https://www.gosfieldschool.org.uk</x:v>
      </x:c>
      <x:c r="O474" s="43" t="str">
        <x:v>01787474040</x:v>
      </x:c>
      <x:c r="P474" s="43" t="str"/>
      <x:c r="Q474" s="43" t="str"/>
      <x:c r="R474" s="43" t="str">
        <x:v>Queued for contact research</x:v>
      </x:c>
      <x:c r="S474" s="43" t="str">
        <x:v>Not reviewed</x:v>
      </x:c>
      <x:c r="T474" s="43" t="str">
        <x:v>Hold</x:v>
      </x:c>
      <x:c r="U474" s="43" t="str">
        <x:v>No</x:v>
      </x:c>
      <x:c r="V474" s="44"/>
      <x:c r="W474" s="43" t="str"/>
      <x:c r="X474" s="43" t="str"/>
      <x:c r="Y474" s="43" t="str"/>
      <x:c r="Z474" s="43" t="str">
        <x:v>https://www.get-information-schools.service.gov.uk/Downloads</x:v>
      </x:c>
    </x:row>
    <x:row r="475">
      <x:c r="A475" s="43" t="str">
        <x:v>UK independent</x:v>
      </x:c>
      <x:c r="B475" s="43" t="str">
        <x:v>103564</x:v>
      </x:c>
      <x:c r="C475" s="43" t="n">
        <x:f>IF(K475="Boarding school",30,0)+IF(J475&gt;=18,20,0)+IF(I475&lt;=11,10,0)+IF(L475="Has a sixth form",15,0)+IF(M475&gt;=200,10,0)+IF(N475&lt;&gt;"",10,0)</x:f>
        <x:v>65</x:v>
      </x:c>
      <x:c r="D475" s="43" t="str">
        <x:f>IF(C475&gt;=85,"A",IF(C475&gt;=65,"B","C"))</x:f>
        <x:v>B</x:v>
      </x:c>
      <x:c r="E475" s="43" t="str">
        <x:v>St George's School Edgbaston</x:v>
      </x:c>
      <x:c r="F475" s="43" t="str">
        <x:v>West Midlands</x:v>
      </x:c>
      <x:c r="G475" s="43" t="str"/>
      <x:c r="H475" s="43" t="str">
        <x:v>B15 1RX</x:v>
      </x:c>
      <x:c r="I475" s="43" t="n">
        <x:v>2</x:v>
      </x:c>
      <x:c r="J475" s="43" t="n">
        <x:v>19</x:v>
      </x:c>
      <x:c r="K475" s="43" t="str">
        <x:v>No boarders</x:v>
      </x:c>
      <x:c r="L475" s="43" t="str">
        <x:v>Has a sixth form</x:v>
      </x:c>
      <x:c r="M475" s="43" t="n">
        <x:v>360</x:v>
      </x:c>
      <x:c r="N475" s="43" t="str">
        <x:v>https://www.sgse.co.uk/</x:v>
      </x:c>
      <x:c r="O475" s="43" t="str">
        <x:v>01216250398</x:v>
      </x:c>
      <x:c r="P475" s="43" t="str"/>
      <x:c r="Q475" s="43" t="str"/>
      <x:c r="R475" s="43" t="str">
        <x:v>Queued for contact research</x:v>
      </x:c>
      <x:c r="S475" s="43" t="str">
        <x:v>Not reviewed</x:v>
      </x:c>
      <x:c r="T475" s="43" t="str">
        <x:v>Hold</x:v>
      </x:c>
      <x:c r="U475" s="43" t="str">
        <x:v>No</x:v>
      </x:c>
      <x:c r="V475" s="44"/>
      <x:c r="W475" s="43" t="str"/>
      <x:c r="X475" s="43" t="str"/>
      <x:c r="Y475" s="43" t="str"/>
      <x:c r="Z475" s="43" t="str">
        <x:v>https://www.get-information-schools.service.gov.uk/Downloads</x:v>
      </x:c>
    </x:row>
    <x:row r="476">
      <x:c r="A476" s="43" t="str">
        <x:v>UK independent</x:v>
      </x:c>
      <x:c r="B476" s="43" t="str">
        <x:v>137822</x:v>
      </x:c>
      <x:c r="C476" s="43" t="n">
        <x:f>IF(K476="Boarding school",30,0)+IF(J476&gt;=18,20,0)+IF(I476&lt;=11,10,0)+IF(L476="Has a sixth form",15,0)+IF(M476&gt;=200,10,0)+IF(N476&lt;&gt;"",10,0)</x:f>
        <x:v>65</x:v>
      </x:c>
      <x:c r="D476" s="43" t="str">
        <x:f>IF(C476&gt;=85,"A",IF(C476&gt;=65,"B","C"))</x:f>
        <x:v>B</x:v>
      </x:c>
      <x:c r="E476" s="43" t="str">
        <x:v>Westwood High</x:v>
      </x:c>
      <x:c r="F476" s="43" t="str">
        <x:v>Oldham</x:v>
      </x:c>
      <x:c r="G476" s="43" t="str">
        <x:v>Greater Manchester</x:v>
      </x:c>
      <x:c r="H476" s="43" t="str">
        <x:v>OL9 6HR</x:v>
      </x:c>
      <x:c r="I476" s="43" t="n">
        <x:v>2</x:v>
      </x:c>
      <x:c r="J476" s="43" t="n">
        <x:v>19</x:v>
      </x:c>
      <x:c r="K476" s="43" t="str">
        <x:v>No boarders</x:v>
      </x:c>
      <x:c r="L476" s="43" t="str">
        <x:v>Has a sixth form</x:v>
      </x:c>
      <x:c r="M476" s="43" t="n">
        <x:v>349</x:v>
      </x:c>
      <x:c r="N476" s="43" t="str">
        <x:v>https://westwoodhigh.org</x:v>
      </x:c>
      <x:c r="O476" s="43" t="str">
        <x:v>01614590024</x:v>
      </x:c>
      <x:c r="P476" s="43" t="str"/>
      <x:c r="Q476" s="43" t="str"/>
      <x:c r="R476" s="43" t="str">
        <x:v>Queued for contact research</x:v>
      </x:c>
      <x:c r="S476" s="43" t="str">
        <x:v>Not reviewed</x:v>
      </x:c>
      <x:c r="T476" s="43" t="str">
        <x:v>Hold</x:v>
      </x:c>
      <x:c r="U476" s="43" t="str">
        <x:v>No</x:v>
      </x:c>
      <x:c r="V476" s="44"/>
      <x:c r="W476" s="43" t="str"/>
      <x:c r="X476" s="43" t="str"/>
      <x:c r="Y476" s="43" t="str"/>
      <x:c r="Z476" s="43" t="str">
        <x:v>https://www.get-information-schools.service.gov.uk/Downloads</x:v>
      </x:c>
    </x:row>
    <x:row r="477">
      <x:c r="A477" s="43" t="str">
        <x:v>UK independent</x:v>
      </x:c>
      <x:c r="B477" s="43" t="str">
        <x:v>133443</x:v>
      </x:c>
      <x:c r="C477" s="43" t="n">
        <x:f>IF(K477="Boarding school",30,0)+IF(J477&gt;=18,20,0)+IF(I477&lt;=11,10,0)+IF(L477="Has a sixth form",15,0)+IF(M477&gt;=200,10,0)+IF(N477&lt;&gt;"",10,0)</x:f>
        <x:v>65</x:v>
      </x:c>
      <x:c r="D477" s="43" t="str">
        <x:f>IF(C477&gt;=85,"A",IF(C477&gt;=65,"B","C"))</x:f>
        <x:v>B</x:v>
      </x:c>
      <x:c r="E477" s="43" t="str">
        <x:v>Hampton Court House</x:v>
      </x:c>
      <x:c r="F477" s="43" t="str">
        <x:v>East Molesey</x:v>
      </x:c>
      <x:c r="G477" s="43" t="str">
        <x:v>Surrey</x:v>
      </x:c>
      <x:c r="H477" s="43" t="str">
        <x:v>KT8 9BS</x:v>
      </x:c>
      <x:c r="I477" s="43" t="n">
        <x:v>2</x:v>
      </x:c>
      <x:c r="J477" s="43" t="n">
        <x:v>18</x:v>
      </x:c>
      <x:c r="K477" s="43" t="str">
        <x:v>No boarders</x:v>
      </x:c>
      <x:c r="L477" s="43" t="str">
        <x:v>Has a sixth form</x:v>
      </x:c>
      <x:c r="M477" s="43" t="n">
        <x:v>346</x:v>
      </x:c>
      <x:c r="N477" s="43" t="str">
        <x:v>http://www.hamptoncourthouse.co.uk/</x:v>
      </x:c>
      <x:c r="O477" s="43" t="str">
        <x:v>02086140865</x:v>
      </x:c>
      <x:c r="P477" s="43" t="str"/>
      <x:c r="Q477" s="43" t="str"/>
      <x:c r="R477" s="43" t="str">
        <x:v>Queued for contact research</x:v>
      </x:c>
      <x:c r="S477" s="43" t="str">
        <x:v>Not reviewed</x:v>
      </x:c>
      <x:c r="T477" s="43" t="str">
        <x:v>Hold</x:v>
      </x:c>
      <x:c r="U477" s="43" t="str">
        <x:v>No</x:v>
      </x:c>
      <x:c r="V477" s="44"/>
      <x:c r="W477" s="43" t="str"/>
      <x:c r="X477" s="43" t="str"/>
      <x:c r="Y477" s="43" t="str"/>
      <x:c r="Z477" s="43" t="str">
        <x:v>https://www.get-information-schools.service.gov.uk/Downloads</x:v>
      </x:c>
    </x:row>
    <x:row r="478">
      <x:c r="A478" s="43" t="str">
        <x:v>UK independent</x:v>
      </x:c>
      <x:c r="B478" s="43" t="str">
        <x:v>117657</x:v>
      </x:c>
      <x:c r="C478" s="43" t="n">
        <x:f>IF(K478="Boarding school",30,0)+IF(J478&gt;=18,20,0)+IF(I478&lt;=11,10,0)+IF(L478="Has a sixth form",15,0)+IF(M478&gt;=200,10,0)+IF(N478&lt;&gt;"",10,0)</x:f>
        <x:v>65</x:v>
      </x:c>
      <x:c r="D478" s="43" t="str">
        <x:f>IF(C478&gt;=85,"A",IF(C478&gt;=65,"B","C"))</x:f>
        <x:v>B</x:v>
      </x:c>
      <x:c r="E478" s="43" t="str">
        <x:v>Immanuel College</x:v>
      </x:c>
      <x:c r="F478" s="43" t="str">
        <x:v>Bushey</x:v>
      </x:c>
      <x:c r="G478" s="43" t="str">
        <x:v>Hertfordshire</x:v>
      </x:c>
      <x:c r="H478" s="43" t="str">
        <x:v>WD23 4EB</x:v>
      </x:c>
      <x:c r="I478" s="43" t="n">
        <x:v>11</x:v>
      </x:c>
      <x:c r="J478" s="43" t="n">
        <x:v>18</x:v>
      </x:c>
      <x:c r="K478" s="43" t="str">
        <x:v>No boarders</x:v>
      </x:c>
      <x:c r="L478" s="43" t="str">
        <x:v>Has a sixth form</x:v>
      </x:c>
      <x:c r="M478" s="43" t="n">
        <x:v>341</x:v>
      </x:c>
      <x:c r="N478" s="43" t="str">
        <x:v>https://www.immanuelcollege.co.uk</x:v>
      </x:c>
      <x:c r="O478" s="43" t="str">
        <x:v>02089500604</x:v>
      </x:c>
      <x:c r="P478" s="43" t="str"/>
      <x:c r="Q478" s="43" t="str"/>
      <x:c r="R478" s="43" t="str">
        <x:v>Queued for contact research</x:v>
      </x:c>
      <x:c r="S478" s="43" t="str">
        <x:v>Not reviewed</x:v>
      </x:c>
      <x:c r="T478" s="43" t="str">
        <x:v>Hold</x:v>
      </x:c>
      <x:c r="U478" s="43" t="str">
        <x:v>No</x:v>
      </x:c>
      <x:c r="V478" s="44"/>
      <x:c r="W478" s="43" t="str"/>
      <x:c r="X478" s="43" t="str"/>
      <x:c r="Y478" s="43" t="str"/>
      <x:c r="Z478" s="43" t="str">
        <x:v>https://www.get-information-schools.service.gov.uk/Downloads</x:v>
      </x:c>
    </x:row>
    <x:row r="479">
      <x:c r="A479" s="43" t="str">
        <x:v>UK independent</x:v>
      </x:c>
      <x:c r="B479" s="43" t="str">
        <x:v>103566</x:v>
      </x:c>
      <x:c r="C479" s="43" t="n">
        <x:f>IF(K479="Boarding school",30,0)+IF(J479&gt;=18,20,0)+IF(I479&lt;=11,10,0)+IF(L479="Has a sixth form",15,0)+IF(M479&gt;=200,10,0)+IF(N479&lt;&gt;"",10,0)</x:f>
        <x:v>65</x:v>
      </x:c>
      <x:c r="D479" s="43" t="str">
        <x:f>IF(C479&gt;=85,"A",IF(C479&gt;=65,"B","C"))</x:f>
        <x:v>B</x:v>
      </x:c>
      <x:c r="E479" s="43" t="str">
        <x:v>Priory School</x:v>
      </x:c>
      <x:c r="F479" s="43" t="str"/>
      <x:c r="G479" s="43" t="str"/>
      <x:c r="H479" s="43" t="str">
        <x:v>B15 2UR</x:v>
      </x:c>
      <x:c r="I479" s="43" t="n">
        <x:v>0</x:v>
      </x:c>
      <x:c r="J479" s="43" t="n">
        <x:v>18</x:v>
      </x:c>
      <x:c r="K479" s="43" t="str">
        <x:v>No boarders</x:v>
      </x:c>
      <x:c r="L479" s="43" t="str">
        <x:v>Has a sixth form</x:v>
      </x:c>
      <x:c r="M479" s="43" t="n">
        <x:v>330</x:v>
      </x:c>
      <x:c r="N479" s="43" t="str">
        <x:v>http://www.prioryschool.net/</x:v>
      </x:c>
      <x:c r="O479" s="43" t="str">
        <x:v>01214404103</x:v>
      </x:c>
      <x:c r="P479" s="43" t="str"/>
      <x:c r="Q479" s="43" t="str"/>
      <x:c r="R479" s="43" t="str">
        <x:v>Queued for contact research</x:v>
      </x:c>
      <x:c r="S479" s="43" t="str">
        <x:v>Not reviewed</x:v>
      </x:c>
      <x:c r="T479" s="43" t="str">
        <x:v>Hold</x:v>
      </x:c>
      <x:c r="U479" s="43" t="str">
        <x:v>No</x:v>
      </x:c>
      <x:c r="V479" s="44"/>
      <x:c r="W479" s="43" t="str"/>
      <x:c r="X479" s="43" t="str"/>
      <x:c r="Y479" s="43" t="str"/>
      <x:c r="Z479" s="43" t="str">
        <x:v>https://www.get-information-schools.service.gov.uk/Downloads</x:v>
      </x:c>
    </x:row>
    <x:row r="480">
      <x:c r="A480" s="43" t="str">
        <x:v>UK independent</x:v>
      </x:c>
      <x:c r="B480" s="43" t="str">
        <x:v>101946</x:v>
      </x:c>
      <x:c r="C480" s="43" t="n">
        <x:f>IF(K480="Boarding school",30,0)+IF(J480&gt;=18,20,0)+IF(I480&lt;=11,10,0)+IF(L480="Has a sixth form",15,0)+IF(M480&gt;=200,10,0)+IF(N480&lt;&gt;"",10,0)</x:f>
        <x:v>65</x:v>
      </x:c>
      <x:c r="D480" s="43" t="str">
        <x:f>IF(C480&gt;=85,"A",IF(C480&gt;=65,"B","C"))</x:f>
        <x:v>B</x:v>
      </x:c>
      <x:c r="E480" s="43" t="str">
        <x:v>St Augustine's Priory</x:v>
      </x:c>
      <x:c r="F480" s="43" t="str">
        <x:v>London</x:v>
      </x:c>
      <x:c r="G480" s="43" t="str"/>
      <x:c r="H480" s="43" t="str">
        <x:v>W5 2JL</x:v>
      </x:c>
      <x:c r="I480" s="43" t="n">
        <x:v>2</x:v>
      </x:c>
      <x:c r="J480" s="43" t="n">
        <x:v>18</x:v>
      </x:c>
      <x:c r="K480" s="43" t="str">
        <x:v>No boarders</x:v>
      </x:c>
      <x:c r="L480" s="43" t="str">
        <x:v>Has a sixth form</x:v>
      </x:c>
      <x:c r="M480" s="43" t="n">
        <x:v>330</x:v>
      </x:c>
      <x:c r="N480" s="43" t="str">
        <x:v>https://www.sapriory.com</x:v>
      </x:c>
      <x:c r="O480" s="43" t="str">
        <x:v>02089972022</x:v>
      </x:c>
      <x:c r="P480" s="43" t="str"/>
      <x:c r="Q480" s="43" t="str"/>
      <x:c r="R480" s="43" t="str">
        <x:v>Queued for contact research</x:v>
      </x:c>
      <x:c r="S480" s="43" t="str">
        <x:v>Not reviewed</x:v>
      </x:c>
      <x:c r="T480" s="43" t="str">
        <x:v>Hold</x:v>
      </x:c>
      <x:c r="U480" s="43" t="str">
        <x:v>No</x:v>
      </x:c>
      <x:c r="V480" s="44"/>
      <x:c r="W480" s="43" t="str"/>
      <x:c r="X480" s="43" t="str"/>
      <x:c r="Y480" s="43" t="str"/>
      <x:c r="Z480" s="43" t="str">
        <x:v>https://www.get-information-schools.service.gov.uk/Downloads</x:v>
      </x:c>
    </x:row>
    <x:row r="481">
      <x:c r="A481" s="43" t="str">
        <x:v>UK independent</x:v>
      </x:c>
      <x:c r="B481" s="43" t="str">
        <x:v>124471</x:v>
      </x:c>
      <x:c r="C481" s="43" t="n">
        <x:f>IF(K481="Boarding school",30,0)+IF(J481&gt;=18,20,0)+IF(I481&lt;=11,10,0)+IF(L481="Has a sixth form",15,0)+IF(M481&gt;=200,10,0)+IF(N481&lt;&gt;"",10,0)</x:f>
        <x:v>65</x:v>
      </x:c>
      <x:c r="D481" s="43" t="str">
        <x:f>IF(C481&gt;=85,"A",IF(C481&gt;=65,"B","C"))</x:f>
        <x:v>B</x:v>
      </x:c>
      <x:c r="E481" s="43" t="str">
        <x:v>St. Dominic's Grammar School</x:v>
      </x:c>
      <x:c r="F481" s="43" t="str">
        <x:v>Stafford</x:v>
      </x:c>
      <x:c r="G481" s="43" t="str">
        <x:v>Staffordshire</x:v>
      </x:c>
      <x:c r="H481" s="43" t="str">
        <x:v>ST19 9BA</x:v>
      </x:c>
      <x:c r="I481" s="43" t="n">
        <x:v>4</x:v>
      </x:c>
      <x:c r="J481" s="43" t="n">
        <x:v>18</x:v>
      </x:c>
      <x:c r="K481" s="43" t="str">
        <x:v>No boarders</x:v>
      </x:c>
      <x:c r="L481" s="43" t="str">
        <x:v>Has a sixth form</x:v>
      </x:c>
      <x:c r="M481" s="43" t="n">
        <x:v>329</x:v>
      </x:c>
      <x:c r="N481" s="43" t="str">
        <x:v>https://www.stdominicsgrammarschool.co.uk</x:v>
      </x:c>
      <x:c r="O481" s="43" t="str">
        <x:v>01902850248</x:v>
      </x:c>
      <x:c r="P481" s="43" t="str"/>
      <x:c r="Q481" s="43" t="str"/>
      <x:c r="R481" s="43" t="str">
        <x:v>Queued for contact research</x:v>
      </x:c>
      <x:c r="S481" s="43" t="str">
        <x:v>Not reviewed</x:v>
      </x:c>
      <x:c r="T481" s="43" t="str">
        <x:v>Hold</x:v>
      </x:c>
      <x:c r="U481" s="43" t="str">
        <x:v>No</x:v>
      </x:c>
      <x:c r="V481" s="44"/>
      <x:c r="W481" s="43" t="str"/>
      <x:c r="X481" s="43" t="str"/>
      <x:c r="Y481" s="43" t="str"/>
      <x:c r="Z481" s="43" t="str">
        <x:v>https://www.get-information-schools.service.gov.uk/Downloads</x:v>
      </x:c>
    </x:row>
    <x:row r="482">
      <x:c r="A482" s="43" t="str">
        <x:v>UK independent</x:v>
      </x:c>
      <x:c r="B482" s="43" t="str">
        <x:v>123620</x:v>
      </x:c>
      <x:c r="C482" s="43" t="n">
        <x:f>IF(K482="Boarding school",30,0)+IF(J482&gt;=18,20,0)+IF(I482&lt;=11,10,0)+IF(L482="Has a sixth form",15,0)+IF(M482&gt;=200,10,0)+IF(N482&lt;&gt;"",10,0)</x:f>
        <x:v>65</x:v>
      </x:c>
      <x:c r="D482" s="43" t="str">
        <x:f>IF(C482&gt;=85,"A",IF(C482&gt;=65,"B","C"))</x:f>
        <x:v>B</x:v>
      </x:c>
      <x:c r="E482" s="43" t="str">
        <x:v>Shrewsbury High School</x:v>
      </x:c>
      <x:c r="F482" s="43" t="str"/>
      <x:c r="G482" s="43" t="str"/>
      <x:c r="H482" s="43" t="str">
        <x:v>SY1 1TN</x:v>
      </x:c>
      <x:c r="I482" s="43" t="n">
        <x:v>4</x:v>
      </x:c>
      <x:c r="J482" s="43" t="n">
        <x:v>20</x:v>
      </x:c>
      <x:c r="K482" s="43" t="str">
        <x:v>No boarders</x:v>
      </x:c>
      <x:c r="L482" s="43" t="str">
        <x:v>Has a sixth form</x:v>
      </x:c>
      <x:c r="M482" s="43" t="n">
        <x:v>309</x:v>
      </x:c>
      <x:c r="N482" s="43" t="str">
        <x:v>http://www.shrewsburyhigh.co.uk</x:v>
      </x:c>
      <x:c r="O482" s="43" t="str">
        <x:v>01743494000</x:v>
      </x:c>
      <x:c r="P482" s="43" t="str"/>
      <x:c r="Q482" s="43" t="str"/>
      <x:c r="R482" s="43" t="str">
        <x:v>Queued for contact research</x:v>
      </x:c>
      <x:c r="S482" s="43" t="str">
        <x:v>Not reviewed</x:v>
      </x:c>
      <x:c r="T482" s="43" t="str">
        <x:v>Hold</x:v>
      </x:c>
      <x:c r="U482" s="43" t="str">
        <x:v>No</x:v>
      </x:c>
      <x:c r="V482" s="44"/>
      <x:c r="W482" s="43" t="str"/>
      <x:c r="X482" s="43" t="str"/>
      <x:c r="Y482" s="43" t="str"/>
      <x:c r="Z482" s="43" t="str">
        <x:v>https://www.get-information-schools.service.gov.uk/Downloads</x:v>
      </x:c>
    </x:row>
    <x:row r="483">
      <x:c r="A483" s="43" t="str">
        <x:v>UK independent</x:v>
      </x:c>
      <x:c r="B483" s="43" t="str">
        <x:v>102550</x:v>
      </x:c>
      <x:c r="C483" s="43" t="n">
        <x:f>IF(K483="Boarding school",30,0)+IF(J483&gt;=18,20,0)+IF(I483&lt;=11,10,0)+IF(L483="Has a sixth form",15,0)+IF(M483&gt;=200,10,0)+IF(N483&lt;&gt;"",10,0)</x:f>
        <x:v>65</x:v>
      </x:c>
      <x:c r="D483" s="43" t="str">
        <x:f>IF(C483&gt;=85,"A",IF(C483&gt;=65,"B","C"))</x:f>
        <x:v>B</x:v>
      </x:c>
      <x:c r="E483" s="43" t="str">
        <x:v>International School of London</x:v>
      </x:c>
      <x:c r="F483" s="43" t="str">
        <x:v>London</x:v>
      </x:c>
      <x:c r="G483" s="43" t="str"/>
      <x:c r="H483" s="43" t="str">
        <x:v>W3 8LG</x:v>
      </x:c>
      <x:c r="I483" s="43" t="n">
        <x:v>3</x:v>
      </x:c>
      <x:c r="J483" s="43" t="n">
        <x:v>18</x:v>
      </x:c>
      <x:c r="K483" s="43" t="str">
        <x:v>No boarders</x:v>
      </x:c>
      <x:c r="L483" s="43" t="str">
        <x:v>Has a sixth form</x:v>
      </x:c>
      <x:c r="M483" s="43" t="n">
        <x:v>298</x:v>
      </x:c>
      <x:c r="N483" s="43" t="str">
        <x:v>https://www.isllondon.org/</x:v>
      </x:c>
      <x:c r="O483" s="43" t="str">
        <x:v>02089925823</x:v>
      </x:c>
      <x:c r="P483" s="43" t="str"/>
      <x:c r="Q483" s="43" t="str"/>
      <x:c r="R483" s="43" t="str">
        <x:v>Queued for contact research</x:v>
      </x:c>
      <x:c r="S483" s="43" t="str">
        <x:v>Not reviewed</x:v>
      </x:c>
      <x:c r="T483" s="43" t="str">
        <x:v>Hold</x:v>
      </x:c>
      <x:c r="U483" s="43" t="str">
        <x:v>No</x:v>
      </x:c>
      <x:c r="V483" s="44"/>
      <x:c r="W483" s="43" t="str"/>
      <x:c r="X483" s="43" t="str"/>
      <x:c r="Y483" s="43" t="str"/>
      <x:c r="Z483" s="43" t="str">
        <x:v>https://www.get-information-schools.service.gov.uk/Downloads</x:v>
      </x:c>
    </x:row>
    <x:row r="484">
      <x:c r="A484" s="43" t="str">
        <x:v>UK independent</x:v>
      </x:c>
      <x:c r="B484" s="43" t="str">
        <x:v>108544</x:v>
      </x:c>
      <x:c r="C484" s="43" t="n">
        <x:f>IF(K484="Boarding school",30,0)+IF(J484&gt;=18,20,0)+IF(I484&lt;=11,10,0)+IF(L484="Has a sixth form",15,0)+IF(M484&gt;=200,10,0)+IF(N484&lt;&gt;"",10,0)</x:f>
        <x:v>65</x:v>
      </x:c>
      <x:c r="D484" s="43" t="str">
        <x:f>IF(C484&gt;=85,"A",IF(C484&gt;=65,"B","C"))</x:f>
        <x:v>B</x:v>
      </x:c>
      <x:c r="E484" s="43" t="str">
        <x:v>The Newcastle School</x:v>
      </x:c>
      <x:c r="F484" s="43" t="str">
        <x:v>Newcastle-upon-Tyne</x:v>
      </x:c>
      <x:c r="G484" s="43" t="str">
        <x:v>Tyne and Wear</x:v>
      </x:c>
      <x:c r="H484" s="43" t="str">
        <x:v>NE3 4ES</x:v>
      </x:c>
      <x:c r="I484" s="43" t="n">
        <x:v>2</x:v>
      </x:c>
      <x:c r="J484" s="43" t="n">
        <x:v>18</x:v>
      </x:c>
      <x:c r="K484" s="43" t="str">
        <x:v>No boarders</x:v>
      </x:c>
      <x:c r="L484" s="43" t="str">
        <x:v>Has a sixth form</x:v>
      </x:c>
      <x:c r="M484" s="43" t="n">
        <x:v>298</x:v>
      </x:c>
      <x:c r="N484" s="43" t="str">
        <x:v>https://newcastleschool.co.uk</x:v>
      </x:c>
      <x:c r="O484" s="43" t="str">
        <x:v>01912559300</x:v>
      </x:c>
      <x:c r="P484" s="43" t="str"/>
      <x:c r="Q484" s="43" t="str"/>
      <x:c r="R484" s="43" t="str">
        <x:v>Queued for contact research</x:v>
      </x:c>
      <x:c r="S484" s="43" t="str">
        <x:v>Not reviewed</x:v>
      </x:c>
      <x:c r="T484" s="43" t="str">
        <x:v>Hold</x:v>
      </x:c>
      <x:c r="U484" s="43" t="str">
        <x:v>No</x:v>
      </x:c>
      <x:c r="V484" s="44"/>
      <x:c r="W484" s="43" t="str"/>
      <x:c r="X484" s="43" t="str"/>
      <x:c r="Y484" s="43" t="str"/>
      <x:c r="Z484" s="43" t="str">
        <x:v>https://www.get-information-schools.service.gov.uk/Downloads</x:v>
      </x:c>
    </x:row>
    <x:row r="485">
      <x:c r="A485" s="43" t="str">
        <x:v>UK independent</x:v>
      </x:c>
      <x:c r="B485" s="43" t="str">
        <x:v>125775</x:v>
      </x:c>
      <x:c r="C485" s="43" t="n">
        <x:f>IF(K485="Boarding school",30,0)+IF(J485&gt;=18,20,0)+IF(I485&lt;=11,10,0)+IF(L485="Has a sixth form",15,0)+IF(M485&gt;=200,10,0)+IF(N485&lt;&gt;"",10,0)</x:f>
        <x:v>65</x:v>
      </x:c>
      <x:c r="D485" s="43" t="str">
        <x:f>IF(C485&gt;=85,"A",IF(C485&gt;=65,"B","C"))</x:f>
        <x:v>B</x:v>
      </x:c>
      <x:c r="E485" s="43" t="str">
        <x:v>The Kingsley School</x:v>
      </x:c>
      <x:c r="F485" s="43" t="str">
        <x:v>Leamington Spa</x:v>
      </x:c>
      <x:c r="G485" s="43" t="str">
        <x:v>Warwickshire</x:v>
      </x:c>
      <x:c r="H485" s="43" t="str">
        <x:v>CV32 5RD</x:v>
      </x:c>
      <x:c r="I485" s="43" t="n">
        <x:v>2</x:v>
      </x:c>
      <x:c r="J485" s="43" t="n">
        <x:v>19</x:v>
      </x:c>
      <x:c r="K485" s="43" t="str">
        <x:v>No boarders</x:v>
      </x:c>
      <x:c r="L485" s="43" t="str">
        <x:v>Has a sixth form</x:v>
      </x:c>
      <x:c r="M485" s="43" t="n">
        <x:v>292</x:v>
      </x:c>
      <x:c r="N485" s="43" t="str">
        <x:v>https://www.thekingsleyschool.co.uk</x:v>
      </x:c>
      <x:c r="O485" s="43" t="str">
        <x:v>01926425127</x:v>
      </x:c>
      <x:c r="P485" s="43" t="str"/>
      <x:c r="Q485" s="43" t="str"/>
      <x:c r="R485" s="43" t="str">
        <x:v>Queued for contact research</x:v>
      </x:c>
      <x:c r="S485" s="43" t="str">
        <x:v>Not reviewed</x:v>
      </x:c>
      <x:c r="T485" s="43" t="str">
        <x:v>Hold</x:v>
      </x:c>
      <x:c r="U485" s="43" t="str">
        <x:v>No</x:v>
      </x:c>
      <x:c r="V485" s="44"/>
      <x:c r="W485" s="43" t="str"/>
      <x:c r="X485" s="43" t="str"/>
      <x:c r="Y485" s="43" t="str"/>
      <x:c r="Z485" s="43" t="str">
        <x:v>https://www.get-information-schools.service.gov.uk/Downloads</x:v>
      </x:c>
    </x:row>
    <x:row r="486">
      <x:c r="A486" s="43" t="str">
        <x:v>UK independent</x:v>
      </x:c>
      <x:c r="B486" s="43" t="str">
        <x:v>112453</x:v>
      </x:c>
      <x:c r="C486" s="43" t="n">
        <x:f>IF(K486="Boarding school",30,0)+IF(J486&gt;=18,20,0)+IF(I486&lt;=11,10,0)+IF(L486="Has a sixth form",15,0)+IF(M486&gt;=200,10,0)+IF(N486&lt;&gt;"",10,0)</x:f>
        <x:v>65</x:v>
      </x:c>
      <x:c r="D486" s="43" t="str">
        <x:f>IF(C486&gt;=85,"A",IF(C486&gt;=65,"B","C"))</x:f>
        <x:v>B</x:v>
      </x:c>
      <x:c r="E486" s="43" t="str">
        <x:v>Austin Friars</x:v>
      </x:c>
      <x:c r="F486" s="43" t="str">
        <x:v>Carlisle</x:v>
      </x:c>
      <x:c r="G486" s="43" t="str">
        <x:v>Cumbria</x:v>
      </x:c>
      <x:c r="H486" s="43" t="str">
        <x:v>CA3 9PB</x:v>
      </x:c>
      <x:c r="I486" s="43" t="n">
        <x:v>3</x:v>
      </x:c>
      <x:c r="J486" s="43" t="n">
        <x:v>18</x:v>
      </x:c>
      <x:c r="K486" s="43" t="str">
        <x:v>No boarders</x:v>
      </x:c>
      <x:c r="L486" s="43" t="str">
        <x:v>Has a sixth form</x:v>
      </x:c>
      <x:c r="M486" s="43" t="n">
        <x:v>278</x:v>
      </x:c>
      <x:c r="N486" s="43" t="str">
        <x:v>https://www.austinfriars.co.uk</x:v>
      </x:c>
      <x:c r="O486" s="43" t="str">
        <x:v>01228528042</x:v>
      </x:c>
      <x:c r="P486" s="43" t="str"/>
      <x:c r="Q486" s="43" t="str"/>
      <x:c r="R486" s="43" t="str">
        <x:v>Queued for contact research</x:v>
      </x:c>
      <x:c r="S486" s="43" t="str">
        <x:v>Not reviewed</x:v>
      </x:c>
      <x:c r="T486" s="43" t="str">
        <x:v>Hold</x:v>
      </x:c>
      <x:c r="U486" s="43" t="str">
        <x:v>No</x:v>
      </x:c>
      <x:c r="V486" s="44"/>
      <x:c r="W486" s="43" t="str"/>
      <x:c r="X486" s="43" t="str"/>
      <x:c r="Y486" s="43" t="str"/>
      <x:c r="Z486" s="43" t="str">
        <x:v>https://www.get-information-schools.service.gov.uk/Downloads</x:v>
      </x:c>
    </x:row>
    <x:row r="487">
      <x:c r="A487" s="43" t="str">
        <x:v>UK independent</x:v>
      </x:c>
      <x:c r="B487" s="43" t="str">
        <x:v>110555</x:v>
      </x:c>
      <x:c r="C487" s="43" t="n">
        <x:f>IF(K487="Boarding school",30,0)+IF(J487&gt;=18,20,0)+IF(I487&lt;=11,10,0)+IF(L487="Has a sixth form",15,0)+IF(M487&gt;=200,10,0)+IF(N487&lt;&gt;"",10,0)</x:f>
        <x:v>65</x:v>
      </x:c>
      <x:c r="D487" s="43" t="str">
        <x:f>IF(C487&gt;=85,"A",IF(C487&gt;=65,"B","C"))</x:f>
        <x:v>B</x:v>
      </x:c>
      <x:c r="E487" s="43" t="str">
        <x:v>Thorpe House School</x:v>
      </x:c>
      <x:c r="F487" s="43" t="str">
        <x:v>Gerrards Cross</x:v>
      </x:c>
      <x:c r="G487" s="43" t="str">
        <x:v>Buckinghamshire</x:v>
      </x:c>
      <x:c r="H487" s="43" t="str">
        <x:v>SL9 8QA</x:v>
      </x:c>
      <x:c r="I487" s="43" t="n">
        <x:v>3</x:v>
      </x:c>
      <x:c r="J487" s="43" t="n">
        <x:v>18</x:v>
      </x:c>
      <x:c r="K487" s="43" t="str">
        <x:v>No boarders</x:v>
      </x:c>
      <x:c r="L487" s="43" t="str">
        <x:v>Has a sixth form</x:v>
      </x:c>
      <x:c r="M487" s="43" t="n">
        <x:v>267</x:v>
      </x:c>
      <x:c r="N487" s="43" t="str">
        <x:v>https://www.thorpehouse.co.uk</x:v>
      </x:c>
      <x:c r="O487" s="43" t="str">
        <x:v>01753882474</x:v>
      </x:c>
      <x:c r="P487" s="43" t="str"/>
      <x:c r="Q487" s="43" t="str"/>
      <x:c r="R487" s="43" t="str">
        <x:v>Queued for contact research</x:v>
      </x:c>
      <x:c r="S487" s="43" t="str">
        <x:v>Not reviewed</x:v>
      </x:c>
      <x:c r="T487" s="43" t="str">
        <x:v>Hold</x:v>
      </x:c>
      <x:c r="U487" s="43" t="str">
        <x:v>No</x:v>
      </x:c>
      <x:c r="V487" s="44"/>
      <x:c r="W487" s="43" t="str"/>
      <x:c r="X487" s="43" t="str"/>
      <x:c r="Y487" s="43" t="str"/>
      <x:c r="Z487" s="43" t="str">
        <x:v>https://www.get-information-schools.service.gov.uk/Downloads</x:v>
      </x:c>
    </x:row>
    <x:row r="488">
      <x:c r="A488" s="43" t="str">
        <x:v>UK independent</x:v>
      </x:c>
      <x:c r="B488" s="43" t="str">
        <x:v>102551</x:v>
      </x:c>
      <x:c r="C488" s="43" t="n">
        <x:f>IF(K488="Boarding school",30,0)+IF(J488&gt;=18,20,0)+IF(I488&lt;=11,10,0)+IF(L488="Has a sixth form",15,0)+IF(M488&gt;=200,10,0)+IF(N488&lt;&gt;"",10,0)</x:f>
        <x:v>65</x:v>
      </x:c>
      <x:c r="D488" s="43" t="str">
        <x:f>IF(C488&gt;=85,"A",IF(C488&gt;=65,"B","C"))</x:f>
        <x:v>B</x:v>
      </x:c>
      <x:c r="E488" s="43" t="str">
        <x:v>ArtsEd Day School &amp; Sixth Form</x:v>
      </x:c>
      <x:c r="F488" s="43" t="str">
        <x:v>London</x:v>
      </x:c>
      <x:c r="G488" s="43" t="str"/>
      <x:c r="H488" s="43" t="str">
        <x:v>W4 1LY</x:v>
      </x:c>
      <x:c r="I488" s="43" t="n">
        <x:v>11</x:v>
      </x:c>
      <x:c r="J488" s="43" t="n">
        <x:v>19</x:v>
      </x:c>
      <x:c r="K488" s="43" t="str">
        <x:v>No boarders</x:v>
      </x:c>
      <x:c r="L488" s="43" t="str">
        <x:v>Has a sixth form</x:v>
      </x:c>
      <x:c r="M488" s="43" t="n">
        <x:v>265</x:v>
      </x:c>
      <x:c r="N488" s="43" t="str">
        <x:v>https://www.artsed.co.uk</x:v>
      </x:c>
      <x:c r="O488" s="43" t="str">
        <x:v>02089876600</x:v>
      </x:c>
      <x:c r="P488" s="43" t="str"/>
      <x:c r="Q488" s="43" t="str"/>
      <x:c r="R488" s="43" t="str">
        <x:v>Queued for contact research</x:v>
      </x:c>
      <x:c r="S488" s="43" t="str">
        <x:v>Not reviewed</x:v>
      </x:c>
      <x:c r="T488" s="43" t="str">
        <x:v>Hold</x:v>
      </x:c>
      <x:c r="U488" s="43" t="str">
        <x:v>No</x:v>
      </x:c>
      <x:c r="V488" s="44"/>
      <x:c r="W488" s="43" t="str"/>
      <x:c r="X488" s="43" t="str"/>
      <x:c r="Y488" s="43" t="str"/>
      <x:c r="Z488" s="43" t="str">
        <x:v>https://www.get-information-schools.service.gov.uk/Downloads</x:v>
      </x:c>
    </x:row>
    <x:row r="489">
      <x:c r="A489" s="43" t="str">
        <x:v>UK independent</x:v>
      </x:c>
      <x:c r="B489" s="43" t="str">
        <x:v>101391</x:v>
      </x:c>
      <x:c r="C489" s="43" t="n">
        <x:f>IF(K489="Boarding school",30,0)+IF(J489&gt;=18,20,0)+IF(I489&lt;=11,10,0)+IF(L489="Has a sixth form",15,0)+IF(M489&gt;=200,10,0)+IF(N489&lt;&gt;"",10,0)</x:f>
        <x:v>65</x:v>
      </x:c>
      <x:c r="D489" s="43" t="str">
        <x:f>IF(C489&gt;=85,"A",IF(C489&gt;=65,"B","C"))</x:f>
        <x:v>B</x:v>
      </x:c>
      <x:c r="E489" s="43" t="str">
        <x:v>Dwight School London</x:v>
      </x:c>
      <x:c r="F489" s="43" t="str">
        <x:v>London</x:v>
      </x:c>
      <x:c r="G489" s="43" t="str"/>
      <x:c r="H489" s="43" t="str">
        <x:v>N11 3LX</x:v>
      </x:c>
      <x:c r="I489" s="43" t="n">
        <x:v>2</x:v>
      </x:c>
      <x:c r="J489" s="43" t="n">
        <x:v>18</x:v>
      </x:c>
      <x:c r="K489" s="43" t="str">
        <x:v>No boarders</x:v>
      </x:c>
      <x:c r="L489" s="43" t="str">
        <x:v>Has a sixth form</x:v>
      </x:c>
      <x:c r="M489" s="43" t="n">
        <x:v>265</x:v>
      </x:c>
      <x:c r="N489" s="43" t="str">
        <x:v>https://www.dwightlondon.org</x:v>
      </x:c>
      <x:c r="O489" s="43" t="str">
        <x:v>0208920600</x:v>
      </x:c>
      <x:c r="P489" s="43" t="str"/>
      <x:c r="Q489" s="43" t="str"/>
      <x:c r="R489" s="43" t="str">
        <x:v>Queued for contact research</x:v>
      </x:c>
      <x:c r="S489" s="43" t="str">
        <x:v>Not reviewed</x:v>
      </x:c>
      <x:c r="T489" s="43" t="str">
        <x:v>Hold</x:v>
      </x:c>
      <x:c r="U489" s="43" t="str">
        <x:v>No</x:v>
      </x:c>
      <x:c r="V489" s="44"/>
      <x:c r="W489" s="43" t="str"/>
      <x:c r="X489" s="43" t="str"/>
      <x:c r="Y489" s="43" t="str"/>
      <x:c r="Z489" s="43" t="str">
        <x:v>https://www.get-information-schools.service.gov.uk/Downloads</x:v>
      </x:c>
    </x:row>
    <x:row r="490">
      <x:c r="A490" s="43" t="str">
        <x:v>UK independent</x:v>
      </x:c>
      <x:c r="B490" s="43" t="str">
        <x:v>111768</x:v>
      </x:c>
      <x:c r="C490" s="43" t="n">
        <x:f>IF(K490="Boarding school",30,0)+IF(J490&gt;=18,20,0)+IF(I490&lt;=11,10,0)+IF(L490="Has a sixth form",15,0)+IF(M490&gt;=200,10,0)+IF(N490&lt;&gt;"",10,0)</x:f>
        <x:v>65</x:v>
      </x:c>
      <x:c r="D490" s="43" t="str">
        <x:f>IF(C490&gt;=85,"A",IF(C490&gt;=65,"B","C"))</x:f>
        <x:v>B</x:v>
      </x:c>
      <x:c r="E490" s="43" t="str">
        <x:v>Teesside High School</x:v>
      </x:c>
      <x:c r="F490" s="43" t="str"/>
      <x:c r="G490" s="43" t="str"/>
      <x:c r="H490" s="43" t="str">
        <x:v>TS16 9AT</x:v>
      </x:c>
      <x:c r="I490" s="43" t="n">
        <x:v>2</x:v>
      </x:c>
      <x:c r="J490" s="43" t="n">
        <x:v>18</x:v>
      </x:c>
      <x:c r="K490" s="43" t="str">
        <x:v>No boarders</x:v>
      </x:c>
      <x:c r="L490" s="43" t="str">
        <x:v>Has a sixth form</x:v>
      </x:c>
      <x:c r="M490" s="43" t="n">
        <x:v>254</x:v>
      </x:c>
      <x:c r="N490" s="43" t="str">
        <x:v>https://www.teessidehigh.co.uk</x:v>
      </x:c>
      <x:c r="O490" s="43" t="str">
        <x:v>01642782095</x:v>
      </x:c>
      <x:c r="P490" s="43" t="str"/>
      <x:c r="Q490" s="43" t="str"/>
      <x:c r="R490" s="43" t="str">
        <x:v>Queued for contact research</x:v>
      </x:c>
      <x:c r="S490" s="43" t="str">
        <x:v>Not reviewed</x:v>
      </x:c>
      <x:c r="T490" s="43" t="str">
        <x:v>Hold</x:v>
      </x:c>
      <x:c r="U490" s="43" t="str">
        <x:v>No</x:v>
      </x:c>
      <x:c r="V490" s="44"/>
      <x:c r="W490" s="43" t="str"/>
      <x:c r="X490" s="43" t="str"/>
      <x:c r="Y490" s="43" t="str"/>
      <x:c r="Z490" s="43" t="str">
        <x:v>https://www.get-information-schools.service.gov.uk/Downloads</x:v>
      </x:c>
    </x:row>
    <x:row r="491">
      <x:c r="A491" s="43" t="str">
        <x:v>UK independent</x:v>
      </x:c>
      <x:c r="B491" s="43" t="str">
        <x:v>120324</x:v>
      </x:c>
      <x:c r="C491" s="43" t="n">
        <x:f>IF(K491="Boarding school",30,0)+IF(J491&gt;=18,20,0)+IF(I491&lt;=11,10,0)+IF(L491="Has a sixth form",15,0)+IF(M491&gt;=200,10,0)+IF(N491&lt;&gt;"",10,0)</x:f>
        <x:v>65</x:v>
      </x:c>
      <x:c r="D491" s="43" t="str">
        <x:f>IF(C491&gt;=85,"A",IF(C491&gt;=65,"B","C"))</x:f>
        <x:v>B</x:v>
      </x:c>
      <x:c r="E491" s="43" t="str">
        <x:v>Leicester High School for Girls</x:v>
      </x:c>
      <x:c r="F491" s="43" t="str"/>
      <x:c r="G491" s="43" t="str"/>
      <x:c r="H491" s="43" t="str">
        <x:v>LE2 2PP</x:v>
      </x:c>
      <x:c r="I491" s="43" t="n">
        <x:v>3</x:v>
      </x:c>
      <x:c r="J491" s="43" t="n">
        <x:v>18</x:v>
      </x:c>
      <x:c r="K491" s="43" t="str">
        <x:v>No boarders</x:v>
      </x:c>
      <x:c r="L491" s="43" t="str">
        <x:v>Has a sixth form</x:v>
      </x:c>
      <x:c r="M491" s="43" t="n">
        <x:v>249</x:v>
      </x:c>
      <x:c r="N491" s="43" t="str">
        <x:v>https://www.leicesterhigh.co.uk</x:v>
      </x:c>
      <x:c r="O491" s="43" t="str">
        <x:v>01162705338</x:v>
      </x:c>
      <x:c r="P491" s="43" t="str"/>
      <x:c r="Q491" s="43" t="str"/>
      <x:c r="R491" s="43" t="str">
        <x:v>Queued for contact research</x:v>
      </x:c>
      <x:c r="S491" s="43" t="str">
        <x:v>Not reviewed</x:v>
      </x:c>
      <x:c r="T491" s="43" t="str">
        <x:v>Hold</x:v>
      </x:c>
      <x:c r="U491" s="43" t="str">
        <x:v>No</x:v>
      </x:c>
      <x:c r="V491" s="44"/>
      <x:c r="W491" s="43" t="str"/>
      <x:c r="X491" s="43" t="str"/>
      <x:c r="Y491" s="43" t="str"/>
      <x:c r="Z491" s="43" t="str">
        <x:v>https://www.get-information-schools.service.gov.uk/Downloads</x:v>
      </x:c>
    </x:row>
    <x:row r="492">
      <x:c r="A492" s="43" t="str">
        <x:v>UK independent</x:v>
      </x:c>
      <x:c r="B492" s="43" t="str">
        <x:v>113943</x:v>
      </x:c>
      <x:c r="C492" s="43" t="n">
        <x:f>IF(K492="Boarding school",30,0)+IF(J492&gt;=18,20,0)+IF(I492&lt;=11,10,0)+IF(L492="Has a sixth form",15,0)+IF(M492&gt;=200,10,0)+IF(N492&lt;&gt;"",10,0)</x:f>
        <x:v>65</x:v>
      </x:c>
      <x:c r="D492" s="43" t="str">
        <x:f>IF(C492&gt;=85,"A",IF(C492&gt;=65,"B","C"))</x:f>
        <x:v>B</x:v>
      </x:c>
      <x:c r="E492" s="43" t="str">
        <x:v>Ringwood Waldorf School</x:v>
      </x:c>
      <x:c r="F492" s="43" t="str">
        <x:v>Ringwood</x:v>
      </x:c>
      <x:c r="G492" s="43" t="str">
        <x:v>Hampshire</x:v>
      </x:c>
      <x:c r="H492" s="43" t="str">
        <x:v>BH24 2NN</x:v>
      </x:c>
      <x:c r="I492" s="43" t="n">
        <x:v>2</x:v>
      </x:c>
      <x:c r="J492" s="43" t="n">
        <x:v>19</x:v>
      </x:c>
      <x:c r="K492" s="43" t="str">
        <x:v>No boarders</x:v>
      </x:c>
      <x:c r="L492" s="43" t="str">
        <x:v>Has a sixth form</x:v>
      </x:c>
      <x:c r="M492" s="43" t="n">
        <x:v>248</x:v>
      </x:c>
      <x:c r="N492" s="43" t="str">
        <x:v>https://www.ringwoodwaldorfschool.org.uk</x:v>
      </x:c>
      <x:c r="O492" s="43" t="str">
        <x:v>01425472664</x:v>
      </x:c>
      <x:c r="P492" s="43" t="str"/>
      <x:c r="Q492" s="43" t="str"/>
      <x:c r="R492" s="43" t="str">
        <x:v>Queued for contact research</x:v>
      </x:c>
      <x:c r="S492" s="43" t="str">
        <x:v>Not reviewed</x:v>
      </x:c>
      <x:c r="T492" s="43" t="str">
        <x:v>Hold</x:v>
      </x:c>
      <x:c r="U492" s="43" t="str">
        <x:v>No</x:v>
      </x:c>
      <x:c r="V492" s="44"/>
      <x:c r="W492" s="43" t="str"/>
      <x:c r="X492" s="43" t="str"/>
      <x:c r="Y492" s="43" t="str"/>
      <x:c r="Z492" s="43" t="str">
        <x:v>https://www.get-information-schools.service.gov.uk/Downloads</x:v>
      </x:c>
    </x:row>
    <x:row r="493">
      <x:c r="A493" s="43" t="str">
        <x:v>UK independent</x:v>
      </x:c>
      <x:c r="B493" s="43" t="str">
        <x:v>126115</x:v>
      </x:c>
      <x:c r="C493" s="43" t="n">
        <x:f>IF(K493="Boarding school",30,0)+IF(J493&gt;=18,20,0)+IF(I493&lt;=11,10,0)+IF(L493="Has a sixth form",15,0)+IF(M493&gt;=200,10,0)+IF(N493&lt;&gt;"",10,0)</x:f>
        <x:v>65</x:v>
      </x:c>
      <x:c r="D493" s="43" t="str">
        <x:f>IF(C493&gt;=85,"A",IF(C493&gt;=65,"B","C"))</x:f>
        <x:v>B</x:v>
      </x:c>
      <x:c r="E493" s="43" t="str">
        <x:v>Our Lady of Sion School</x:v>
      </x:c>
      <x:c r="F493" s="43" t="str">
        <x:v>West Sussex</x:v>
      </x:c>
      <x:c r="G493" s="43" t="str"/>
      <x:c r="H493" s="43" t="str">
        <x:v>BN11 4BL</x:v>
      </x:c>
      <x:c r="I493" s="43" t="n">
        <x:v>2</x:v>
      </x:c>
      <x:c r="J493" s="43" t="n">
        <x:v>19</x:v>
      </x:c>
      <x:c r="K493" s="43" t="str">
        <x:v>No boarders</x:v>
      </x:c>
      <x:c r="L493" s="43" t="str">
        <x:v>Has a sixth form</x:v>
      </x:c>
      <x:c r="M493" s="43" t="n">
        <x:v>244</x:v>
      </x:c>
      <x:c r="N493" s="43" t="str">
        <x:v>http://www.sionschool.org.uk</x:v>
      </x:c>
      <x:c r="O493" s="43" t="str">
        <x:v>01903204063</x:v>
      </x:c>
      <x:c r="P493" s="43" t="str"/>
      <x:c r="Q493" s="43" t="str"/>
      <x:c r="R493" s="43" t="str">
        <x:v>Queued for contact research</x:v>
      </x:c>
      <x:c r="S493" s="43" t="str">
        <x:v>Not reviewed</x:v>
      </x:c>
      <x:c r="T493" s="43" t="str">
        <x:v>Hold</x:v>
      </x:c>
      <x:c r="U493" s="43" t="str">
        <x:v>No</x:v>
      </x:c>
      <x:c r="V493" s="44"/>
      <x:c r="W493" s="43" t="str"/>
      <x:c r="X493" s="43" t="str"/>
      <x:c r="Y493" s="43" t="str"/>
      <x:c r="Z493" s="43" t="str">
        <x:v>https://www.get-information-schools.service.gov.uk/Downloads</x:v>
      </x:c>
    </x:row>
    <x:row r="494">
      <x:c r="A494" s="43" t="str">
        <x:v>UK independent</x:v>
      </x:c>
      <x:c r="B494" s="43" t="str">
        <x:v>100528</x:v>
      </x:c>
      <x:c r="C494" s="43" t="n">
        <x:f>IF(K494="Boarding school",30,0)+IF(J494&gt;=18,20,0)+IF(I494&lt;=11,10,0)+IF(L494="Has a sixth form",15,0)+IF(M494&gt;=200,10,0)+IF(N494&lt;&gt;"",10,0)</x:f>
        <x:v>65</x:v>
      </x:c>
      <x:c r="D494" s="43" t="str">
        <x:f>IF(C494&gt;=85,"A",IF(C494&gt;=65,"B","C"))</x:f>
        <x:v>B</x:v>
      </x:c>
      <x:c r="E494" s="43" t="str">
        <x:v>St James Senior Boys' School</x:v>
      </x:c>
      <x:c r="F494" s="43" t="str">
        <x:v>Ashford</x:v>
      </x:c>
      <x:c r="G494" s="43" t="str">
        <x:v>Surrey</x:v>
      </x:c>
      <x:c r="H494" s="43" t="str">
        <x:v>TW15 3DZ</x:v>
      </x:c>
      <x:c r="I494" s="43" t="n">
        <x:v>11</x:v>
      </x:c>
      <x:c r="J494" s="43" t="n">
        <x:v>18</x:v>
      </x:c>
      <x:c r="K494" s="43" t="str">
        <x:v>No boarders</x:v>
      </x:c>
      <x:c r="L494" s="43" t="str">
        <x:v>Has a sixth form</x:v>
      </x:c>
      <x:c r="M494" s="43" t="n">
        <x:v>244</x:v>
      </x:c>
      <x:c r="N494" s="43" t="str">
        <x:v>https://www.stjamesschools.co.uk/seniorboys</x:v>
      </x:c>
      <x:c r="O494" s="43" t="str">
        <x:v>01784266930</x:v>
      </x:c>
      <x:c r="P494" s="43" t="str"/>
      <x:c r="Q494" s="43" t="str"/>
      <x:c r="R494" s="43" t="str">
        <x:v>Queued for contact research</x:v>
      </x:c>
      <x:c r="S494" s="43" t="str">
        <x:v>Not reviewed</x:v>
      </x:c>
      <x:c r="T494" s="43" t="str">
        <x:v>Hold</x:v>
      </x:c>
      <x:c r="U494" s="43" t="str">
        <x:v>No</x:v>
      </x:c>
      <x:c r="V494" s="44"/>
      <x:c r="W494" s="43" t="str"/>
      <x:c r="X494" s="43" t="str"/>
      <x:c r="Y494" s="43" t="str"/>
      <x:c r="Z494" s="43" t="str">
        <x:v>https://www.get-information-schools.service.gov.uk/Downloads</x:v>
      </x:c>
    </x:row>
    <x:row r="495">
      <x:c r="A495" s="43" t="str">
        <x:v>UK independent</x:v>
      </x:c>
      <x:c r="B495" s="43" t="str">
        <x:v>134429</x:v>
      </x:c>
      <x:c r="C495" s="43" t="n">
        <x:f>IF(K495="Boarding school",30,0)+IF(J495&gt;=18,20,0)+IF(I495&lt;=11,10,0)+IF(L495="Has a sixth form",15,0)+IF(M495&gt;=200,10,0)+IF(N495&lt;&gt;"",10,0)</x:f>
        <x:v>65</x:v>
      </x:c>
      <x:c r="D495" s="43" t="str">
        <x:f>IF(C495&gt;=85,"A",IF(C495&gt;=65,"B","C"))</x:f>
        <x:v>B</x:v>
      </x:c>
      <x:c r="E495" s="43" t="str">
        <x:v>Al Mumin Primary and Secondary School</x:v>
      </x:c>
      <x:c r="F495" s="43" t="str">
        <x:v>Bradford</x:v>
      </x:c>
      <x:c r="G495" s="43" t="str">
        <x:v>West Yorkshire</x:v>
      </x:c>
      <x:c r="H495" s="43" t="str">
        <x:v>BD8 7DA</x:v>
      </x:c>
      <x:c r="I495" s="43" t="n">
        <x:v>3</x:v>
      </x:c>
      <x:c r="J495" s="43" t="n">
        <x:v>18</x:v>
      </x:c>
      <x:c r="K495" s="43" t="str">
        <x:v>No boarders</x:v>
      </x:c>
      <x:c r="L495" s="43" t="str">
        <x:v>Has a sixth form</x:v>
      </x:c>
      <x:c r="M495" s="43" t="n">
        <x:v>234</x:v>
      </x:c>
      <x:c r="N495" s="43" t="str">
        <x:v>https://www.almumin.bradford.sch.uk</x:v>
      </x:c>
      <x:c r="O495" s="43" t="str">
        <x:v>01274488593</x:v>
      </x:c>
      <x:c r="P495" s="43" t="str"/>
      <x:c r="Q495" s="43" t="str"/>
      <x:c r="R495" s="43" t="str">
        <x:v>Queued for contact research</x:v>
      </x:c>
      <x:c r="S495" s="43" t="str">
        <x:v>Not reviewed</x:v>
      </x:c>
      <x:c r="T495" s="43" t="str">
        <x:v>Hold</x:v>
      </x:c>
      <x:c r="U495" s="43" t="str">
        <x:v>No</x:v>
      </x:c>
      <x:c r="V495" s="44"/>
      <x:c r="W495" s="43" t="str"/>
      <x:c r="X495" s="43" t="str"/>
      <x:c r="Y495" s="43" t="str"/>
      <x:c r="Z495" s="43" t="str">
        <x:v>https://www.get-information-schools.service.gov.uk/Downloads</x:v>
      </x:c>
    </x:row>
    <x:row r="496">
      <x:c r="A496" s="43" t="str">
        <x:v>UK independent</x:v>
      </x:c>
      <x:c r="B496" s="43" t="str">
        <x:v>101387</x:v>
      </x:c>
      <x:c r="C496" s="43" t="n">
        <x:f>IF(K496="Boarding school",30,0)+IF(J496&gt;=18,20,0)+IF(I496&lt;=11,10,0)+IF(L496="Has a sixth form",15,0)+IF(M496&gt;=200,10,0)+IF(N496&lt;&gt;"",10,0)</x:f>
        <x:v>65</x:v>
      </x:c>
      <x:c r="D496" s="43" t="str">
        <x:f>IF(C496&gt;=85,"A",IF(C496&gt;=65,"B","C"))</x:f>
        <x:v>B</x:v>
      </x:c>
      <x:c r="E496" s="43" t="str">
        <x:v>Menorah Grammar School</x:v>
      </x:c>
      <x:c r="F496" s="43" t="str">
        <x:v>Edgware</x:v>
      </x:c>
      <x:c r="G496" s="43" t="str">
        <x:v>Middlesex</x:v>
      </x:c>
      <x:c r="H496" s="43" t="str">
        <x:v>HA8 0QS</x:v>
      </x:c>
      <x:c r="I496" s="43" t="n">
        <x:v>11</x:v>
      </x:c>
      <x:c r="J496" s="43" t="n">
        <x:v>21</x:v>
      </x:c>
      <x:c r="K496" s="43" t="str">
        <x:v>No boarders</x:v>
      </x:c>
      <x:c r="L496" s="43" t="str">
        <x:v>Has a sixth form</x:v>
      </x:c>
      <x:c r="M496" s="43" t="n">
        <x:v>231</x:v>
      </x:c>
      <x:c r="N496" s="43" t="str">
        <x:v>https://www.menorahgrammar.barnet.sch.uk</x:v>
      </x:c>
      <x:c r="O496" s="43" t="str">
        <x:v>02089069756</x:v>
      </x:c>
      <x:c r="P496" s="43" t="str"/>
      <x:c r="Q496" s="43" t="str"/>
      <x:c r="R496" s="43" t="str">
        <x:v>Queued for contact research</x:v>
      </x:c>
      <x:c r="S496" s="43" t="str">
        <x:v>Not reviewed</x:v>
      </x:c>
      <x:c r="T496" s="43" t="str">
        <x:v>Hold</x:v>
      </x:c>
      <x:c r="U496" s="43" t="str">
        <x:v>No</x:v>
      </x:c>
      <x:c r="V496" s="44"/>
      <x:c r="W496" s="43" t="str"/>
      <x:c r="X496" s="43" t="str"/>
      <x:c r="Y496" s="43" t="str"/>
      <x:c r="Z496" s="43" t="str">
        <x:v>https://www.get-information-schools.service.gov.uk/Downloads</x:v>
      </x:c>
    </x:row>
    <x:row r="497">
      <x:c r="A497" s="43" t="str">
        <x:v>UK independent</x:v>
      </x:c>
      <x:c r="B497" s="43" t="str">
        <x:v>101374</x:v>
      </x:c>
      <x:c r="C497" s="43" t="n">
        <x:f>IF(K497="Boarding school",30,0)+IF(J497&gt;=18,20,0)+IF(I497&lt;=11,10,0)+IF(L497="Has a sixth form",15,0)+IF(M497&gt;=200,10,0)+IF(N497&lt;&gt;"",10,0)</x:f>
        <x:v>65</x:v>
      </x:c>
      <x:c r="D497" s="43" t="str">
        <x:f>IF(C497&gt;=85,"A",IF(C497&gt;=65,"B","C"))</x:f>
        <x:v>B</x:v>
      </x:c>
      <x:c r="E497" s="43" t="str">
        <x:v>Mount House School</x:v>
      </x:c>
      <x:c r="F497" s="43" t="str">
        <x:v>Barnet</x:v>
      </x:c>
      <x:c r="G497" s="43" t="str">
        <x:v>Hertfordshire</x:v>
      </x:c>
      <x:c r="H497" s="43" t="str">
        <x:v>EN4 0NJ</x:v>
      </x:c>
      <x:c r="I497" s="43" t="n">
        <x:v>11</x:v>
      </x:c>
      <x:c r="J497" s="43" t="n">
        <x:v>18</x:v>
      </x:c>
      <x:c r="K497" s="43" t="str">
        <x:v>No boarders</x:v>
      </x:c>
      <x:c r="L497" s="43" t="str">
        <x:v>Has a sixth form</x:v>
      </x:c>
      <x:c r="M497" s="43" t="n">
        <x:v>225</x:v>
      </x:c>
      <x:c r="N497" s="43" t="str">
        <x:v>https://www.mounthouse.org.uk</x:v>
      </x:c>
      <x:c r="O497" s="43" t="str">
        <x:v>02084496889</x:v>
      </x:c>
      <x:c r="P497" s="43" t="str"/>
      <x:c r="Q497" s="43" t="str"/>
      <x:c r="R497" s="43" t="str">
        <x:v>Queued for contact research</x:v>
      </x:c>
      <x:c r="S497" s="43" t="str">
        <x:v>Not reviewed</x:v>
      </x:c>
      <x:c r="T497" s="43" t="str">
        <x:v>Hold</x:v>
      </x:c>
      <x:c r="U497" s="43" t="str">
        <x:v>No</x:v>
      </x:c>
      <x:c r="V497" s="44"/>
      <x:c r="W497" s="43" t="str"/>
      <x:c r="X497" s="43" t="str"/>
      <x:c r="Y497" s="43" t="str"/>
      <x:c r="Z497" s="43" t="str">
        <x:v>https://www.get-information-schools.service.gov.uk/Downloads</x:v>
      </x:c>
    </x:row>
    <x:row r="498">
      <x:c r="A498" s="43" t="str">
        <x:v>UK independent</x:v>
      </x:c>
      <x:c r="B498" s="43" t="str">
        <x:v>115794</x:v>
      </x:c>
      <x:c r="C498" s="43" t="n">
        <x:f>IF(K498="Boarding school",30,0)+IF(J498&gt;=18,20,0)+IF(I498&lt;=11,10,0)+IF(L498="Has a sixth form",15,0)+IF(M498&gt;=200,10,0)+IF(N498&lt;&gt;"",10,0)</x:f>
        <x:v>65</x:v>
      </x:c>
      <x:c r="D498" s="43" t="str">
        <x:f>IF(C498&gt;=85,"A",IF(C498&gt;=65,"B","C"))</x:f>
        <x:v>B</x:v>
      </x:c>
      <x:c r="E498" s="43" t="str">
        <x:v>St Edward's School</x:v>
      </x:c>
      <x:c r="F498" s="43" t="str">
        <x:v>Cheltenham</x:v>
      </x:c>
      <x:c r="G498" s="43" t="str">
        <x:v>Gloucestershire</x:v>
      </x:c>
      <x:c r="H498" s="43" t="str">
        <x:v>GL53 8EY</x:v>
      </x:c>
      <x:c r="I498" s="43" t="n">
        <x:v>11</x:v>
      </x:c>
      <x:c r="J498" s="43" t="n">
        <x:v>18</x:v>
      </x:c>
      <x:c r="K498" s="43" t="str">
        <x:v>No boarders</x:v>
      </x:c>
      <x:c r="L498" s="43" t="str">
        <x:v>Has a sixth form</x:v>
      </x:c>
      <x:c r="M498" s="43" t="n">
        <x:v>224</x:v>
      </x:c>
      <x:c r="N498" s="43" t="str">
        <x:v>https://www.stedwards.co.uk</x:v>
      </x:c>
      <x:c r="O498" s="43" t="str">
        <x:v>01242388555</x:v>
      </x:c>
      <x:c r="P498" s="43" t="str"/>
      <x:c r="Q498" s="43" t="str"/>
      <x:c r="R498" s="43" t="str">
        <x:v>Queued for contact research</x:v>
      </x:c>
      <x:c r="S498" s="43" t="str">
        <x:v>Not reviewed</x:v>
      </x:c>
      <x:c r="T498" s="43" t="str">
        <x:v>Hold</x:v>
      </x:c>
      <x:c r="U498" s="43" t="str">
        <x:v>No</x:v>
      </x:c>
      <x:c r="V498" s="44"/>
      <x:c r="W498" s="43" t="str"/>
      <x:c r="X498" s="43" t="str"/>
      <x:c r="Y498" s="43" t="str"/>
      <x:c r="Z498" s="43" t="str">
        <x:v>https://www.get-information-schools.service.gov.uk/Downloads</x:v>
      </x:c>
    </x:row>
    <x:row r="499">
      <x:c r="A499" s="43" t="str">
        <x:v>UK independent</x:v>
      </x:c>
      <x:c r="B499" s="43" t="str">
        <x:v>117020</x:v>
      </x:c>
      <x:c r="C499" s="43" t="n">
        <x:f>IF(K499="Boarding school",30,0)+IF(J499&gt;=18,20,0)+IF(I499&lt;=11,10,0)+IF(L499="Has a sixth form",15,0)+IF(M499&gt;=200,10,0)+IF(N499&lt;&gt;"",10,0)</x:f>
        <x:v>65</x:v>
      </x:c>
      <x:c r="D499" s="43" t="str">
        <x:f>IF(C499&gt;=85,"A",IF(C499&gt;=65,"B","C"))</x:f>
        <x:v>B</x:v>
      </x:c>
      <x:c r="E499" s="43" t="str">
        <x:v>Heathfield Knoll School</x:v>
      </x:c>
      <x:c r="F499" s="43" t="str">
        <x:v>Kidderminster</x:v>
      </x:c>
      <x:c r="G499" s="43" t="str">
        <x:v>Worcestershire</x:v>
      </x:c>
      <x:c r="H499" s="43" t="str">
        <x:v>DY10 3QE</x:v>
      </x:c>
      <x:c r="I499" s="43" t="n">
        <x:v>0</x:v>
      </x:c>
      <x:c r="J499" s="43" t="n">
        <x:v>19</x:v>
      </x:c>
      <x:c r="K499" s="43" t="str">
        <x:v>No boarders</x:v>
      </x:c>
      <x:c r="L499" s="43" t="str">
        <x:v>Has a sixth form</x:v>
      </x:c>
      <x:c r="M499" s="43" t="n">
        <x:v>216</x:v>
      </x:c>
      <x:c r="N499" s="43" t="str">
        <x:v>https://www.hkschool.org.uk</x:v>
      </x:c>
      <x:c r="O499" s="43" t="str">
        <x:v>01562850204</x:v>
      </x:c>
      <x:c r="P499" s="43" t="str"/>
      <x:c r="Q499" s="43" t="str"/>
      <x:c r="R499" s="43" t="str">
        <x:v>Queued for contact research</x:v>
      </x:c>
      <x:c r="S499" s="43" t="str">
        <x:v>Not reviewed</x:v>
      </x:c>
      <x:c r="T499" s="43" t="str">
        <x:v>Hold</x:v>
      </x:c>
      <x:c r="U499" s="43" t="str">
        <x:v>No</x:v>
      </x:c>
      <x:c r="V499" s="44"/>
      <x:c r="W499" s="43" t="str"/>
      <x:c r="X499" s="43" t="str"/>
      <x:c r="Y499" s="43" t="str"/>
      <x:c r="Z499" s="43" t="str">
        <x:v>https://www.get-information-schools.service.gov.uk/Downloads</x:v>
      </x:c>
    </x:row>
    <x:row r="500">
      <x:c r="A500" s="43" t="str">
        <x:v>UK independent</x:v>
      </x:c>
      <x:c r="B500" s="43" t="str">
        <x:v>113603</x:v>
      </x:c>
      <x:c r="C500" s="43" t="n">
        <x:f>IF(K500="Boarding school",30,0)+IF(J500&gt;=18,20,0)+IF(I500&lt;=11,10,0)+IF(L500="Has a sixth form",15,0)+IF(M500&gt;=200,10,0)+IF(N500&lt;&gt;"",10,0)</x:f>
        <x:v>65</x:v>
      </x:c>
      <x:c r="D500" s="43" t="str">
        <x:f>IF(C500&gt;=85,"A",IF(C500&gt;=65,"B","C"))</x:f>
        <x:v>B</x:v>
      </x:c>
      <x:c r="E500" s="43" t="str">
        <x:v>South Devon Steiner School</x:v>
      </x:c>
      <x:c r="F500" s="43" t="str"/>
      <x:c r="G500" s="43" t="str"/>
      <x:c r="H500" s="43" t="str">
        <x:v>TQ9 6AB</x:v>
      </x:c>
      <x:c r="I500" s="43" t="n">
        <x:v>2</x:v>
      </x:c>
      <x:c r="J500" s="43" t="n">
        <x:v>19</x:v>
      </x:c>
      <x:c r="K500" s="43" t="str">
        <x:v>No boarders</x:v>
      </x:c>
      <x:c r="L500" s="43" t="str">
        <x:v>Has a sixth form</x:v>
      </x:c>
      <x:c r="M500" s="43" t="n">
        <x:v>215</x:v>
      </x:c>
      <x:c r="N500" s="43" t="str">
        <x:v>http://www.southdevonsteinerschool.org</x:v>
      </x:c>
      <x:c r="O500" s="43" t="str">
        <x:v>01803897377</x:v>
      </x:c>
      <x:c r="P500" s="43" t="str"/>
      <x:c r="Q500" s="43" t="str"/>
      <x:c r="R500" s="43" t="str">
        <x:v>Queued for contact research</x:v>
      </x:c>
      <x:c r="S500" s="43" t="str">
        <x:v>Not reviewed</x:v>
      </x:c>
      <x:c r="T500" s="43" t="str">
        <x:v>Hold</x:v>
      </x:c>
      <x:c r="U500" s="43" t="str">
        <x:v>No</x:v>
      </x:c>
      <x:c r="V500" s="44"/>
      <x:c r="W500" s="43" t="str"/>
      <x:c r="X500" s="43" t="str"/>
      <x:c r="Y500" s="43" t="str"/>
      <x:c r="Z500" s="43" t="str">
        <x:v>https://www.get-information-schools.service.gov.uk/Downloads</x:v>
      </x:c>
    </x:row>
    <x:row r="501">
      <x:c r="A501" s="43" t="str">
        <x:v>UK independent</x:v>
      </x:c>
      <x:c r="B501" s="43" t="str">
        <x:v>111474</x:v>
      </x:c>
      <x:c r="C501" s="43" t="n">
        <x:f>IF(K501="Boarding school",30,0)+IF(J501&gt;=18,20,0)+IF(I501&lt;=11,10,0)+IF(L501="Has a sixth form",15,0)+IF(M501&gt;=200,10,0)+IF(N501&lt;&gt;"",10,0)</x:f>
        <x:v>65</x:v>
      </x:c>
      <x:c r="D501" s="43" t="str">
        <x:f>IF(C501&gt;=85,"A",IF(C501&gt;=65,"B","C"))</x:f>
        <x:v>B</x:v>
      </x:c>
      <x:c r="E501" s="43" t="str">
        <x:v>Beech Hall School</x:v>
      </x:c>
      <x:c r="F501" s="43" t="str">
        <x:v>Macclesfield</x:v>
      </x:c>
      <x:c r="G501" s="43" t="str">
        <x:v>Cheshire</x:v>
      </x:c>
      <x:c r="H501" s="43" t="str">
        <x:v>SK10 2EG</x:v>
      </x:c>
      <x:c r="I501" s="43" t="n">
        <x:v>4</x:v>
      </x:c>
      <x:c r="J501" s="43" t="n">
        <x:v>19</x:v>
      </x:c>
      <x:c r="K501" s="43" t="str">
        <x:v>No boarders</x:v>
      </x:c>
      <x:c r="L501" s="43" t="str">
        <x:v>Has a sixth form</x:v>
      </x:c>
      <x:c r="M501" s="43" t="n">
        <x:v>209</x:v>
      </x:c>
      <x:c r="N501" s="43" t="str">
        <x:v>https://www.beechhallschool.org</x:v>
      </x:c>
      <x:c r="O501" s="43" t="str">
        <x:v>01625422192</x:v>
      </x:c>
      <x:c r="P501" s="43" t="str"/>
      <x:c r="Q501" s="43" t="str"/>
      <x:c r="R501" s="43" t="str">
        <x:v>Queued for contact research</x:v>
      </x:c>
      <x:c r="S501" s="43" t="str">
        <x:v>Not reviewed</x:v>
      </x:c>
      <x:c r="T501" s="43" t="str">
        <x:v>Hold</x:v>
      </x:c>
      <x:c r="U501" s="43" t="str">
        <x:v>No</x:v>
      </x:c>
      <x:c r="V501" s="44"/>
      <x:c r="W501" s="43" t="str"/>
      <x:c r="X501" s="43" t="str"/>
      <x:c r="Y501" s="43" t="str"/>
      <x:c r="Z501" s="43" t="str">
        <x:v>https://www.get-information-schools.service.gov.uk/Downloads</x:v>
      </x:c>
    </x:row>
    <x:row r="502">
      <x:c r="A502" s="43" t="str">
        <x:v>UK independent</x:v>
      </x:c>
      <x:c r="B502" s="43" t="str">
        <x:v>100200</x:v>
      </x:c>
      <x:c r="C502" s="43" t="n">
        <x:f>IF(K502="Boarding school",30,0)+IF(J502&gt;=18,20,0)+IF(I502&lt;=11,10,0)+IF(L502="Has a sixth form",15,0)+IF(M502&gt;=200,10,0)+IF(N502&lt;&gt;"",10,0)</x:f>
        <x:v>65</x:v>
      </x:c>
      <x:c r="D502" s="43" t="str">
        <x:f>IF(C502&gt;=85,"A",IF(C502&gt;=65,"B","C"))</x:f>
        <x:v>B</x:v>
      </x:c>
      <x:c r="E502" s="43" t="str">
        <x:v>Riverston School</x:v>
      </x:c>
      <x:c r="F502" s="43" t="str">
        <x:v>London</x:v>
      </x:c>
      <x:c r="G502" s="43" t="str"/>
      <x:c r="H502" s="43" t="str">
        <x:v>SE12 8UF</x:v>
      </x:c>
      <x:c r="I502" s="43" t="n">
        <x:v>1</x:v>
      </x:c>
      <x:c r="J502" s="43" t="n">
        <x:v>21</x:v>
      </x:c>
      <x:c r="K502" s="43" t="str">
        <x:v>No boarders</x:v>
      </x:c>
      <x:c r="L502" s="43" t="str">
        <x:v>Has a sixth form</x:v>
      </x:c>
      <x:c r="M502" s="43" t="n">
        <x:v>206</x:v>
      </x:c>
      <x:c r="N502" s="43" t="str">
        <x:v>https://www.riverstonschool.co.uk</x:v>
      </x:c>
      <x:c r="O502" s="43" t="str">
        <x:v>02083184327</x:v>
      </x:c>
      <x:c r="P502" s="43" t="str"/>
      <x:c r="Q502" s="43" t="str"/>
      <x:c r="R502" s="43" t="str">
        <x:v>Queued for contact research</x:v>
      </x:c>
      <x:c r="S502" s="43" t="str">
        <x:v>Not reviewed</x:v>
      </x:c>
      <x:c r="T502" s="43" t="str">
        <x:v>Hold</x:v>
      </x:c>
      <x:c r="U502" s="43" t="str">
        <x:v>No</x:v>
      </x:c>
      <x:c r="V502" s="44"/>
      <x:c r="W502" s="43" t="str"/>
      <x:c r="X502" s="43" t="str"/>
      <x:c r="Y502" s="43" t="str"/>
      <x:c r="Z502" s="43" t="str">
        <x:v>https://www.get-information-schools.service.gov.uk/Downloads</x:v>
      </x:c>
    </x:row>
    <x:row r="503">
      <x:c r="A503" s="43" t="str">
        <x:v>UK independent</x:v>
      </x:c>
      <x:c r="B503" s="43" t="str">
        <x:v>144795</x:v>
      </x:c>
      <x:c r="C503" s="43" t="n">
        <x:f>IF(K503="Boarding school",30,0)+IF(J503&gt;=18,20,0)+IF(I503&lt;=11,10,0)+IF(L503="Has a sixth form",15,0)+IF(M503&gt;=200,10,0)+IF(N503&lt;&gt;"",10,0)</x:f>
        <x:v>65</x:v>
      </x:c>
      <x:c r="D503" s="43" t="str">
        <x:f>IF(C503&gt;=85,"A",IF(C503&gt;=65,"B","C"))</x:f>
        <x:v>B</x:v>
      </x:c>
      <x:c r="E503" s="43" t="str">
        <x:v>London Park School Mayfair and London Park School Sixth</x:v>
      </x:c>
      <x:c r="F503" s="43" t="str">
        <x:v>London</x:v>
      </x:c>
      <x:c r="G503" s="43" t="str"/>
      <x:c r="H503" s="43" t="str">
        <x:v>W1J 7NL</x:v>
      </x:c>
      <x:c r="I503" s="43" t="n">
        <x:v>11</x:v>
      </x:c>
      <x:c r="J503" s="43" t="n">
        <x:v>18</x:v>
      </x:c>
      <x:c r="K503" s="43" t="str">
        <x:v>No boarders</x:v>
      </x:c>
      <x:c r="L503" s="43" t="str">
        <x:v>Has a sixth form</x:v>
      </x:c>
      <x:c r="M503" s="43" t="n">
        <x:v>202</x:v>
      </x:c>
      <x:c r="N503" s="43" t="str">
        <x:v>https://www.londonparkschools.com/mayfair/</x:v>
      </x:c>
      <x:c r="O503" s="43" t="str">
        <x:v>02074917393</x:v>
      </x:c>
      <x:c r="P503" s="43" t="str"/>
      <x:c r="Q503" s="43" t="str"/>
      <x:c r="R503" s="43" t="str">
        <x:v>Queued for contact research</x:v>
      </x:c>
      <x:c r="S503" s="43" t="str">
        <x:v>Not reviewed</x:v>
      </x:c>
      <x:c r="T503" s="43" t="str">
        <x:v>Hold</x:v>
      </x:c>
      <x:c r="U503" s="43" t="str">
        <x:v>No</x:v>
      </x:c>
      <x:c r="V503" s="44"/>
      <x:c r="W503" s="43" t="str"/>
      <x:c r="X503" s="43" t="str"/>
      <x:c r="Y503" s="43" t="str"/>
      <x:c r="Z503" s="43" t="str">
        <x:v>https://www.get-information-schools.service.gov.uk/Downloads</x:v>
      </x:c>
    </x:row>
    <x:row r="504">
      <x:c r="A504" s="43" t="str">
        <x:v>UK independent</x:v>
      </x:c>
      <x:c r="B504" s="43" t="str">
        <x:v>122151</x:v>
      </x:c>
      <x:c r="C504" s="43" t="n">
        <x:f>IF(K504="Boarding school",30,0)+IF(J504&gt;=18,20,0)+IF(I504&lt;=11,10,0)+IF(L504="Has a sixth form",15,0)+IF(M504&gt;=200,10,0)+IF(N504&lt;&gt;"",10,0)</x:f>
        <x:v>65</x:v>
      </x:c>
      <x:c r="D504" s="43" t="str">
        <x:f>IF(C504&gt;=85,"A",IF(C504&gt;=65,"B","C"))</x:f>
        <x:v>B</x:v>
      </x:c>
      <x:c r="E504" s="43" t="str">
        <x:v>Pitsford School</x:v>
      </x:c>
      <x:c r="F504" s="43" t="str">
        <x:v>Northampton</x:v>
      </x:c>
      <x:c r="G504" s="43" t="str">
        <x:v>Northamptonshire</x:v>
      </x:c>
      <x:c r="H504" s="43" t="str">
        <x:v>NN6 9AX</x:v>
      </x:c>
      <x:c r="I504" s="43" t="n">
        <x:v>3</x:v>
      </x:c>
      <x:c r="J504" s="43" t="n">
        <x:v>18</x:v>
      </x:c>
      <x:c r="K504" s="43" t="str">
        <x:v>No boarders</x:v>
      </x:c>
      <x:c r="L504" s="43" t="str">
        <x:v>Has a sixth form</x:v>
      </x:c>
      <x:c r="M504" s="43" t="n">
        <x:v>201</x:v>
      </x:c>
      <x:c r="N504" s="43" t="str">
        <x:v>https://www.pitsfordschool.com</x:v>
      </x:c>
      <x:c r="O504" s="43" t="str">
        <x:v>01604880306</x:v>
      </x:c>
      <x:c r="P504" s="43" t="str"/>
      <x:c r="Q504" s="43" t="str"/>
      <x:c r="R504" s="43" t="str">
        <x:v>Queued for contact research</x:v>
      </x:c>
      <x:c r="S504" s="43" t="str">
        <x:v>Not reviewed</x:v>
      </x:c>
      <x:c r="T504" s="43" t="str">
        <x:v>Hold</x:v>
      </x:c>
      <x:c r="U504" s="43" t="str">
        <x:v>No</x:v>
      </x:c>
      <x:c r="V504" s="44"/>
      <x:c r="W504" s="43" t="str"/>
      <x:c r="X504" s="43" t="str"/>
      <x:c r="Y504" s="43" t="str"/>
      <x:c r="Z504" s="43" t="str">
        <x:v>https://www.get-information-schools.service.gov.uk/Downloads</x:v>
      </x:c>
    </x:row>
    <x:row r="505">
      <x:c r="A505" s="43" t="str">
        <x:v>UK independent</x:v>
      </x:c>
      <x:c r="B505" s="43" t="str">
        <x:v>100862</x:v>
      </x:c>
      <x:c r="C505" s="43" t="n">
        <x:f>IF(K505="Boarding school",30,0)+IF(J505&gt;=18,20,0)+IF(I505&lt;=11,10,0)+IF(L505="Has a sixth form",15,0)+IF(M505&gt;=200,10,0)+IF(N505&lt;&gt;"",10,0)</x:f>
        <x:v>60</x:v>
      </x:c>
      <x:c r="D505" s="43" t="str">
        <x:f>IF(C505&gt;=85,"A",IF(C505&gt;=65,"B","C"))</x:f>
        <x:v>C</x:v>
      </x:c>
      <x:c r="E505" s="43" t="str">
        <x:v>Dulwich Prep &amp; Senior</x:v>
      </x:c>
      <x:c r="F505" s="43" t="str"/>
      <x:c r="G505" s="43" t="str"/>
      <x:c r="H505" s="43" t="str">
        <x:v>SE21 7AA</x:v>
      </x:c>
      <x:c r="I505" s="43" t="n">
        <x:v>2</x:v>
      </x:c>
      <x:c r="J505" s="43" t="n">
        <x:v>16</x:v>
      </x:c>
      <x:c r="K505" s="43" t="str">
        <x:v>Boarding school</x:v>
      </x:c>
      <x:c r="L505" s="43" t="str">
        <x:v>Does not have a sixth form</x:v>
      </x:c>
      <x:c r="M505" s="43" t="n">
        <x:v>808</x:v>
      </x:c>
      <x:c r="N505" s="43" t="str">
        <x:v>https://www.dulwichprepsenior.org.uk</x:v>
      </x:c>
      <x:c r="O505" s="43" t="str">
        <x:v>02087665500</x:v>
      </x:c>
      <x:c r="P505" s="43" t="str"/>
      <x:c r="Q505" s="43" t="str"/>
      <x:c r="R505" s="43" t="str">
        <x:v>Queued for contact research</x:v>
      </x:c>
      <x:c r="S505" s="43" t="str">
        <x:v>Not reviewed</x:v>
      </x:c>
      <x:c r="T505" s="43" t="str">
        <x:v>Hold</x:v>
      </x:c>
      <x:c r="U505" s="43" t="str">
        <x:v>No</x:v>
      </x:c>
      <x:c r="V505" s="44"/>
      <x:c r="W505" s="43" t="str"/>
      <x:c r="X505" s="43" t="str"/>
      <x:c r="Y505" s="43" t="str"/>
      <x:c r="Z505" s="43" t="str">
        <x:v>https://www.get-information-schools.service.gov.uk/Downloads</x:v>
      </x:c>
    </x:row>
    <x:row r="506">
      <x:c r="A506" s="43" t="str">
        <x:v>UK independent</x:v>
      </x:c>
      <x:c r="B506" s="43" t="str">
        <x:v>110135</x:v>
      </x:c>
      <x:c r="C506" s="43" t="n">
        <x:f>IF(K506="Boarding school",30,0)+IF(J506&gt;=18,20,0)+IF(I506&lt;=11,10,0)+IF(L506="Has a sixth form",15,0)+IF(M506&gt;=200,10,0)+IF(N506&lt;&gt;"",10,0)</x:f>
        <x:v>60</x:v>
      </x:c>
      <x:c r="D506" s="43" t="str">
        <x:f>IF(C506&gt;=85,"A",IF(C506&gt;=65,"B","C"))</x:f>
        <x:v>C</x:v>
      </x:c>
      <x:c r="E506" s="43" t="str">
        <x:v>Lambrook School</x:v>
      </x:c>
      <x:c r="F506" s="43" t="str">
        <x:v>Bracknell</x:v>
      </x:c>
      <x:c r="G506" s="43" t="str">
        <x:v>Berkshire</x:v>
      </x:c>
      <x:c r="H506" s="43" t="str">
        <x:v>RG42 6LU</x:v>
      </x:c>
      <x:c r="I506" s="43" t="n">
        <x:v>3</x:v>
      </x:c>
      <x:c r="J506" s="43" t="n">
        <x:v>13</x:v>
      </x:c>
      <x:c r="K506" s="43" t="str">
        <x:v>Boarding school</x:v>
      </x:c>
      <x:c r="L506" s="43" t="str">
        <x:v>Does not have a sixth form</x:v>
      </x:c>
      <x:c r="M506" s="43" t="n">
        <x:v>622</x:v>
      </x:c>
      <x:c r="N506" s="43" t="str">
        <x:v>https://www.lambrookschool.co.uk</x:v>
      </x:c>
      <x:c r="O506" s="43" t="str">
        <x:v>01344882717</x:v>
      </x:c>
      <x:c r="P506" s="43" t="str"/>
      <x:c r="Q506" s="43" t="str"/>
      <x:c r="R506" s="43" t="str">
        <x:v>Queued for contact research</x:v>
      </x:c>
      <x:c r="S506" s="43" t="str">
        <x:v>Not reviewed</x:v>
      </x:c>
      <x:c r="T506" s="43" t="str">
        <x:v>Hold</x:v>
      </x:c>
      <x:c r="U506" s="43" t="str">
        <x:v>No</x:v>
      </x:c>
      <x:c r="V506" s="44"/>
      <x:c r="W506" s="43" t="str"/>
      <x:c r="X506" s="43" t="str"/>
      <x:c r="Y506" s="43" t="str"/>
      <x:c r="Z506" s="43" t="str">
        <x:v>https://www.get-information-schools.service.gov.uk/Downloads</x:v>
      </x:c>
    </x:row>
    <x:row r="507">
      <x:c r="A507" s="43" t="str">
        <x:v>UK independent</x:v>
      </x:c>
      <x:c r="B507" s="43" t="str">
        <x:v>135321</x:v>
      </x:c>
      <x:c r="C507" s="43" t="n">
        <x:f>IF(K507="Boarding school",30,0)+IF(J507&gt;=18,20,0)+IF(I507&lt;=11,10,0)+IF(L507="Has a sixth form",15,0)+IF(M507&gt;=200,10,0)+IF(N507&lt;&gt;"",10,0)</x:f>
        <x:v>60</x:v>
      </x:c>
      <x:c r="D507" s="43" t="str">
        <x:f>IF(C507&gt;=85,"A",IF(C507&gt;=65,"B","C"))</x:f>
        <x:v>C</x:v>
      </x:c>
      <x:c r="E507" s="43" t="str">
        <x:v>Taunton Preparatory School</x:v>
      </x:c>
      <x:c r="F507" s="43" t="str">
        <x:v>Taunton</x:v>
      </x:c>
      <x:c r="G507" s="43" t="str">
        <x:v>Somerset</x:v>
      </x:c>
      <x:c r="H507" s="43" t="str">
        <x:v>TA2 6AE</x:v>
      </x:c>
      <x:c r="I507" s="43" t="n">
        <x:v>0</x:v>
      </x:c>
      <x:c r="J507" s="43" t="n">
        <x:v>13</x:v>
      </x:c>
      <x:c r="K507" s="43" t="str">
        <x:v>Boarding school</x:v>
      </x:c>
      <x:c r="L507" s="43" t="str">
        <x:v>Not applicable</x:v>
      </x:c>
      <x:c r="M507" s="43" t="n">
        <x:v>588</x:v>
      </x:c>
      <x:c r="N507" s="43" t="str">
        <x:v>https://www.tauntonschool.co.uk</x:v>
      </x:c>
      <x:c r="O507" s="43" t="str">
        <x:v>01823703307</x:v>
      </x:c>
      <x:c r="P507" s="43" t="str"/>
      <x:c r="Q507" s="43" t="str"/>
      <x:c r="R507" s="43" t="str">
        <x:v>Queued for contact research</x:v>
      </x:c>
      <x:c r="S507" s="43" t="str">
        <x:v>Not reviewed</x:v>
      </x:c>
      <x:c r="T507" s="43" t="str">
        <x:v>Hold</x:v>
      </x:c>
      <x:c r="U507" s="43" t="str">
        <x:v>No</x:v>
      </x:c>
      <x:c r="V507" s="44"/>
      <x:c r="W507" s="43" t="str"/>
      <x:c r="X507" s="43" t="str"/>
      <x:c r="Y507" s="43" t="str"/>
      <x:c r="Z507" s="43" t="str">
        <x:v>https://www.get-information-schools.service.gov.uk/Downloads</x:v>
      </x:c>
    </x:row>
    <x:row r="508">
      <x:c r="A508" s="43" t="str">
        <x:v>UK independent</x:v>
      </x:c>
      <x:c r="B508" s="43" t="str">
        <x:v>118990</x:v>
      </x:c>
      <x:c r="C508" s="43" t="n">
        <x:f>IF(K508="Boarding school",30,0)+IF(J508&gt;=18,20,0)+IF(I508&lt;=11,10,0)+IF(L508="Has a sixth form",15,0)+IF(M508&gt;=200,10,0)+IF(N508&lt;&gt;"",10,0)</x:f>
        <x:v>60</x:v>
      </x:c>
      <x:c r="D508" s="43" t="str">
        <x:f>IF(C508&gt;=85,"A",IF(C508&gt;=65,"B","C"))</x:f>
        <x:v>C</x:v>
      </x:c>
      <x:c r="E508" s="43" t="str">
        <x:v>The Dulwich School Cranbrook</x:v>
      </x:c>
      <x:c r="F508" s="43" t="str">
        <x:v>CRANBROOK</x:v>
      </x:c>
      <x:c r="G508" s="43" t="str">
        <x:v>Kent</x:v>
      </x:c>
      <x:c r="H508" s="43" t="str">
        <x:v>TN17 3NP</x:v>
      </x:c>
      <x:c r="I508" s="43" t="n">
        <x:v>2</x:v>
      </x:c>
      <x:c r="J508" s="43" t="n">
        <x:v>17</x:v>
      </x:c>
      <x:c r="K508" s="43" t="str">
        <x:v>Boarding school</x:v>
      </x:c>
      <x:c r="L508" s="43" t="str">
        <x:v>Does not have a sixth form</x:v>
      </x:c>
      <x:c r="M508" s="43" t="n">
        <x:v>536</x:v>
      </x:c>
      <x:c r="N508" s="43" t="str">
        <x:v>https://www.dulwichcranbrook.org</x:v>
      </x:c>
      <x:c r="O508" s="43" t="str">
        <x:v>01580712179</x:v>
      </x:c>
      <x:c r="P508" s="43" t="str"/>
      <x:c r="Q508" s="43" t="str"/>
      <x:c r="R508" s="43" t="str">
        <x:v>Queued for contact research</x:v>
      </x:c>
      <x:c r="S508" s="43" t="str">
        <x:v>Not reviewed</x:v>
      </x:c>
      <x:c r="T508" s="43" t="str">
        <x:v>Hold</x:v>
      </x:c>
      <x:c r="U508" s="43" t="str">
        <x:v>No</x:v>
      </x:c>
      <x:c r="V508" s="44"/>
      <x:c r="W508" s="43" t="str"/>
      <x:c r="X508" s="43" t="str"/>
      <x:c r="Y508" s="43" t="str"/>
      <x:c r="Z508" s="43" t="str">
        <x:v>https://www.get-information-schools.service.gov.uk/Downloads</x:v>
      </x:c>
    </x:row>
    <x:row r="509">
      <x:c r="A509" s="43" t="str">
        <x:v>UK independent</x:v>
      </x:c>
      <x:c r="B509" s="43" t="str">
        <x:v>117621</x:v>
      </x:c>
      <x:c r="C509" s="43" t="n">
        <x:f>IF(K509="Boarding school",30,0)+IF(J509&gt;=18,20,0)+IF(I509&lt;=11,10,0)+IF(L509="Has a sixth form",15,0)+IF(M509&gt;=200,10,0)+IF(N509&lt;&gt;"",10,0)</x:f>
        <x:v>60</x:v>
      </x:c>
      <x:c r="D509" s="43" t="str">
        <x:f>IF(C509&gt;=85,"A",IF(C509&gt;=65,"B","C"))</x:f>
        <x:v>C</x:v>
      </x:c>
      <x:c r="E509" s="43" t="str">
        <x:v>Heath Mount School</x:v>
      </x:c>
      <x:c r="F509" s="43" t="str">
        <x:v>Hertford</x:v>
      </x:c>
      <x:c r="G509" s="43" t="str">
        <x:v>Hertfordshire</x:v>
      </x:c>
      <x:c r="H509" s="43" t="str">
        <x:v>SG14 3NG</x:v>
      </x:c>
      <x:c r="I509" s="43" t="n">
        <x:v>2</x:v>
      </x:c>
      <x:c r="J509" s="43" t="n">
        <x:v>13</x:v>
      </x:c>
      <x:c r="K509" s="43" t="str">
        <x:v>Boarding school</x:v>
      </x:c>
      <x:c r="L509" s="43" t="str">
        <x:v>Does not have a sixth form</x:v>
      </x:c>
      <x:c r="M509" s="43" t="n">
        <x:v>503</x:v>
      </x:c>
      <x:c r="N509" s="43" t="str">
        <x:v>https://www.heathmount.org</x:v>
      </x:c>
      <x:c r="O509" s="43" t="str">
        <x:v>01920830230</x:v>
      </x:c>
      <x:c r="P509" s="43" t="str"/>
      <x:c r="Q509" s="43" t="str"/>
      <x:c r="R509" s="43" t="str">
        <x:v>Queued for contact research</x:v>
      </x:c>
      <x:c r="S509" s="43" t="str">
        <x:v>Not reviewed</x:v>
      </x:c>
      <x:c r="T509" s="43" t="str">
        <x:v>Hold</x:v>
      </x:c>
      <x:c r="U509" s="43" t="str">
        <x:v>No</x:v>
      </x:c>
      <x:c r="V509" s="44"/>
      <x:c r="W509" s="43" t="str"/>
      <x:c r="X509" s="43" t="str"/>
      <x:c r="Y509" s="43" t="str"/>
      <x:c r="Z509" s="43" t="str">
        <x:v>https://www.get-information-schools.service.gov.uk/Downloads</x:v>
      </x:c>
    </x:row>
    <x:row r="510">
      <x:c r="A510" s="43" t="str">
        <x:v>UK independent</x:v>
      </x:c>
      <x:c r="B510" s="43" t="str">
        <x:v>116558</x:v>
      </x:c>
      <x:c r="C510" s="43" t="n">
        <x:f>IF(K510="Boarding school",30,0)+IF(J510&gt;=18,20,0)+IF(I510&lt;=11,10,0)+IF(L510="Has a sixth form",15,0)+IF(M510&gt;=200,10,0)+IF(N510&lt;&gt;"",10,0)</x:f>
        <x:v>60</x:v>
      </x:c>
      <x:c r="D510" s="43" t="str">
        <x:f>IF(C510&gt;=85,"A",IF(C510&gt;=65,"B","C"))</x:f>
        <x:v>C</x:v>
      </x:c>
      <x:c r="E510" s="43" t="str">
        <x:v>Boundary Oak School</x:v>
      </x:c>
      <x:c r="F510" s="43" t="str">
        <x:v>Fareham</x:v>
      </x:c>
      <x:c r="G510" s="43" t="str">
        <x:v>Hampshire</x:v>
      </x:c>
      <x:c r="H510" s="43" t="str">
        <x:v>PO17 5BL</x:v>
      </x:c>
      <x:c r="I510" s="43" t="n">
        <x:v>2</x:v>
      </x:c>
      <x:c r="J510" s="43" t="n">
        <x:v>17</x:v>
      </x:c>
      <x:c r="K510" s="43" t="str">
        <x:v>Boarding school</x:v>
      </x:c>
      <x:c r="L510" s="43" t="str">
        <x:v>Does not have a sixth form</x:v>
      </x:c>
      <x:c r="M510" s="43" t="n">
        <x:v>465</x:v>
      </x:c>
      <x:c r="N510" s="43" t="str">
        <x:v>https://www.boundaryoakschool.co.uk</x:v>
      </x:c>
      <x:c r="O510" s="43" t="str">
        <x:v>01329280955</x:v>
      </x:c>
      <x:c r="P510" s="43" t="str"/>
      <x:c r="Q510" s="43" t="str"/>
      <x:c r="R510" s="43" t="str">
        <x:v>Queued for contact research</x:v>
      </x:c>
      <x:c r="S510" s="43" t="str">
        <x:v>Not reviewed</x:v>
      </x:c>
      <x:c r="T510" s="43" t="str">
        <x:v>Hold</x:v>
      </x:c>
      <x:c r="U510" s="43" t="str">
        <x:v>No</x:v>
      </x:c>
      <x:c r="V510" s="44"/>
      <x:c r="W510" s="43" t="str"/>
      <x:c r="X510" s="43" t="str"/>
      <x:c r="Y510" s="43" t="str"/>
      <x:c r="Z510" s="43" t="str">
        <x:v>https://www.get-information-schools.service.gov.uk/Downloads</x:v>
      </x:c>
    </x:row>
    <x:row r="511">
      <x:c r="A511" s="43" t="str">
        <x:v>UK independent</x:v>
      </x:c>
      <x:c r="B511" s="43" t="str">
        <x:v>125407</x:v>
      </x:c>
      <x:c r="C511" s="43" t="n">
        <x:f>IF(K511="Boarding school",30,0)+IF(J511&gt;=18,20,0)+IF(I511&lt;=11,10,0)+IF(L511="Has a sixth form",15,0)+IF(M511&gt;=200,10,0)+IF(N511&lt;&gt;"",10,0)</x:f>
        <x:v>60</x:v>
      </x:c>
      <x:c r="D511" s="43" t="str">
        <x:f>IF(C511&gt;=85,"A",IF(C511&gt;=65,"B","C"))</x:f>
        <x:v>C</x:v>
      </x:c>
      <x:c r="E511" s="43" t="str">
        <x:v>Hall Grove School</x:v>
      </x:c>
      <x:c r="F511" s="43" t="str">
        <x:v>Bagshot</x:v>
      </x:c>
      <x:c r="G511" s="43" t="str">
        <x:v>Surrey</x:v>
      </x:c>
      <x:c r="H511" s="43" t="str">
        <x:v>GU19 5HZ</x:v>
      </x:c>
      <x:c r="I511" s="43" t="n">
        <x:v>3</x:v>
      </x:c>
      <x:c r="J511" s="43" t="n">
        <x:v>16</x:v>
      </x:c>
      <x:c r="K511" s="43" t="str">
        <x:v>Boarding school</x:v>
      </x:c>
      <x:c r="L511" s="43" t="str">
        <x:v>Does not have a sixth form</x:v>
      </x:c>
      <x:c r="M511" s="43" t="n">
        <x:v>451</x:v>
      </x:c>
      <x:c r="N511" s="43" t="str">
        <x:v>https://www.hallgrove.co.uk</x:v>
      </x:c>
      <x:c r="O511" s="43" t="str">
        <x:v>01276473059</x:v>
      </x:c>
      <x:c r="P511" s="43" t="str"/>
      <x:c r="Q511" s="43" t="str"/>
      <x:c r="R511" s="43" t="str">
        <x:v>Queued for contact research</x:v>
      </x:c>
      <x:c r="S511" s="43" t="str">
        <x:v>Not reviewed</x:v>
      </x:c>
      <x:c r="T511" s="43" t="str">
        <x:v>Hold</x:v>
      </x:c>
      <x:c r="U511" s="43" t="str">
        <x:v>No</x:v>
      </x:c>
      <x:c r="V511" s="44"/>
      <x:c r="W511" s="43" t="str"/>
      <x:c r="X511" s="43" t="str"/>
      <x:c r="Y511" s="43" t="str"/>
      <x:c r="Z511" s="43" t="str">
        <x:v>https://www.get-information-schools.service.gov.uk/Downloads</x:v>
      </x:c>
    </x:row>
    <x:row r="512">
      <x:c r="A512" s="43" t="str">
        <x:v>UK independent</x:v>
      </x:c>
      <x:c r="B512" s="43" t="str">
        <x:v>117620</x:v>
      </x:c>
      <x:c r="C512" s="43" t="n">
        <x:f>IF(K512="Boarding school",30,0)+IF(J512&gt;=18,20,0)+IF(I512&lt;=11,10,0)+IF(L512="Has a sixth form",15,0)+IF(M512&gt;=200,10,0)+IF(N512&lt;&gt;"",10,0)</x:f>
        <x:v>60</x:v>
      </x:c>
      <x:c r="D512" s="43" t="str">
        <x:f>IF(C512&gt;=85,"A",IF(C512&gt;=65,"B","C"))</x:f>
        <x:v>C</x:v>
      </x:c>
      <x:c r="E512" s="43" t="str">
        <x:v>Beechwood Park School</x:v>
      </x:c>
      <x:c r="F512" s="43" t="str">
        <x:v>St Albans</x:v>
      </x:c>
      <x:c r="G512" s="43" t="str">
        <x:v>Hertfordshire</x:v>
      </x:c>
      <x:c r="H512" s="43" t="str">
        <x:v>AL3 8AW</x:v>
      </x:c>
      <x:c r="I512" s="43" t="n">
        <x:v>2</x:v>
      </x:c>
      <x:c r="J512" s="43" t="n">
        <x:v>13</x:v>
      </x:c>
      <x:c r="K512" s="43" t="str">
        <x:v>Boarding school</x:v>
      </x:c>
      <x:c r="L512" s="43" t="str">
        <x:v>Does not have a sixth form</x:v>
      </x:c>
      <x:c r="M512" s="43" t="n">
        <x:v>445</x:v>
      </x:c>
      <x:c r="N512" s="43" t="str">
        <x:v>https://www.beechwoodpark.com</x:v>
      </x:c>
      <x:c r="O512" s="43" t="str">
        <x:v>01582840333</x:v>
      </x:c>
      <x:c r="P512" s="43" t="str"/>
      <x:c r="Q512" s="43" t="str"/>
      <x:c r="R512" s="43" t="str">
        <x:v>Queued for contact research</x:v>
      </x:c>
      <x:c r="S512" s="43" t="str">
        <x:v>Not reviewed</x:v>
      </x:c>
      <x:c r="T512" s="43" t="str">
        <x:v>Hold</x:v>
      </x:c>
      <x:c r="U512" s="43" t="str">
        <x:v>No</x:v>
      </x:c>
      <x:c r="V512" s="44"/>
      <x:c r="W512" s="43" t="str"/>
      <x:c r="X512" s="43" t="str"/>
      <x:c r="Y512" s="43" t="str"/>
      <x:c r="Z512" s="43" t="str">
        <x:v>https://www.get-information-schools.service.gov.uk/Downloads</x:v>
      </x:c>
    </x:row>
    <x:row r="513">
      <x:c r="A513" s="43" t="str">
        <x:v>UK independent</x:v>
      </x:c>
      <x:c r="B513" s="43" t="str">
        <x:v>126143</x:v>
      </x:c>
      <x:c r="C513" s="43" t="n">
        <x:f>IF(K513="Boarding school",30,0)+IF(J513&gt;=18,20,0)+IF(I513&lt;=11,10,0)+IF(L513="Has a sixth form",15,0)+IF(M513&gt;=200,10,0)+IF(N513&lt;&gt;"",10,0)</x:f>
        <x:v>60</x:v>
      </x:c>
      <x:c r="D513" s="43" t="str">
        <x:f>IF(C513&gt;=85,"A",IF(C513&gt;=65,"B","C"))</x:f>
        <x:v>C</x:v>
      </x:c>
      <x:c r="E513" s="43" t="str">
        <x:v>Brighton College Prep Handcross</x:v>
      </x:c>
      <x:c r="F513" s="43" t="str">
        <x:v>Haywards Heath</x:v>
      </x:c>
      <x:c r="G513" s="43" t="str">
        <x:v>West Sussex</x:v>
      </x:c>
      <x:c r="H513" s="43" t="str">
        <x:v>RH17 6HF</x:v>
      </x:c>
      <x:c r="I513" s="43" t="n">
        <x:v>2</x:v>
      </x:c>
      <x:c r="J513" s="43" t="n">
        <x:v>14</x:v>
      </x:c>
      <x:c r="K513" s="43" t="str">
        <x:v>Boarding school</x:v>
      </x:c>
      <x:c r="L513" s="43" t="str">
        <x:v>Does not have a sixth form</x:v>
      </x:c>
      <x:c r="M513" s="43" t="n">
        <x:v>443</x:v>
      </x:c>
      <x:c r="N513" s="43" t="str">
        <x:v>https://www.brightoncollegeprephandcross.co.uk/</x:v>
      </x:c>
      <x:c r="O513" s="43" t="str">
        <x:v>01444400526</x:v>
      </x:c>
      <x:c r="P513" s="43" t="str"/>
      <x:c r="Q513" s="43" t="str"/>
      <x:c r="R513" s="43" t="str">
        <x:v>Queued for contact research</x:v>
      </x:c>
      <x:c r="S513" s="43" t="str">
        <x:v>Not reviewed</x:v>
      </x:c>
      <x:c r="T513" s="43" t="str">
        <x:v>Hold</x:v>
      </x:c>
      <x:c r="U513" s="43" t="str">
        <x:v>No</x:v>
      </x:c>
      <x:c r="V513" s="44"/>
      <x:c r="W513" s="43" t="str"/>
      <x:c r="X513" s="43" t="str"/>
      <x:c r="Y513" s="43" t="str"/>
      <x:c r="Z513" s="43" t="str">
        <x:v>https://www.get-information-schools.service.gov.uk/Downloads</x:v>
      </x:c>
    </x:row>
    <x:row r="514">
      <x:c r="A514" s="43" t="str">
        <x:v>UK independent</x:v>
      </x:c>
      <x:c r="B514" s="43" t="str">
        <x:v>118950</x:v>
      </x:c>
      <x:c r="C514" s="43" t="n">
        <x:f>IF(K514="Boarding school",30,0)+IF(J514&gt;=18,20,0)+IF(I514&lt;=11,10,0)+IF(L514="Has a sixth form",15,0)+IF(M514&gt;=200,10,0)+IF(N514&lt;&gt;"",10,0)</x:f>
        <x:v>60</x:v>
      </x:c>
      <x:c r="D514" s="43" t="str">
        <x:f>IF(C514&gt;=85,"A",IF(C514&gt;=65,"B","C"))</x:f>
        <x:v>C</x:v>
      </x:c>
      <x:c r="E514" s="43" t="str">
        <x:v>Holmewood House School</x:v>
      </x:c>
      <x:c r="F514" s="43" t="str">
        <x:v>Tunbridge Wells</x:v>
      </x:c>
      <x:c r="G514" s="43" t="str">
        <x:v>Kent</x:v>
      </x:c>
      <x:c r="H514" s="43" t="str">
        <x:v>TN3 0EB</x:v>
      </x:c>
      <x:c r="I514" s="43" t="n">
        <x:v>2</x:v>
      </x:c>
      <x:c r="J514" s="43" t="n">
        <x:v>13</x:v>
      </x:c>
      <x:c r="K514" s="43" t="str">
        <x:v>Boarding school</x:v>
      </x:c>
      <x:c r="L514" s="43" t="str">
        <x:v>Does not have a sixth form</x:v>
      </x:c>
      <x:c r="M514" s="43" t="n">
        <x:v>439</x:v>
      </x:c>
      <x:c r="N514" s="43" t="str">
        <x:v>https://www.holmewoodhouse.co.uk</x:v>
      </x:c>
      <x:c r="O514" s="43" t="str">
        <x:v>01892860000</x:v>
      </x:c>
      <x:c r="P514" s="43" t="str"/>
      <x:c r="Q514" s="43" t="str"/>
      <x:c r="R514" s="43" t="str">
        <x:v>Queued for contact research</x:v>
      </x:c>
      <x:c r="S514" s="43" t="str">
        <x:v>Not reviewed</x:v>
      </x:c>
      <x:c r="T514" s="43" t="str">
        <x:v>Hold</x:v>
      </x:c>
      <x:c r="U514" s="43" t="str">
        <x:v>No</x:v>
      </x:c>
      <x:c r="V514" s="44"/>
      <x:c r="W514" s="43" t="str"/>
      <x:c r="X514" s="43" t="str"/>
      <x:c r="Y514" s="43" t="str"/>
      <x:c r="Z514" s="43" t="str">
        <x:v>https://www.get-information-schools.service.gov.uk/Downloads</x:v>
      </x:c>
    </x:row>
    <x:row r="515">
      <x:c r="A515" s="43" t="str">
        <x:v>UK independent</x:v>
      </x:c>
      <x:c r="B515" s="43" t="str">
        <x:v>116542</x:v>
      </x:c>
      <x:c r="C515" s="43" t="n">
        <x:f>IF(K515="Boarding school",30,0)+IF(J515&gt;=18,20,0)+IF(I515&lt;=11,10,0)+IF(L515="Has a sixth form",15,0)+IF(M515&gt;=200,10,0)+IF(N515&lt;&gt;"",10,0)</x:f>
        <x:v>60</x:v>
      </x:c>
      <x:c r="D515" s="43" t="str">
        <x:f>IF(C515&gt;=85,"A",IF(C515&gt;=65,"B","C"))</x:f>
        <x:v>C</x:v>
      </x:c>
      <x:c r="E515" s="43" t="str">
        <x:v>Farleigh School</x:v>
      </x:c>
      <x:c r="F515" s="43" t="str">
        <x:v>Andover</x:v>
      </x:c>
      <x:c r="G515" s="43" t="str">
        <x:v>Hampshire</x:v>
      </x:c>
      <x:c r="H515" s="43" t="str">
        <x:v>SP11 7PW</x:v>
      </x:c>
      <x:c r="I515" s="43" t="n">
        <x:v>2</x:v>
      </x:c>
      <x:c r="J515" s="43" t="n">
        <x:v>14</x:v>
      </x:c>
      <x:c r="K515" s="43" t="str">
        <x:v>Boarding school</x:v>
      </x:c>
      <x:c r="L515" s="43" t="str">
        <x:v>Does not have a sixth form</x:v>
      </x:c>
      <x:c r="M515" s="43" t="n">
        <x:v>435</x:v>
      </x:c>
      <x:c r="N515" s="43" t="str">
        <x:v>https://www.farleighschool.com</x:v>
      </x:c>
      <x:c r="O515" s="43" t="str">
        <x:v>01264710766</x:v>
      </x:c>
      <x:c r="P515" s="43" t="str"/>
      <x:c r="Q515" s="43" t="str"/>
      <x:c r="R515" s="43" t="str">
        <x:v>Queued for contact research</x:v>
      </x:c>
      <x:c r="S515" s="43" t="str">
        <x:v>Not reviewed</x:v>
      </x:c>
      <x:c r="T515" s="43" t="str">
        <x:v>Hold</x:v>
      </x:c>
      <x:c r="U515" s="43" t="str">
        <x:v>No</x:v>
      </x:c>
      <x:c r="V515" s="44"/>
      <x:c r="W515" s="43" t="str"/>
      <x:c r="X515" s="43" t="str"/>
      <x:c r="Y515" s="43" t="str"/>
      <x:c r="Z515" s="43" t="str">
        <x:v>https://www.get-information-schools.service.gov.uk/Downloads</x:v>
      </x:c>
    </x:row>
    <x:row r="516">
      <x:c r="A516" s="43" t="str">
        <x:v>UK independent</x:v>
      </x:c>
      <x:c r="B516" s="43" t="str">
        <x:v>123921</x:v>
      </x:c>
      <x:c r="C516" s="43" t="n">
        <x:f>IF(K516="Boarding school",30,0)+IF(J516&gt;=18,20,0)+IF(I516&lt;=11,10,0)+IF(L516="Has a sixth form",15,0)+IF(M516&gt;=200,10,0)+IF(N516&lt;&gt;"",10,0)</x:f>
        <x:v>60</x:v>
      </x:c>
      <x:c r="D516" s="43" t="str">
        <x:f>IF(C516&gt;=85,"A",IF(C516&gt;=65,"B","C"))</x:f>
        <x:v>C</x:v>
      </x:c>
      <x:c r="E516" s="43" t="str">
        <x:v>Millfield Preparatory School</x:v>
      </x:c>
      <x:c r="F516" s="43" t="str">
        <x:v>Glastonbury</x:v>
      </x:c>
      <x:c r="G516" s="43" t="str">
        <x:v>Somerset</x:v>
      </x:c>
      <x:c r="H516" s="43" t="str">
        <x:v>BA6 8LD</x:v>
      </x:c>
      <x:c r="I516" s="43" t="n">
        <x:v>2</x:v>
      </x:c>
      <x:c r="J516" s="43" t="n">
        <x:v>13</x:v>
      </x:c>
      <x:c r="K516" s="43" t="str">
        <x:v>Boarding school</x:v>
      </x:c>
      <x:c r="L516" s="43" t="str">
        <x:v>Does not have a sixth form</x:v>
      </x:c>
      <x:c r="M516" s="43" t="n">
        <x:v>435</x:v>
      </x:c>
      <x:c r="N516" s="43" t="str">
        <x:v>https://www.millfieldschool.com/prep-7-13</x:v>
      </x:c>
      <x:c r="O516" s="43" t="str">
        <x:v>01458832446</x:v>
      </x:c>
      <x:c r="P516" s="43" t="str"/>
      <x:c r="Q516" s="43" t="str"/>
      <x:c r="R516" s="43" t="str">
        <x:v>Queued for contact research</x:v>
      </x:c>
      <x:c r="S516" s="43" t="str">
        <x:v>Not reviewed</x:v>
      </x:c>
      <x:c r="T516" s="43" t="str">
        <x:v>Hold</x:v>
      </x:c>
      <x:c r="U516" s="43" t="str">
        <x:v>No</x:v>
      </x:c>
      <x:c r="V516" s="44"/>
      <x:c r="W516" s="43" t="str"/>
      <x:c r="X516" s="43" t="str"/>
      <x:c r="Y516" s="43" t="str"/>
      <x:c r="Z516" s="43" t="str">
        <x:v>https://www.get-information-schools.service.gov.uk/Downloads</x:v>
      </x:c>
    </x:row>
    <x:row r="517">
      <x:c r="A517" s="43" t="str">
        <x:v>UK independent</x:v>
      </x:c>
      <x:c r="B517" s="43" t="str">
        <x:v>125359</x:v>
      </x:c>
      <x:c r="C517" s="43" t="n">
        <x:f>IF(K517="Boarding school",30,0)+IF(J517&gt;=18,20,0)+IF(I517&lt;=11,10,0)+IF(L517="Has a sixth form",15,0)+IF(M517&gt;=200,10,0)+IF(N517&lt;&gt;"",10,0)</x:f>
        <x:v>60</x:v>
      </x:c>
      <x:c r="D517" s="43" t="str">
        <x:f>IF(C517&gt;=85,"A",IF(C517&gt;=65,"B","C"))</x:f>
        <x:v>C</x:v>
      </x:c>
      <x:c r="E517" s="43" t="str">
        <x:v>Feltonfleet</x:v>
      </x:c>
      <x:c r="F517" s="43" t="str">
        <x:v>Cobham</x:v>
      </x:c>
      <x:c r="G517" s="43" t="str">
        <x:v>Surrey</x:v>
      </x:c>
      <x:c r="H517" s="43" t="str">
        <x:v>KT11 1DR</x:v>
      </x:c>
      <x:c r="I517" s="43" t="n">
        <x:v>3</x:v>
      </x:c>
      <x:c r="J517" s="43" t="n">
        <x:v>13</x:v>
      </x:c>
      <x:c r="K517" s="43" t="str">
        <x:v>Boarding school</x:v>
      </x:c>
      <x:c r="L517" s="43" t="str">
        <x:v>Does not have a sixth form</x:v>
      </x:c>
      <x:c r="M517" s="43" t="n">
        <x:v>425</x:v>
      </x:c>
      <x:c r="N517" s="43" t="str">
        <x:v>https://www.feltonfleet.co.uk</x:v>
      </x:c>
      <x:c r="O517" s="43" t="str">
        <x:v>01932862264</x:v>
      </x:c>
      <x:c r="P517" s="43" t="str"/>
      <x:c r="Q517" s="43" t="str"/>
      <x:c r="R517" s="43" t="str">
        <x:v>Queued for contact research</x:v>
      </x:c>
      <x:c r="S517" s="43" t="str">
        <x:v>Not reviewed</x:v>
      </x:c>
      <x:c r="T517" s="43" t="str">
        <x:v>Hold</x:v>
      </x:c>
      <x:c r="U517" s="43" t="str">
        <x:v>No</x:v>
      </x:c>
      <x:c r="V517" s="44"/>
      <x:c r="W517" s="43" t="str"/>
      <x:c r="X517" s="43" t="str"/>
      <x:c r="Y517" s="43" t="str"/>
      <x:c r="Z517" s="43" t="str">
        <x:v>https://www.get-information-schools.service.gov.uk/Downloads</x:v>
      </x:c>
    </x:row>
    <x:row r="518">
      <x:c r="A518" s="43" t="str">
        <x:v>UK independent</x:v>
      </x:c>
      <x:c r="B518" s="43" t="str">
        <x:v>114623</x:v>
      </x:c>
      <x:c r="C518" s="43" t="n">
        <x:f>IF(K518="Boarding school",30,0)+IF(J518&gt;=18,20,0)+IF(I518&lt;=11,10,0)+IF(L518="Has a sixth form",15,0)+IF(M518&gt;=200,10,0)+IF(N518&lt;&gt;"",10,0)</x:f>
        <x:v>60</x:v>
      </x:c>
      <x:c r="D518" s="43" t="str">
        <x:f>IF(C518&gt;=85,"A",IF(C518&gt;=65,"B","C"))</x:f>
        <x:v>C</x:v>
      </x:c>
      <x:c r="E518" s="43" t="str">
        <x:v>Cumnor House School</x:v>
      </x:c>
      <x:c r="F518" s="43" t="str">
        <x:v>Haywards Heath</x:v>
      </x:c>
      <x:c r="G518" s="43" t="str">
        <x:v>West Sussex</x:v>
      </x:c>
      <x:c r="H518" s="43" t="str">
        <x:v>RH17 7HT</x:v>
      </x:c>
      <x:c r="I518" s="43" t="n">
        <x:v>2</x:v>
      </x:c>
      <x:c r="J518" s="43" t="n">
        <x:v>14</x:v>
      </x:c>
      <x:c r="K518" s="43" t="str">
        <x:v>Boarding school</x:v>
      </x:c>
      <x:c r="L518" s="43" t="str">
        <x:v>Does not have a sixth form</x:v>
      </x:c>
      <x:c r="M518" s="43" t="n">
        <x:v>423</x:v>
      </x:c>
      <x:c r="N518" s="43" t="str">
        <x:v>https://www.cumnor.co.uk</x:v>
      </x:c>
      <x:c r="O518" s="43" t="str">
        <x:v>01825790347</x:v>
      </x:c>
      <x:c r="P518" s="43" t="str"/>
      <x:c r="Q518" s="43" t="str"/>
      <x:c r="R518" s="43" t="str">
        <x:v>Queued for contact research</x:v>
      </x:c>
      <x:c r="S518" s="43" t="str">
        <x:v>Not reviewed</x:v>
      </x:c>
      <x:c r="T518" s="43" t="str">
        <x:v>Hold</x:v>
      </x:c>
      <x:c r="U518" s="43" t="str">
        <x:v>No</x:v>
      </x:c>
      <x:c r="V518" s="44"/>
      <x:c r="W518" s="43" t="str"/>
      <x:c r="X518" s="43" t="str"/>
      <x:c r="Y518" s="43" t="str"/>
      <x:c r="Z518" s="43" t="str">
        <x:v>https://www.get-information-schools.service.gov.uk/Downloads</x:v>
      </x:c>
    </x:row>
    <x:row r="519">
      <x:c r="A519" s="43" t="str">
        <x:v>UK independent</x:v>
      </x:c>
      <x:c r="B519" s="43" t="str">
        <x:v>121743</x:v>
      </x:c>
      <x:c r="C519" s="43" t="n">
        <x:f>IF(K519="Boarding school",30,0)+IF(J519&gt;=18,20,0)+IF(I519&lt;=11,10,0)+IF(L519="Has a sixth form",15,0)+IF(M519&gt;=200,10,0)+IF(N519&lt;&gt;"",10,0)</x:f>
        <x:v>60</x:v>
      </x:c>
      <x:c r="D519" s="43" t="str">
        <x:f>IF(C519&gt;=85,"A",IF(C519&gt;=65,"B","C"))</x:f>
        <x:v>C</x:v>
      </x:c>
      <x:c r="E519" s="43" t="str">
        <x:v>Queen Ethelburga's Prep School</x:v>
      </x:c>
      <x:c r="F519" s="43" t="str">
        <x:v>York</x:v>
      </x:c>
      <x:c r="G519" s="43" t="str">
        <x:v>North Yorkshire</x:v>
      </x:c>
      <x:c r="H519" s="43" t="str">
        <x:v>YO26 9SS</x:v>
      </x:c>
      <x:c r="I519" s="43" t="n">
        <x:v>0</x:v>
      </x:c>
      <x:c r="J519" s="43" t="n">
        <x:v>15</x:v>
      </x:c>
      <x:c r="K519" s="43" t="str">
        <x:v>Boarding school</x:v>
      </x:c>
      <x:c r="L519" s="43" t="str">
        <x:v>Does not have a sixth form</x:v>
      </x:c>
      <x:c r="M519" s="43" t="n">
        <x:v>421</x:v>
      </x:c>
      <x:c r="N519" s="43" t="str">
        <x:v>https://www.qe.org</x:v>
      </x:c>
      <x:c r="O519" s="43" t="str">
        <x:v>01423333333</x:v>
      </x:c>
      <x:c r="P519" s="43" t="str"/>
      <x:c r="Q519" s="43" t="str"/>
      <x:c r="R519" s="43" t="str">
        <x:v>Queued for contact research</x:v>
      </x:c>
      <x:c r="S519" s="43" t="str">
        <x:v>Not reviewed</x:v>
      </x:c>
      <x:c r="T519" s="43" t="str">
        <x:v>Hold</x:v>
      </x:c>
      <x:c r="U519" s="43" t="str">
        <x:v>No</x:v>
      </x:c>
      <x:c r="V519" s="44"/>
      <x:c r="W519" s="43" t="str"/>
      <x:c r="X519" s="43" t="str"/>
      <x:c r="Y519" s="43" t="str"/>
      <x:c r="Z519" s="43" t="str">
        <x:v>https://www.get-information-schools.service.gov.uk/Downloads</x:v>
      </x:c>
    </x:row>
    <x:row r="520">
      <x:c r="A520" s="43" t="str">
        <x:v>UK independent</x:v>
      </x:c>
      <x:c r="B520" s="43" t="str">
        <x:v>110550</x:v>
      </x:c>
      <x:c r="C520" s="43" t="n">
        <x:f>IF(K520="Boarding school",30,0)+IF(J520&gt;=18,20,0)+IF(I520&lt;=11,10,0)+IF(L520="Has a sixth form",15,0)+IF(M520&gt;=200,10,0)+IF(N520&lt;&gt;"",10,0)</x:f>
        <x:v>60</x:v>
      </x:c>
      <x:c r="D520" s="43" t="str">
        <x:f>IF(C520&gt;=85,"A",IF(C520&gt;=65,"B","C"))</x:f>
        <x:v>C</x:v>
      </x:c>
      <x:c r="E520" s="43" t="str">
        <x:v>Beachborough School</x:v>
      </x:c>
      <x:c r="F520" s="43" t="str">
        <x:v>Brackley</x:v>
      </x:c>
      <x:c r="G520" s="43" t="str">
        <x:v>Northamptonshire</x:v>
      </x:c>
      <x:c r="H520" s="43" t="str">
        <x:v>NN13 5LB</x:v>
      </x:c>
      <x:c r="I520" s="43" t="n">
        <x:v>2</x:v>
      </x:c>
      <x:c r="J520" s="43" t="n">
        <x:v>13</x:v>
      </x:c>
      <x:c r="K520" s="43" t="str">
        <x:v>Boarding school</x:v>
      </x:c>
      <x:c r="L520" s="43" t="str">
        <x:v>Does not have a sixth form</x:v>
      </x:c>
      <x:c r="M520" s="43" t="n">
        <x:v>407</x:v>
      </x:c>
      <x:c r="N520" s="43" t="str">
        <x:v>https://www.beachborough.com</x:v>
      </x:c>
      <x:c r="O520" s="43" t="str">
        <x:v>441280700071</x:v>
      </x:c>
      <x:c r="P520" s="43" t="str"/>
      <x:c r="Q520" s="43" t="str"/>
      <x:c r="R520" s="43" t="str">
        <x:v>Queued for contact research</x:v>
      </x:c>
      <x:c r="S520" s="43" t="str">
        <x:v>Not reviewed</x:v>
      </x:c>
      <x:c r="T520" s="43" t="str">
        <x:v>Hold</x:v>
      </x:c>
      <x:c r="U520" s="43" t="str">
        <x:v>No</x:v>
      </x:c>
      <x:c r="V520" s="44"/>
      <x:c r="W520" s="43" t="str"/>
      <x:c r="X520" s="43" t="str"/>
      <x:c r="Y520" s="43" t="str"/>
      <x:c r="Z520" s="43" t="str">
        <x:v>https://www.get-information-schools.service.gov.uk/Downloads</x:v>
      </x:c>
    </x:row>
    <x:row r="521">
      <x:c r="A521" s="43" t="str">
        <x:v>UK independent</x:v>
      </x:c>
      <x:c r="B521" s="43" t="str">
        <x:v>115410</x:v>
      </x:c>
      <x:c r="C521" s="43" t="n">
        <x:f>IF(K521="Boarding school",30,0)+IF(J521&gt;=18,20,0)+IF(I521&lt;=11,10,0)+IF(L521="Has a sixth form",15,0)+IF(M521&gt;=200,10,0)+IF(N521&lt;&gt;"",10,0)</x:f>
        <x:v>60</x:v>
      </x:c>
      <x:c r="D521" s="43" t="str">
        <x:f>IF(C521&gt;=85,"A",IF(C521&gt;=65,"B","C"))</x:f>
        <x:v>C</x:v>
      </x:c>
      <x:c r="E521" s="43" t="str">
        <x:v>Holmwood House School</x:v>
      </x:c>
      <x:c r="F521" s="43" t="str">
        <x:v>Colchester</x:v>
      </x:c>
      <x:c r="G521" s="43" t="str">
        <x:v>Essex</x:v>
      </x:c>
      <x:c r="H521" s="43" t="str">
        <x:v>CO3 9ST</x:v>
      </x:c>
      <x:c r="I521" s="43" t="n">
        <x:v>0</x:v>
      </x:c>
      <x:c r="J521" s="43" t="n">
        <x:v>16</x:v>
      </x:c>
      <x:c r="K521" s="43" t="str">
        <x:v>Boarding school</x:v>
      </x:c>
      <x:c r="L521" s="43" t="str">
        <x:v>Does not have a sixth form</x:v>
      </x:c>
      <x:c r="M521" s="43" t="n">
        <x:v>395</x:v>
      </x:c>
      <x:c r="N521" s="43" t="str">
        <x:v>https://www.holmwood.house</x:v>
      </x:c>
      <x:c r="O521" s="43" t="str">
        <x:v>01206574305</x:v>
      </x:c>
      <x:c r="P521" s="43" t="str"/>
      <x:c r="Q521" s="43" t="str"/>
      <x:c r="R521" s="43" t="str">
        <x:v>Queued for contact research</x:v>
      </x:c>
      <x:c r="S521" s="43" t="str">
        <x:v>Not reviewed</x:v>
      </x:c>
      <x:c r="T521" s="43" t="str">
        <x:v>Hold</x:v>
      </x:c>
      <x:c r="U521" s="43" t="str">
        <x:v>No</x:v>
      </x:c>
      <x:c r="V521" s="44"/>
      <x:c r="W521" s="43" t="str"/>
      <x:c r="X521" s="43" t="str"/>
      <x:c r="Y521" s="43" t="str"/>
      <x:c r="Z521" s="43" t="str">
        <x:v>https://www.get-information-schools.service.gov.uk/Downloads</x:v>
      </x:c>
    </x:row>
    <x:row r="522">
      <x:c r="A522" s="43" t="str">
        <x:v>UK independent</x:v>
      </x:c>
      <x:c r="B522" s="43" t="str">
        <x:v>116536</x:v>
      </x:c>
      <x:c r="C522" s="43" t="n">
        <x:f>IF(K522="Boarding school",30,0)+IF(J522&gt;=18,20,0)+IF(I522&lt;=11,10,0)+IF(L522="Has a sixth form",15,0)+IF(M522&gt;=200,10,0)+IF(N522&lt;&gt;"",10,0)</x:f>
        <x:v>60</x:v>
      </x:c>
      <x:c r="D522" s="43" t="str">
        <x:f>IF(C522&gt;=85,"A",IF(C522&gt;=65,"B","C"))</x:f>
        <x:v>C</x:v>
      </x:c>
      <x:c r="E522" s="43" t="str">
        <x:v>Twyford School</x:v>
      </x:c>
      <x:c r="F522" s="43" t="str">
        <x:v>Winchester</x:v>
      </x:c>
      <x:c r="G522" s="43" t="str">
        <x:v>Hampshire</x:v>
      </x:c>
      <x:c r="H522" s="43" t="str">
        <x:v>SO21 1NW</x:v>
      </x:c>
      <x:c r="I522" s="43" t="n">
        <x:v>2</x:v>
      </x:c>
      <x:c r="J522" s="43" t="n">
        <x:v>13</x:v>
      </x:c>
      <x:c r="K522" s="43" t="str">
        <x:v>Boarding school</x:v>
      </x:c>
      <x:c r="L522" s="43" t="str">
        <x:v>Does not have a sixth form</x:v>
      </x:c>
      <x:c r="M522" s="43" t="n">
        <x:v>391</x:v>
      </x:c>
      <x:c r="N522" s="43" t="str">
        <x:v>http://www.twyfordschool.com</x:v>
      </x:c>
      <x:c r="O522" s="43" t="str">
        <x:v>01962712269</x:v>
      </x:c>
      <x:c r="P522" s="43" t="str"/>
      <x:c r="Q522" s="43" t="str"/>
      <x:c r="R522" s="43" t="str">
        <x:v>Queued for contact research</x:v>
      </x:c>
      <x:c r="S522" s="43" t="str">
        <x:v>Not reviewed</x:v>
      </x:c>
      <x:c r="T522" s="43" t="str">
        <x:v>Hold</x:v>
      </x:c>
      <x:c r="U522" s="43" t="str">
        <x:v>No</x:v>
      </x:c>
      <x:c r="V522" s="44"/>
      <x:c r="W522" s="43" t="str"/>
      <x:c r="X522" s="43" t="str"/>
      <x:c r="Y522" s="43" t="str"/>
      <x:c r="Z522" s="43" t="str">
        <x:v>https://www.get-information-schools.service.gov.uk/Downloads</x:v>
      </x:c>
    </x:row>
    <x:row r="523">
      <x:c r="A523" s="43" t="str">
        <x:v>UK independent</x:v>
      </x:c>
      <x:c r="B523" s="43" t="str">
        <x:v>110911</x:v>
      </x:c>
      <x:c r="C523" s="43" t="n">
        <x:f>IF(K523="Boarding school",30,0)+IF(J523&gt;=18,20,0)+IF(I523&lt;=11,10,0)+IF(L523="Has a sixth form",15,0)+IF(M523&gt;=200,10,0)+IF(N523&lt;&gt;"",10,0)</x:f>
        <x:v>60</x:v>
      </x:c>
      <x:c r="D523" s="43" t="str">
        <x:f>IF(C523&gt;=85,"A",IF(C523&gt;=65,"B","C"))</x:f>
        <x:v>C</x:v>
      </x:c>
      <x:c r="E523" s="43" t="str">
        <x:v>King's College School</x:v>
      </x:c>
      <x:c r="F523" s="43" t="str">
        <x:v>Cambridge</x:v>
      </x:c>
      <x:c r="G523" s="43" t="str">
        <x:v>Cambridgeshire</x:v>
      </x:c>
      <x:c r="H523" s="43" t="str">
        <x:v>CB3 9DN</x:v>
      </x:c>
      <x:c r="I523" s="43" t="n">
        <x:v>4</x:v>
      </x:c>
      <x:c r="J523" s="43" t="n">
        <x:v>14</x:v>
      </x:c>
      <x:c r="K523" s="43" t="str">
        <x:v>Boarding school</x:v>
      </x:c>
      <x:c r="L523" s="43" t="str">
        <x:v>Does not have a sixth form</x:v>
      </x:c>
      <x:c r="M523" s="43" t="n">
        <x:v>381</x:v>
      </x:c>
      <x:c r="N523" s="43" t="str">
        <x:v>https://www.kcs.cambs.sch.uk</x:v>
      </x:c>
      <x:c r="O523" s="43" t="str">
        <x:v>01223365814</x:v>
      </x:c>
      <x:c r="P523" s="43" t="str"/>
      <x:c r="Q523" s="43" t="str"/>
      <x:c r="R523" s="43" t="str">
        <x:v>Queued for contact research</x:v>
      </x:c>
      <x:c r="S523" s="43" t="str">
        <x:v>Not reviewed</x:v>
      </x:c>
      <x:c r="T523" s="43" t="str">
        <x:v>Hold</x:v>
      </x:c>
      <x:c r="U523" s="43" t="str">
        <x:v>No</x:v>
      </x:c>
      <x:c r="V523" s="44"/>
      <x:c r="W523" s="43" t="str"/>
      <x:c r="X523" s="43" t="str"/>
      <x:c r="Y523" s="43" t="str"/>
      <x:c r="Z523" s="43" t="str">
        <x:v>https://www.get-information-schools.service.gov.uk/Downloads</x:v>
      </x:c>
    </x:row>
    <x:row r="524">
      <x:c r="A524" s="43" t="str">
        <x:v>UK independent</x:v>
      </x:c>
      <x:c r="B524" s="43" t="str">
        <x:v>113022</x:v>
      </x:c>
      <x:c r="C524" s="43" t="n">
        <x:f>IF(K524="Boarding school",30,0)+IF(J524&gt;=18,20,0)+IF(I524&lt;=11,10,0)+IF(L524="Has a sixth form",15,0)+IF(M524&gt;=200,10,0)+IF(N524&lt;&gt;"",10,0)</x:f>
        <x:v>60</x:v>
      </x:c>
      <x:c r="D524" s="43" t="str">
        <x:f>IF(C524&gt;=85,"A",IF(C524&gt;=65,"B","C"))</x:f>
        <x:v>C</x:v>
      </x:c>
      <x:c r="E524" s="43" t="str">
        <x:v>Repton Preparatory School</x:v>
      </x:c>
      <x:c r="F524" s="43" t="str">
        <x:v>Derby</x:v>
      </x:c>
      <x:c r="G524" s="43" t="str">
        <x:v>Derbyshire</x:v>
      </x:c>
      <x:c r="H524" s="43" t="str">
        <x:v>DE65 6EJ</x:v>
      </x:c>
      <x:c r="I524" s="43" t="n">
        <x:v>2</x:v>
      </x:c>
      <x:c r="J524" s="43" t="n">
        <x:v>14</x:v>
      </x:c>
      <x:c r="K524" s="43" t="str">
        <x:v>Boarding school</x:v>
      </x:c>
      <x:c r="L524" s="43" t="str">
        <x:v>Does not have a sixth form</x:v>
      </x:c>
      <x:c r="M524" s="43" t="n">
        <x:v>377</x:v>
      </x:c>
      <x:c r="N524" s="43" t="str">
        <x:v>https://www.reptonprep.org.uk</x:v>
      </x:c>
      <x:c r="O524" s="43" t="str">
        <x:v>01283707100</x:v>
      </x:c>
      <x:c r="P524" s="43" t="str"/>
      <x:c r="Q524" s="43" t="str"/>
      <x:c r="R524" s="43" t="str">
        <x:v>Queued for contact research</x:v>
      </x:c>
      <x:c r="S524" s="43" t="str">
        <x:v>Not reviewed</x:v>
      </x:c>
      <x:c r="T524" s="43" t="str">
        <x:v>Hold</x:v>
      </x:c>
      <x:c r="U524" s="43" t="str">
        <x:v>No</x:v>
      </x:c>
      <x:c r="V524" s="44"/>
      <x:c r="W524" s="43" t="str"/>
      <x:c r="X524" s="43" t="str"/>
      <x:c r="Y524" s="43" t="str"/>
      <x:c r="Z524" s="43" t="str">
        <x:v>https://www.get-information-schools.service.gov.uk/Downloads</x:v>
      </x:c>
    </x:row>
    <x:row r="525">
      <x:c r="A525" s="43" t="str">
        <x:v>UK independent</x:v>
      </x:c>
      <x:c r="B525" s="43" t="str">
        <x:v>110915</x:v>
      </x:c>
      <x:c r="C525" s="43" t="n">
        <x:f>IF(K525="Boarding school",30,0)+IF(J525&gt;=18,20,0)+IF(I525&lt;=11,10,0)+IF(L525="Has a sixth form",15,0)+IF(M525&gt;=200,10,0)+IF(N525&lt;&gt;"",10,0)</x:f>
        <x:v>60</x:v>
      </x:c>
      <x:c r="D525" s="43" t="str">
        <x:f>IF(C525&gt;=85,"A",IF(C525&gt;=65,"B","C"))</x:f>
        <x:v>C</x:v>
      </x:c>
      <x:c r="E525" s="43" t="str">
        <x:v>St John's College School</x:v>
      </x:c>
      <x:c r="F525" s="43" t="str">
        <x:v>Cambridge</x:v>
      </x:c>
      <x:c r="G525" s="43" t="str">
        <x:v>Cambridgeshire</x:v>
      </x:c>
      <x:c r="H525" s="43" t="str">
        <x:v>CB3 9AB</x:v>
      </x:c>
      <x:c r="I525" s="43" t="n">
        <x:v>4</x:v>
      </x:c>
      <x:c r="J525" s="43" t="n">
        <x:v>13</x:v>
      </x:c>
      <x:c r="K525" s="43" t="str">
        <x:v>Boarding school</x:v>
      </x:c>
      <x:c r="L525" s="43" t="str">
        <x:v>Does not have a sixth form</x:v>
      </x:c>
      <x:c r="M525" s="43" t="n">
        <x:v>376</x:v>
      </x:c>
      <x:c r="N525" s="43" t="str">
        <x:v>http://www.sjcs.co.uk</x:v>
      </x:c>
      <x:c r="O525" s="43" t="str">
        <x:v>01223353532</x:v>
      </x:c>
      <x:c r="P525" s="43" t="str"/>
      <x:c r="Q525" s="43" t="str"/>
      <x:c r="R525" s="43" t="str">
        <x:v>Queued for contact research</x:v>
      </x:c>
      <x:c r="S525" s="43" t="str">
        <x:v>Not reviewed</x:v>
      </x:c>
      <x:c r="T525" s="43" t="str">
        <x:v>Hold</x:v>
      </x:c>
      <x:c r="U525" s="43" t="str">
        <x:v>No</x:v>
      </x:c>
      <x:c r="V525" s="44"/>
      <x:c r="W525" s="43" t="str"/>
      <x:c r="X525" s="43" t="str"/>
      <x:c r="Y525" s="43" t="str"/>
      <x:c r="Z525" s="43" t="str">
        <x:v>https://www.get-information-schools.service.gov.uk/Downloads</x:v>
      </x:c>
    </x:row>
    <x:row r="526">
      <x:c r="A526" s="43" t="str">
        <x:v>UK independent</x:v>
      </x:c>
      <x:c r="B526" s="43" t="str">
        <x:v>123931</x:v>
      </x:c>
      <x:c r="C526" s="43" t="n">
        <x:f>IF(K526="Boarding school",30,0)+IF(J526&gt;=18,20,0)+IF(I526&lt;=11,10,0)+IF(L526="Has a sixth form",15,0)+IF(M526&gt;=200,10,0)+IF(N526&lt;&gt;"",10,0)</x:f>
        <x:v>60</x:v>
      </x:c>
      <x:c r="D526" s="43" t="str">
        <x:f>IF(C526&gt;=85,"A",IF(C526&gt;=65,"B","C"))</x:f>
        <x:v>C</x:v>
      </x:c>
      <x:c r="E526" s="43" t="str">
        <x:v>Hazlegrove Preparatory School</x:v>
      </x:c>
      <x:c r="F526" s="43" t="str">
        <x:v>Yeovil</x:v>
      </x:c>
      <x:c r="G526" s="43" t="str">
        <x:v>Somerset</x:v>
      </x:c>
      <x:c r="H526" s="43" t="str">
        <x:v>BA22 7JA</x:v>
      </x:c>
      <x:c r="I526" s="43" t="n">
        <x:v>2</x:v>
      </x:c>
      <x:c r="J526" s="43" t="n">
        <x:v>14</x:v>
      </x:c>
      <x:c r="K526" s="43" t="str">
        <x:v>Boarding school</x:v>
      </x:c>
      <x:c r="L526" s="43" t="str">
        <x:v>Does not have a sixth form</x:v>
      </x:c>
      <x:c r="M526" s="43" t="n">
        <x:v>375</x:v>
      </x:c>
      <x:c r="N526" s="43" t="str">
        <x:v>https://www.hazlegrove.co.uk</x:v>
      </x:c>
      <x:c r="O526" s="43" t="str">
        <x:v>01963440314</x:v>
      </x:c>
      <x:c r="P526" s="43" t="str"/>
      <x:c r="Q526" s="43" t="str"/>
      <x:c r="R526" s="43" t="str">
        <x:v>Queued for contact research</x:v>
      </x:c>
      <x:c r="S526" s="43" t="str">
        <x:v>Not reviewed</x:v>
      </x:c>
      <x:c r="T526" s="43" t="str">
        <x:v>Hold</x:v>
      </x:c>
      <x:c r="U526" s="43" t="str">
        <x:v>No</x:v>
      </x:c>
      <x:c r="V526" s="44"/>
      <x:c r="W526" s="43" t="str"/>
      <x:c r="X526" s="43" t="str"/>
      <x:c r="Y526" s="43" t="str"/>
      <x:c r="Z526" s="43" t="str">
        <x:v>https://www.get-information-schools.service.gov.uk/Downloads</x:v>
      </x:c>
    </x:row>
    <x:row r="527">
      <x:c r="A527" s="43" t="str">
        <x:v>UK independent</x:v>
      </x:c>
      <x:c r="B527" s="43" t="str">
        <x:v>125773</x:v>
      </x:c>
      <x:c r="C527" s="43" t="n">
        <x:f>IF(K527="Boarding school",30,0)+IF(J527&gt;=18,20,0)+IF(I527&lt;=11,10,0)+IF(L527="Has a sixth form",15,0)+IF(M527&gt;=200,10,0)+IF(N527&lt;&gt;"",10,0)</x:f>
        <x:v>60</x:v>
      </x:c>
      <x:c r="D527" s="43" t="str">
        <x:f>IF(C527&gt;=85,"A",IF(C527&gt;=65,"B","C"))</x:f>
        <x:v>C</x:v>
      </x:c>
      <x:c r="E527" s="43" t="str">
        <x:v>Bilton Grange School</x:v>
      </x:c>
      <x:c r="F527" s="43" t="str">
        <x:v>Rugby</x:v>
      </x:c>
      <x:c r="G527" s="43" t="str">
        <x:v>Warwickshire</x:v>
      </x:c>
      <x:c r="H527" s="43" t="str">
        <x:v>CV22 6QU</x:v>
      </x:c>
      <x:c r="I527" s="43" t="n">
        <x:v>3</x:v>
      </x:c>
      <x:c r="J527" s="43" t="n">
        <x:v>14</x:v>
      </x:c>
      <x:c r="K527" s="43" t="str">
        <x:v>Boarding school</x:v>
      </x:c>
      <x:c r="L527" s="43" t="str">
        <x:v>Does not have a sixth form</x:v>
      </x:c>
      <x:c r="M527" s="43" t="n">
        <x:v>374</x:v>
      </x:c>
      <x:c r="N527" s="43" t="str">
        <x:v>https://www.biltongrange.co.uk</x:v>
      </x:c>
      <x:c r="O527" s="43" t="str">
        <x:v>01788810217</x:v>
      </x:c>
      <x:c r="P527" s="43" t="str"/>
      <x:c r="Q527" s="43" t="str"/>
      <x:c r="R527" s="43" t="str">
        <x:v>Queued for contact research</x:v>
      </x:c>
      <x:c r="S527" s="43" t="str">
        <x:v>Not reviewed</x:v>
      </x:c>
      <x:c r="T527" s="43" t="str">
        <x:v>Hold</x:v>
      </x:c>
      <x:c r="U527" s="43" t="str">
        <x:v>No</x:v>
      </x:c>
      <x:c r="V527" s="44"/>
      <x:c r="W527" s="43" t="str"/>
      <x:c r="X527" s="43" t="str"/>
      <x:c r="Y527" s="43" t="str"/>
      <x:c r="Z527" s="43" t="str">
        <x:v>https://www.get-information-schools.service.gov.uk/Downloads</x:v>
      </x:c>
    </x:row>
    <x:row r="528">
      <x:c r="A528" s="43" t="str">
        <x:v>UK independent</x:v>
      </x:c>
      <x:c r="B528" s="43" t="str">
        <x:v>110133</x:v>
      </x:c>
      <x:c r="C528" s="43" t="n">
        <x:f>IF(K528="Boarding school",30,0)+IF(J528&gt;=18,20,0)+IF(I528&lt;=11,10,0)+IF(L528="Has a sixth form",15,0)+IF(M528&gt;=200,10,0)+IF(N528&lt;&gt;"",10,0)</x:f>
        <x:v>60</x:v>
      </x:c>
      <x:c r="D528" s="43" t="str">
        <x:f>IF(C528&gt;=85,"A",IF(C528&gt;=65,"B","C"))</x:f>
        <x:v>C</x:v>
      </x:c>
      <x:c r="E528" s="43" t="str">
        <x:v>Wellington College Prep</x:v>
      </x:c>
      <x:c r="F528" s="43" t="str">
        <x:v>Sandhurst</x:v>
      </x:c>
      <x:c r="G528" s="43" t="str">
        <x:v>Berkshire</x:v>
      </x:c>
      <x:c r="H528" s="43" t="str">
        <x:v>GU47 8PH</x:v>
      </x:c>
      <x:c r="I528" s="43" t="n">
        <x:v>2</x:v>
      </x:c>
      <x:c r="J528" s="43" t="n">
        <x:v>14</x:v>
      </x:c>
      <x:c r="K528" s="43" t="str">
        <x:v>Boarding school</x:v>
      </x:c>
      <x:c r="L528" s="43" t="str">
        <x:v>Does not have a sixth form</x:v>
      </x:c>
      <x:c r="M528" s="43" t="n">
        <x:v>361</x:v>
      </x:c>
      <x:c r="N528" s="43" t="str">
        <x:v>https://www.wellingtoncollegeprep.org.uk</x:v>
      </x:c>
      <x:c r="O528" s="43" t="str">
        <x:v>01344772134</x:v>
      </x:c>
      <x:c r="P528" s="43" t="str"/>
      <x:c r="Q528" s="43" t="str"/>
      <x:c r="R528" s="43" t="str">
        <x:v>Queued for contact research</x:v>
      </x:c>
      <x:c r="S528" s="43" t="str">
        <x:v>Not reviewed</x:v>
      </x:c>
      <x:c r="T528" s="43" t="str">
        <x:v>Hold</x:v>
      </x:c>
      <x:c r="U528" s="43" t="str">
        <x:v>No</x:v>
      </x:c>
      <x:c r="V528" s="44"/>
      <x:c r="W528" s="43" t="str"/>
      <x:c r="X528" s="43" t="str"/>
      <x:c r="Y528" s="43" t="str"/>
      <x:c r="Z528" s="43" t="str">
        <x:v>https://www.get-information-schools.service.gov.uk/Downloads</x:v>
      </x:c>
    </x:row>
    <x:row r="529">
      <x:c r="A529" s="43" t="str">
        <x:v>UK independent</x:v>
      </x:c>
      <x:c r="B529" s="43" t="str">
        <x:v>118943</x:v>
      </x:c>
      <x:c r="C529" s="43" t="n">
        <x:f>IF(K529="Boarding school",30,0)+IF(J529&gt;=18,20,0)+IF(I529&lt;=11,10,0)+IF(L529="Has a sixth form",15,0)+IF(M529&gt;=200,10,0)+IF(N529&lt;&gt;"",10,0)</x:f>
        <x:v>60</x:v>
      </x:c>
      <x:c r="D529" s="43" t="str">
        <x:f>IF(C529&gt;=85,"A",IF(C529&gt;=65,"B","C"))</x:f>
        <x:v>C</x:v>
      </x:c>
      <x:c r="E529" s="43" t="str">
        <x:v>St Ronan's School</x:v>
      </x:c>
      <x:c r="F529" s="43" t="str">
        <x:v>Cranbrook</x:v>
      </x:c>
      <x:c r="G529" s="43" t="str">
        <x:v>Kent</x:v>
      </x:c>
      <x:c r="H529" s="43" t="str">
        <x:v>TN18 5DJ</x:v>
      </x:c>
      <x:c r="I529" s="43" t="n">
        <x:v>2</x:v>
      </x:c>
      <x:c r="J529" s="43" t="n">
        <x:v>13</x:v>
      </x:c>
      <x:c r="K529" s="43" t="str">
        <x:v>Boarding school</x:v>
      </x:c>
      <x:c r="L529" s="43" t="str">
        <x:v>Does not have a sixth form</x:v>
      </x:c>
      <x:c r="M529" s="43" t="n">
        <x:v>359</x:v>
      </x:c>
      <x:c r="N529" s="43" t="str">
        <x:v>https://www.saintronans.co.uk</x:v>
      </x:c>
      <x:c r="O529" s="43" t="str">
        <x:v>01580752271</x:v>
      </x:c>
      <x:c r="P529" s="43" t="str"/>
      <x:c r="Q529" s="43" t="str"/>
      <x:c r="R529" s="43" t="str">
        <x:v>Queued for contact research</x:v>
      </x:c>
      <x:c r="S529" s="43" t="str">
        <x:v>Not reviewed</x:v>
      </x:c>
      <x:c r="T529" s="43" t="str">
        <x:v>Hold</x:v>
      </x:c>
      <x:c r="U529" s="43" t="str">
        <x:v>No</x:v>
      </x:c>
      <x:c r="V529" s="44"/>
      <x:c r="W529" s="43" t="str"/>
      <x:c r="X529" s="43" t="str"/>
      <x:c r="Y529" s="43" t="str"/>
      <x:c r="Z529" s="43" t="str">
        <x:v>https://www.get-information-schools.service.gov.uk/Downloads</x:v>
      </x:c>
    </x:row>
    <x:row r="530">
      <x:c r="A530" s="43" t="str">
        <x:v>UK independent</x:v>
      </x:c>
      <x:c r="B530" s="43" t="str">
        <x:v>122125</x:v>
      </x:c>
      <x:c r="C530" s="43" t="n">
        <x:f>IF(K530="Boarding school",30,0)+IF(J530&gt;=18,20,0)+IF(I530&lt;=11,10,0)+IF(L530="Has a sixth form",15,0)+IF(M530&gt;=200,10,0)+IF(N530&lt;&gt;"",10,0)</x:f>
        <x:v>60</x:v>
      </x:c>
      <x:c r="D530" s="43" t="str">
        <x:f>IF(C530&gt;=85,"A",IF(C530&gt;=65,"B","C"))</x:f>
        <x:v>C</x:v>
      </x:c>
      <x:c r="E530" s="43" t="str">
        <x:v>Winchester House School</x:v>
      </x:c>
      <x:c r="F530" s="43" t="str"/>
      <x:c r="G530" s="43" t="str"/>
      <x:c r="H530" s="43" t="str">
        <x:v>NN13 7AZ</x:v>
      </x:c>
      <x:c r="I530" s="43" t="n">
        <x:v>2</x:v>
      </x:c>
      <x:c r="J530" s="43" t="n">
        <x:v>13</x:v>
      </x:c>
      <x:c r="K530" s="43" t="str">
        <x:v>Boarding school</x:v>
      </x:c>
      <x:c r="L530" s="43" t="str">
        <x:v>Does not have a sixth form</x:v>
      </x:c>
      <x:c r="M530" s="43" t="n">
        <x:v>355</x:v>
      </x:c>
      <x:c r="N530" s="43" t="str">
        <x:v>https://www.winchester-house.org</x:v>
      </x:c>
      <x:c r="O530" s="43" t="str">
        <x:v>01280702483</x:v>
      </x:c>
      <x:c r="P530" s="43" t="str"/>
      <x:c r="Q530" s="43" t="str"/>
      <x:c r="R530" s="43" t="str">
        <x:v>Queued for contact research</x:v>
      </x:c>
      <x:c r="S530" s="43" t="str">
        <x:v>Not reviewed</x:v>
      </x:c>
      <x:c r="T530" s="43" t="str">
        <x:v>Hold</x:v>
      </x:c>
      <x:c r="U530" s="43" t="str">
        <x:v>No</x:v>
      </x:c>
      <x:c r="V530" s="44"/>
      <x:c r="W530" s="43" t="str"/>
      <x:c r="X530" s="43" t="str"/>
      <x:c r="Y530" s="43" t="str"/>
      <x:c r="Z530" s="43" t="str">
        <x:v>https://www.get-information-schools.service.gov.uk/Downloads</x:v>
      </x:c>
    </x:row>
    <x:row r="531">
      <x:c r="A531" s="43" t="str">
        <x:v>UK independent</x:v>
      </x:c>
      <x:c r="B531" s="43" t="str">
        <x:v>115786</x:v>
      </x:c>
      <x:c r="C531" s="43" t="n">
        <x:f>IF(K531="Boarding school",30,0)+IF(J531&gt;=18,20,0)+IF(I531&lt;=11,10,0)+IF(L531="Has a sixth form",15,0)+IF(M531&gt;=200,10,0)+IF(N531&lt;&gt;"",10,0)</x:f>
        <x:v>60</x:v>
      </x:c>
      <x:c r="D531" s="43" t="str">
        <x:f>IF(C531&gt;=85,"A",IF(C531&gt;=65,"B","C"))</x:f>
        <x:v>C</x:v>
      </x:c>
      <x:c r="E531" s="43" t="str">
        <x:v>Beaudesert Park School</x:v>
      </x:c>
      <x:c r="F531" s="43" t="str">
        <x:v>Stroud</x:v>
      </x:c>
      <x:c r="G531" s="43" t="str">
        <x:v>Gloucestershire</x:v>
      </x:c>
      <x:c r="H531" s="43" t="str">
        <x:v>GL6 9AF</x:v>
      </x:c>
      <x:c r="I531" s="43" t="n">
        <x:v>3</x:v>
      </x:c>
      <x:c r="J531" s="43" t="n">
        <x:v>13</x:v>
      </x:c>
      <x:c r="K531" s="43" t="str">
        <x:v>Boarding school</x:v>
      </x:c>
      <x:c r="L531" s="43" t="str">
        <x:v>Does not have a sixth form</x:v>
      </x:c>
      <x:c r="M531" s="43" t="n">
        <x:v>344</x:v>
      </x:c>
      <x:c r="N531" s="43" t="str">
        <x:v>https://www.beaudesert.gloucs.sch.uk</x:v>
      </x:c>
      <x:c r="O531" s="43" t="str">
        <x:v>01453832072</x:v>
      </x:c>
      <x:c r="P531" s="43" t="str"/>
      <x:c r="Q531" s="43" t="str"/>
      <x:c r="R531" s="43" t="str">
        <x:v>Queued for contact research</x:v>
      </x:c>
      <x:c r="S531" s="43" t="str">
        <x:v>Not reviewed</x:v>
      </x:c>
      <x:c r="T531" s="43" t="str">
        <x:v>Hold</x:v>
      </x:c>
      <x:c r="U531" s="43" t="str">
        <x:v>No</x:v>
      </x:c>
      <x:c r="V531" s="44"/>
      <x:c r="W531" s="43" t="str"/>
      <x:c r="X531" s="43" t="str"/>
      <x:c r="Y531" s="43" t="str"/>
      <x:c r="Z531" s="43" t="str">
        <x:v>https://www.get-information-schools.service.gov.uk/Downloads</x:v>
      </x:c>
    </x:row>
    <x:row r="532">
      <x:c r="A532" s="43" t="str">
        <x:v>UK independent</x:v>
      </x:c>
      <x:c r="B532" s="43" t="str">
        <x:v>132013</x:v>
      </x:c>
      <x:c r="C532" s="43" t="n">
        <x:f>IF(K532="Boarding school",30,0)+IF(J532&gt;=18,20,0)+IF(I532&lt;=11,10,0)+IF(L532="Has a sixth form",15,0)+IF(M532&gt;=200,10,0)+IF(N532&lt;&gt;"",10,0)</x:f>
        <x:v>60</x:v>
      </x:c>
      <x:c r="D532" s="43" t="str">
        <x:f>IF(C532&gt;=85,"A",IF(C532&gt;=65,"B","C"))</x:f>
        <x:v>C</x:v>
      </x:c>
      <x:c r="E532" s="43" t="str">
        <x:v>Kitebrook Preparatory School</x:v>
      </x:c>
      <x:c r="F532" s="43" t="str">
        <x:v>Moreton-in-Marsh</x:v>
      </x:c>
      <x:c r="G532" s="43" t="str">
        <x:v>Gloucestershire</x:v>
      </x:c>
      <x:c r="H532" s="43" t="str">
        <x:v>GL56 0RP</x:v>
      </x:c>
      <x:c r="I532" s="43" t="n">
        <x:v>3</x:v>
      </x:c>
      <x:c r="J532" s="43" t="n">
        <x:v>13</x:v>
      </x:c>
      <x:c r="K532" s="43" t="str">
        <x:v>Boarding school</x:v>
      </x:c>
      <x:c r="L532" s="43" t="str">
        <x:v>Does not have a sixth form</x:v>
      </x:c>
      <x:c r="M532" s="43" t="n">
        <x:v>343</x:v>
      </x:c>
      <x:c r="N532" s="43" t="str">
        <x:v>https://www.kitebrookpst.org</x:v>
      </x:c>
      <x:c r="O532" s="43" t="str">
        <x:v>01608674350</x:v>
      </x:c>
      <x:c r="P532" s="43" t="str"/>
      <x:c r="Q532" s="43" t="str"/>
      <x:c r="R532" s="43" t="str">
        <x:v>Queued for contact research</x:v>
      </x:c>
      <x:c r="S532" s="43" t="str">
        <x:v>Not reviewed</x:v>
      </x:c>
      <x:c r="T532" s="43" t="str">
        <x:v>Hold</x:v>
      </x:c>
      <x:c r="U532" s="43" t="str">
        <x:v>No</x:v>
      </x:c>
      <x:c r="V532" s="44"/>
      <x:c r="W532" s="43" t="str"/>
      <x:c r="X532" s="43" t="str"/>
      <x:c r="Y532" s="43" t="str"/>
      <x:c r="Z532" s="43" t="str">
        <x:v>https://www.get-information-schools.service.gov.uk/Downloads</x:v>
      </x:c>
    </x:row>
    <x:row r="533">
      <x:c r="A533" s="43" t="str">
        <x:v>UK independent</x:v>
      </x:c>
      <x:c r="B533" s="43" t="str">
        <x:v>116525</x:v>
      </x:c>
      <x:c r="C533" s="43" t="n">
        <x:f>IF(K533="Boarding school",30,0)+IF(J533&gt;=18,20,0)+IF(I533&lt;=11,10,0)+IF(L533="Has a sixth form",15,0)+IF(M533&gt;=200,10,0)+IF(N533&lt;&gt;"",10,0)</x:f>
        <x:v>60</x:v>
      </x:c>
      <x:c r="D533" s="43" t="str">
        <x:f>IF(C533&gt;=85,"A",IF(C533&gt;=65,"B","C"))</x:f>
        <x:v>C</x:v>
      </x:c>
      <x:c r="E533" s="43" t="str">
        <x:v>Walhampton School</x:v>
      </x:c>
      <x:c r="F533" s="43" t="str">
        <x:v>Lymington</x:v>
      </x:c>
      <x:c r="G533" s="43" t="str">
        <x:v>Hampshire</x:v>
      </x:c>
      <x:c r="H533" s="43" t="str">
        <x:v>SO41 5ZG</x:v>
      </x:c>
      <x:c r="I533" s="43" t="n">
        <x:v>2</x:v>
      </x:c>
      <x:c r="J533" s="43" t="n">
        <x:v>13</x:v>
      </x:c>
      <x:c r="K533" s="43" t="str">
        <x:v>Boarding school</x:v>
      </x:c>
      <x:c r="L533" s="43" t="str">
        <x:v>Does not have a sixth form</x:v>
      </x:c>
      <x:c r="M533" s="43" t="n">
        <x:v>338</x:v>
      </x:c>
      <x:c r="N533" s="43" t="str">
        <x:v>https://www.walhampton.com</x:v>
      </x:c>
      <x:c r="O533" s="43" t="str">
        <x:v>01590613300</x:v>
      </x:c>
      <x:c r="P533" s="43" t="str"/>
      <x:c r="Q533" s="43" t="str"/>
      <x:c r="R533" s="43" t="str">
        <x:v>Queued for contact research</x:v>
      </x:c>
      <x:c r="S533" s="43" t="str">
        <x:v>Not reviewed</x:v>
      </x:c>
      <x:c r="T533" s="43" t="str">
        <x:v>Hold</x:v>
      </x:c>
      <x:c r="U533" s="43" t="str">
        <x:v>No</x:v>
      </x:c>
      <x:c r="V533" s="44"/>
      <x:c r="W533" s="43" t="str"/>
      <x:c r="X533" s="43" t="str"/>
      <x:c r="Y533" s="43" t="str"/>
      <x:c r="Z533" s="43" t="str">
        <x:v>https://www.get-information-schools.service.gov.uk/Downloads</x:v>
      </x:c>
    </x:row>
    <x:row r="534">
      <x:c r="A534" s="43" t="str">
        <x:v>UK independent</x:v>
      </x:c>
      <x:c r="B534" s="43" t="str">
        <x:v>117608</x:v>
      </x:c>
      <x:c r="C534" s="43" t="n">
        <x:f>IF(K534="Boarding school",30,0)+IF(J534&gt;=18,20,0)+IF(I534&lt;=11,10,0)+IF(L534="Has a sixth form",15,0)+IF(M534&gt;=200,10,0)+IF(N534&lt;&gt;"",10,0)</x:f>
        <x:v>60</x:v>
      </x:c>
      <x:c r="D534" s="43" t="str">
        <x:f>IF(C534&gt;=85,"A",IF(C534&gt;=65,"B","C"))</x:f>
        <x:v>C</x:v>
      </x:c>
      <x:c r="E534" s="43" t="str">
        <x:v>Aldwickbury School</x:v>
      </x:c>
      <x:c r="F534" s="43" t="str"/>
      <x:c r="G534" s="43" t="str"/>
      <x:c r="H534" s="43" t="str">
        <x:v>AL5 1AD</x:v>
      </x:c>
      <x:c r="I534" s="43" t="n">
        <x:v>3</x:v>
      </x:c>
      <x:c r="J534" s="43" t="n">
        <x:v>13</x:v>
      </x:c>
      <x:c r="K534" s="43" t="str">
        <x:v>Boarding school</x:v>
      </x:c>
      <x:c r="L534" s="43" t="str">
        <x:v>Does not have a sixth form</x:v>
      </x:c>
      <x:c r="M534" s="43" t="n">
        <x:v>333</x:v>
      </x:c>
      <x:c r="N534" s="43" t="str">
        <x:v>https://www.aldwickbury.org.uk</x:v>
      </x:c>
      <x:c r="O534" s="43" t="str">
        <x:v>01582713022</x:v>
      </x:c>
      <x:c r="P534" s="43" t="str"/>
      <x:c r="Q534" s="43" t="str"/>
      <x:c r="R534" s="43" t="str">
        <x:v>Queued for contact research</x:v>
      </x:c>
      <x:c r="S534" s="43" t="str">
        <x:v>Not reviewed</x:v>
      </x:c>
      <x:c r="T534" s="43" t="str">
        <x:v>Hold</x:v>
      </x:c>
      <x:c r="U534" s="43" t="str">
        <x:v>No</x:v>
      </x:c>
      <x:c r="V534" s="44"/>
      <x:c r="W534" s="43" t="str"/>
      <x:c r="X534" s="43" t="str"/>
      <x:c r="Y534" s="43" t="str"/>
      <x:c r="Z534" s="43" t="str">
        <x:v>https://www.get-information-schools.service.gov.uk/Downloads</x:v>
      </x:c>
    </x:row>
    <x:row r="535">
      <x:c r="A535" s="43" t="str">
        <x:v>UK independent</x:v>
      </x:c>
      <x:c r="B535" s="43" t="str">
        <x:v>125346</x:v>
      </x:c>
      <x:c r="C535" s="43" t="n">
        <x:f>IF(K535="Boarding school",30,0)+IF(J535&gt;=18,20,0)+IF(I535&lt;=11,10,0)+IF(L535="Has a sixth form",15,0)+IF(M535&gt;=200,10,0)+IF(N535&lt;&gt;"",10,0)</x:f>
        <x:v>60</x:v>
      </x:c>
      <x:c r="D535" s="43" t="str">
        <x:f>IF(C535&gt;=85,"A",IF(C535&gt;=65,"B","C"))</x:f>
        <x:v>C</x:v>
      </x:c>
      <x:c r="E535" s="43" t="str">
        <x:v>Amesbury School</x:v>
      </x:c>
      <x:c r="F535" s="43" t="str"/>
      <x:c r="G535" s="43" t="str"/>
      <x:c r="H535" s="43" t="str">
        <x:v>GU26 6BL</x:v>
      </x:c>
      <x:c r="I535" s="43" t="n">
        <x:v>2</x:v>
      </x:c>
      <x:c r="J535" s="43" t="n">
        <x:v>13</x:v>
      </x:c>
      <x:c r="K535" s="43" t="str">
        <x:v>Boarding school</x:v>
      </x:c>
      <x:c r="L535" s="43" t="str">
        <x:v>Does not have a sixth form</x:v>
      </x:c>
      <x:c r="M535" s="43" t="n">
        <x:v>333</x:v>
      </x:c>
      <x:c r="N535" s="43" t="str">
        <x:v>https://www.amesburyschool.co.uk</x:v>
      </x:c>
      <x:c r="O535" s="43" t="str">
        <x:v>01428604322</x:v>
      </x:c>
      <x:c r="P535" s="43" t="str"/>
      <x:c r="Q535" s="43" t="str"/>
      <x:c r="R535" s="43" t="str">
        <x:v>Queued for contact research</x:v>
      </x:c>
      <x:c r="S535" s="43" t="str">
        <x:v>Not reviewed</x:v>
      </x:c>
      <x:c r="T535" s="43" t="str">
        <x:v>Hold</x:v>
      </x:c>
      <x:c r="U535" s="43" t="str">
        <x:v>No</x:v>
      </x:c>
      <x:c r="V535" s="44"/>
      <x:c r="W535" s="43" t="str"/>
      <x:c r="X535" s="43" t="str"/>
      <x:c r="Y535" s="43" t="str"/>
      <x:c r="Z535" s="43" t="str">
        <x:v>https://www.get-information-schools.service.gov.uk/Downloads</x:v>
      </x:c>
    </x:row>
    <x:row r="536">
      <x:c r="A536" s="43" t="str">
        <x:v>UK independent</x:v>
      </x:c>
      <x:c r="B536" s="43" t="str">
        <x:v>119010</x:v>
      </x:c>
      <x:c r="C536" s="43" t="n">
        <x:f>IF(K536="Boarding school",30,0)+IF(J536&gt;=18,20,0)+IF(I536&lt;=11,10,0)+IF(L536="Has a sixth form",15,0)+IF(M536&gt;=200,10,0)+IF(N536&lt;&gt;"",10,0)</x:f>
        <x:v>60</x:v>
      </x:c>
      <x:c r="D536" s="43" t="str">
        <x:f>IF(C536&gt;=85,"A",IF(C536&gt;=65,"B","C"))</x:f>
        <x:v>C</x:v>
      </x:c>
      <x:c r="E536" s="43" t="str">
        <x:v>Junior King's School</x:v>
      </x:c>
      <x:c r="F536" s="43" t="str">
        <x:v>Canterbury</x:v>
      </x:c>
      <x:c r="G536" s="43" t="str">
        <x:v>Kent</x:v>
      </x:c>
      <x:c r="H536" s="43" t="str">
        <x:v>CT2 0AY</x:v>
      </x:c>
      <x:c r="I536" s="43" t="n">
        <x:v>2</x:v>
      </x:c>
      <x:c r="J536" s="43" t="n">
        <x:v>14</x:v>
      </x:c>
      <x:c r="K536" s="43" t="str">
        <x:v>Boarding school</x:v>
      </x:c>
      <x:c r="L536" s="43" t="str">
        <x:v>Does not have a sixth form</x:v>
      </x:c>
      <x:c r="M536" s="43" t="n">
        <x:v>333</x:v>
      </x:c>
      <x:c r="N536" s="43" t="str">
        <x:v>https://www.junior-kings.co.uk</x:v>
      </x:c>
      <x:c r="O536" s="43" t="str">
        <x:v>01227714000</x:v>
      </x:c>
      <x:c r="P536" s="43" t="str"/>
      <x:c r="Q536" s="43" t="str"/>
      <x:c r="R536" s="43" t="str">
        <x:v>Queued for contact research</x:v>
      </x:c>
      <x:c r="S536" s="43" t="str">
        <x:v>Not reviewed</x:v>
      </x:c>
      <x:c r="T536" s="43" t="str">
        <x:v>Hold</x:v>
      </x:c>
      <x:c r="U536" s="43" t="str">
        <x:v>No</x:v>
      </x:c>
      <x:c r="V536" s="44"/>
      <x:c r="W536" s="43" t="str"/>
      <x:c r="X536" s="43" t="str"/>
      <x:c r="Y536" s="43" t="str"/>
      <x:c r="Z536" s="43" t="str">
        <x:v>https://www.get-information-schools.service.gov.uk/Downloads</x:v>
      </x:c>
    </x:row>
    <x:row r="537">
      <x:c r="A537" s="43" t="str">
        <x:v>UK independent</x:v>
      </x:c>
      <x:c r="B537" s="43" t="str">
        <x:v>123306</x:v>
      </x:c>
      <x:c r="C537" s="43" t="n">
        <x:f>IF(K537="Boarding school",30,0)+IF(J537&gt;=18,20,0)+IF(I537&lt;=11,10,0)+IF(L537="Has a sixth form",15,0)+IF(M537&gt;=200,10,0)+IF(N537&lt;&gt;"",10,0)</x:f>
        <x:v>60</x:v>
      </x:c>
      <x:c r="D537" s="43" t="str">
        <x:f>IF(C537&gt;=85,"A",IF(C537&gt;=65,"B","C"))</x:f>
        <x:v>C</x:v>
      </x:c>
      <x:c r="E537" s="43" t="str">
        <x:v>Moulsford Preparatory School</x:v>
      </x:c>
      <x:c r="F537" s="43" t="str">
        <x:v>Wallingford</x:v>
      </x:c>
      <x:c r="G537" s="43" t="str">
        <x:v>Oxfordshire</x:v>
      </x:c>
      <x:c r="H537" s="43" t="str">
        <x:v>OX10 9HR</x:v>
      </x:c>
      <x:c r="I537" s="43" t="n">
        <x:v>3</x:v>
      </x:c>
      <x:c r="J537" s="43" t="n">
        <x:v>13</x:v>
      </x:c>
      <x:c r="K537" s="43" t="str">
        <x:v>Boarding school</x:v>
      </x:c>
      <x:c r="L537" s="43" t="str">
        <x:v>Does not have a sixth form</x:v>
      </x:c>
      <x:c r="M537" s="43" t="n">
        <x:v>326</x:v>
      </x:c>
      <x:c r="N537" s="43" t="str">
        <x:v>https://www.moulsford.com</x:v>
      </x:c>
      <x:c r="O537" s="43" t="str">
        <x:v>01491651438</x:v>
      </x:c>
      <x:c r="P537" s="43" t="str"/>
      <x:c r="Q537" s="43" t="str"/>
      <x:c r="R537" s="43" t="str">
        <x:v>Queued for contact research</x:v>
      </x:c>
      <x:c r="S537" s="43" t="str">
        <x:v>Not reviewed</x:v>
      </x:c>
      <x:c r="T537" s="43" t="str">
        <x:v>Hold</x:v>
      </x:c>
      <x:c r="U537" s="43" t="str">
        <x:v>No</x:v>
      </x:c>
      <x:c r="V537" s="44"/>
      <x:c r="W537" s="43" t="str"/>
      <x:c r="X537" s="43" t="str"/>
      <x:c r="Y537" s="43" t="str"/>
      <x:c r="Z537" s="43" t="str">
        <x:v>https://www.get-information-schools.service.gov.uk/Downloads</x:v>
      </x:c>
    </x:row>
    <x:row r="538">
      <x:c r="A538" s="43" t="str">
        <x:v>UK independent</x:v>
      </x:c>
      <x:c r="B538" s="43" t="str">
        <x:v>125337</x:v>
      </x:c>
      <x:c r="C538" s="43" t="n">
        <x:f>IF(K538="Boarding school",30,0)+IF(J538&gt;=18,20,0)+IF(I538&lt;=11,10,0)+IF(L538="Has a sixth form",15,0)+IF(M538&gt;=200,10,0)+IF(N538&lt;&gt;"",10,0)</x:f>
        <x:v>60</x:v>
      </x:c>
      <x:c r="D538" s="43" t="str">
        <x:f>IF(C538&gt;=85,"A",IF(C538&gt;=65,"B","C"))</x:f>
        <x:v>C</x:v>
      </x:c>
      <x:c r="E538" s="43" t="str">
        <x:v>Edgeborough School</x:v>
      </x:c>
      <x:c r="F538" s="43" t="str">
        <x:v>Farnham</x:v>
      </x:c>
      <x:c r="G538" s="43" t="str">
        <x:v>Surrey</x:v>
      </x:c>
      <x:c r="H538" s="43" t="str">
        <x:v>GU10 3AH</x:v>
      </x:c>
      <x:c r="I538" s="43" t="n">
        <x:v>2</x:v>
      </x:c>
      <x:c r="J538" s="43" t="n">
        <x:v>13</x:v>
      </x:c>
      <x:c r="K538" s="43" t="str">
        <x:v>Boarding school</x:v>
      </x:c>
      <x:c r="L538" s="43" t="str">
        <x:v>Does not have a sixth form</x:v>
      </x:c>
      <x:c r="M538" s="43" t="n">
        <x:v>323</x:v>
      </x:c>
      <x:c r="N538" s="43" t="str">
        <x:v>https://www.edgeborough.co.uk</x:v>
      </x:c>
      <x:c r="O538" s="43" t="str">
        <x:v>01252792495</x:v>
      </x:c>
      <x:c r="P538" s="43" t="str"/>
      <x:c r="Q538" s="43" t="str"/>
      <x:c r="R538" s="43" t="str">
        <x:v>Queued for contact research</x:v>
      </x:c>
      <x:c r="S538" s="43" t="str">
        <x:v>Not reviewed</x:v>
      </x:c>
      <x:c r="T538" s="43" t="str">
        <x:v>Hold</x:v>
      </x:c>
      <x:c r="U538" s="43" t="str">
        <x:v>No</x:v>
      </x:c>
      <x:c r="V538" s="44"/>
      <x:c r="W538" s="43" t="str"/>
      <x:c r="X538" s="43" t="str"/>
      <x:c r="Y538" s="43" t="str"/>
      <x:c r="Z538" s="43" t="str">
        <x:v>https://www.get-information-schools.service.gov.uk/Downloads</x:v>
      </x:c>
    </x:row>
    <x:row r="539">
      <x:c r="A539" s="43" t="str">
        <x:v>UK independent</x:v>
      </x:c>
      <x:c r="B539" s="43" t="str">
        <x:v>116520</x:v>
      </x:c>
      <x:c r="C539" s="43" t="n">
        <x:f>IF(K539="Boarding school",30,0)+IF(J539&gt;=18,20,0)+IF(I539&lt;=11,10,0)+IF(L539="Has a sixth form",15,0)+IF(M539&gt;=200,10,0)+IF(N539&lt;&gt;"",10,0)</x:f>
        <x:v>60</x:v>
      </x:c>
      <x:c r="D539" s="43" t="str">
        <x:f>IF(C539&gt;=85,"A",IF(C539&gt;=65,"B","C"))</x:f>
        <x:v>C</x:v>
      </x:c>
      <x:c r="E539" s="43" t="str">
        <x:v>Cheam School</x:v>
      </x:c>
      <x:c r="F539" s="43" t="str">
        <x:v>Thatcham</x:v>
      </x:c>
      <x:c r="G539" s="43" t="str"/>
      <x:c r="H539" s="43" t="str">
        <x:v>RG19 8LD</x:v>
      </x:c>
      <x:c r="I539" s="43" t="n">
        <x:v>2</x:v>
      </x:c>
      <x:c r="J539" s="43" t="n">
        <x:v>13</x:v>
      </x:c>
      <x:c r="K539" s="43" t="str">
        <x:v>Boarding school</x:v>
      </x:c>
      <x:c r="L539" s="43" t="str">
        <x:v>Does not have a sixth form</x:v>
      </x:c>
      <x:c r="M539" s="43" t="n">
        <x:v>321</x:v>
      </x:c>
      <x:c r="N539" s="43" t="str">
        <x:v>https://www.cheamschool.co.uk</x:v>
      </x:c>
      <x:c r="O539" s="43" t="str">
        <x:v>01635268242</x:v>
      </x:c>
      <x:c r="P539" s="43" t="str"/>
      <x:c r="Q539" s="43" t="str"/>
      <x:c r="R539" s="43" t="str">
        <x:v>Queued for contact research</x:v>
      </x:c>
      <x:c r="S539" s="43" t="str">
        <x:v>Not reviewed</x:v>
      </x:c>
      <x:c r="T539" s="43" t="str">
        <x:v>Hold</x:v>
      </x:c>
      <x:c r="U539" s="43" t="str">
        <x:v>No</x:v>
      </x:c>
      <x:c r="V539" s="44"/>
      <x:c r="W539" s="43" t="str"/>
      <x:c r="X539" s="43" t="str"/>
      <x:c r="Y539" s="43" t="str"/>
      <x:c r="Z539" s="43" t="str">
        <x:v>https://www.get-information-schools.service.gov.uk/Downloads</x:v>
      </x:c>
    </x:row>
    <x:row r="540">
      <x:c r="A540" s="43" t="str">
        <x:v>UK independent</x:v>
      </x:c>
      <x:c r="B540" s="43" t="str">
        <x:v>110122</x:v>
      </x:c>
      <x:c r="C540" s="43" t="n">
        <x:f>IF(K540="Boarding school",30,0)+IF(J540&gt;=18,20,0)+IF(I540&lt;=11,10,0)+IF(L540="Has a sixth form",15,0)+IF(M540&gt;=200,10,0)+IF(N540&lt;&gt;"",10,0)</x:f>
        <x:v>60</x:v>
      </x:c>
      <x:c r="D540" s="43" t="str">
        <x:f>IF(C540&gt;=85,"A",IF(C540&gt;=65,"B","C"))</x:f>
        <x:v>C</x:v>
      </x:c>
      <x:c r="E540" s="43" t="str">
        <x:v>St Andrew's School</x:v>
      </x:c>
      <x:c r="F540" s="43" t="str">
        <x:v>Reading</x:v>
      </x:c>
      <x:c r="G540" s="43" t="str">
        <x:v>Berkshire</x:v>
      </x:c>
      <x:c r="H540" s="43" t="str">
        <x:v>RG8 8QA</x:v>
      </x:c>
      <x:c r="I540" s="43" t="n">
        <x:v>2</x:v>
      </x:c>
      <x:c r="J540" s="43" t="n">
        <x:v>13</x:v>
      </x:c>
      <x:c r="K540" s="43" t="str">
        <x:v>Boarding school</x:v>
      </x:c>
      <x:c r="L540" s="43" t="str">
        <x:v>Does not have a sixth form</x:v>
      </x:c>
      <x:c r="M540" s="43" t="n">
        <x:v>321</x:v>
      </x:c>
      <x:c r="N540" s="43" t="str">
        <x:v>https://www.standrewsberkshire.co.uk</x:v>
      </x:c>
      <x:c r="O540" s="43" t="str">
        <x:v>01189744276</x:v>
      </x:c>
      <x:c r="P540" s="43" t="str"/>
      <x:c r="Q540" s="43" t="str"/>
      <x:c r="R540" s="43" t="str">
        <x:v>Queued for contact research</x:v>
      </x:c>
      <x:c r="S540" s="43" t="str">
        <x:v>Not reviewed</x:v>
      </x:c>
      <x:c r="T540" s="43" t="str">
        <x:v>Hold</x:v>
      </x:c>
      <x:c r="U540" s="43" t="str">
        <x:v>No</x:v>
      </x:c>
      <x:c r="V540" s="44"/>
      <x:c r="W540" s="43" t="str"/>
      <x:c r="X540" s="43" t="str"/>
      <x:c r="Y540" s="43" t="str"/>
      <x:c r="Z540" s="43" t="str">
        <x:v>https://www.get-information-schools.service.gov.uk/Downloads</x:v>
      </x:c>
    </x:row>
    <x:row r="541">
      <x:c r="A541" s="43" t="str">
        <x:v>UK independent</x:v>
      </x:c>
      <x:c r="B541" s="43" t="str">
        <x:v>110140</x:v>
      </x:c>
      <x:c r="C541" s="43" t="n">
        <x:f>IF(K541="Boarding school",30,0)+IF(J541&gt;=18,20,0)+IF(I541&lt;=11,10,0)+IF(L541="Has a sixth form",15,0)+IF(M541&gt;=200,10,0)+IF(N541&lt;&gt;"",10,0)</x:f>
        <x:v>60</x:v>
      </x:c>
      <x:c r="D541" s="43" t="str">
        <x:f>IF(C541&gt;=85,"A",IF(C541&gt;=65,"B","C"))</x:f>
        <x:v>C</x:v>
      </x:c>
      <x:c r="E541" s="43" t="str">
        <x:v>Elstree School</x:v>
      </x:c>
      <x:c r="F541" s="43" t="str">
        <x:v>Reading</x:v>
      </x:c>
      <x:c r="G541" s="43" t="str">
        <x:v>Berkshire</x:v>
      </x:c>
      <x:c r="H541" s="43" t="str">
        <x:v>RG7 5TD</x:v>
      </x:c>
      <x:c r="I541" s="43" t="n">
        <x:v>2</x:v>
      </x:c>
      <x:c r="J541" s="43" t="n">
        <x:v>13</x:v>
      </x:c>
      <x:c r="K541" s="43" t="str">
        <x:v>Boarding school</x:v>
      </x:c>
      <x:c r="L541" s="43" t="str">
        <x:v>Does not have a sixth form</x:v>
      </x:c>
      <x:c r="M541" s="43" t="n">
        <x:v>320</x:v>
      </x:c>
      <x:c r="N541" s="43" t="str">
        <x:v>https://www.elstreeschool.org.uk</x:v>
      </x:c>
      <x:c r="O541" s="43" t="str">
        <x:v>01189713302</x:v>
      </x:c>
      <x:c r="P541" s="43" t="str"/>
      <x:c r="Q541" s="43" t="str"/>
      <x:c r="R541" s="43" t="str">
        <x:v>Queued for contact research</x:v>
      </x:c>
      <x:c r="S541" s="43" t="str">
        <x:v>Not reviewed</x:v>
      </x:c>
      <x:c r="T541" s="43" t="str">
        <x:v>Hold</x:v>
      </x:c>
      <x:c r="U541" s="43" t="str">
        <x:v>No</x:v>
      </x:c>
      <x:c r="V541" s="44"/>
      <x:c r="W541" s="43" t="str"/>
      <x:c r="X541" s="43" t="str"/>
      <x:c r="Y541" s="43" t="str"/>
      <x:c r="Z541" s="43" t="str">
        <x:v>https://www.get-information-schools.service.gov.uk/Downloads</x:v>
      </x:c>
    </x:row>
    <x:row r="542">
      <x:c r="A542" s="43" t="str">
        <x:v>UK independent</x:v>
      </x:c>
      <x:c r="B542" s="43" t="str">
        <x:v>132760</x:v>
      </x:c>
      <x:c r="C542" s="43" t="n">
        <x:f>IF(K542="Boarding school",30,0)+IF(J542&gt;=18,20,0)+IF(I542&lt;=11,10,0)+IF(L542="Has a sixth form",15,0)+IF(M542&gt;=200,10,0)+IF(N542&lt;&gt;"",10,0)</x:f>
        <x:v>60</x:v>
      </x:c>
      <x:c r="D542" s="43" t="str">
        <x:f>IF(C542&gt;=85,"A",IF(C542&gt;=65,"B","C"))</x:f>
        <x:v>C</x:v>
      </x:c>
      <x:c r="E542" s="43" t="str">
        <x:v>Stamford Junior School</x:v>
      </x:c>
      <x:c r="F542" s="43" t="str">
        <x:v>Stamford</x:v>
      </x:c>
      <x:c r="G542" s="43" t="str">
        <x:v>Lincolnshire</x:v>
      </x:c>
      <x:c r="H542" s="43" t="str">
        <x:v>PE9 2LR</x:v>
      </x:c>
      <x:c r="I542" s="43" t="n">
        <x:v>2</x:v>
      </x:c>
      <x:c r="J542" s="43" t="n">
        <x:v>11</x:v>
      </x:c>
      <x:c r="K542" s="43" t="str">
        <x:v>Boarding school</x:v>
      </x:c>
      <x:c r="L542" s="43" t="str">
        <x:v>Does not have a sixth form</x:v>
      </x:c>
      <x:c r="M542" s="43" t="n">
        <x:v>318</x:v>
      </x:c>
      <x:c r="N542" s="43" t="str">
        <x:v>https://ses.lincs.sch.uk</x:v>
      </x:c>
      <x:c r="O542" s="43" t="str">
        <x:v>01780484400</x:v>
      </x:c>
      <x:c r="P542" s="43" t="str"/>
      <x:c r="Q542" s="43" t="str"/>
      <x:c r="R542" s="43" t="str">
        <x:v>Queued for contact research</x:v>
      </x:c>
      <x:c r="S542" s="43" t="str">
        <x:v>Not reviewed</x:v>
      </x:c>
      <x:c r="T542" s="43" t="str">
        <x:v>Hold</x:v>
      </x:c>
      <x:c r="U542" s="43" t="str">
        <x:v>No</x:v>
      </x:c>
      <x:c r="V542" s="44"/>
      <x:c r="W542" s="43" t="str"/>
      <x:c r="X542" s="43" t="str"/>
      <x:c r="Y542" s="43" t="str"/>
      <x:c r="Z542" s="43" t="str">
        <x:v>https://www.get-information-schools.service.gov.uk/Downloads</x:v>
      </x:c>
    </x:row>
    <x:row r="543">
      <x:c r="A543" s="43" t="str">
        <x:v>UK independent</x:v>
      </x:c>
      <x:c r="B543" s="43" t="str">
        <x:v>123299</x:v>
      </x:c>
      <x:c r="C543" s="43" t="n">
        <x:f>IF(K543="Boarding school",30,0)+IF(J543&gt;=18,20,0)+IF(I543&lt;=11,10,0)+IF(L543="Has a sixth form",15,0)+IF(M543&gt;=200,10,0)+IF(N543&lt;&gt;"",10,0)</x:f>
        <x:v>60</x:v>
      </x:c>
      <x:c r="D543" s="43" t="str">
        <x:f>IF(C543&gt;=85,"A",IF(C543&gt;=65,"B","C"))</x:f>
        <x:v>C</x:v>
      </x:c>
      <x:c r="E543" s="43" t="str">
        <x:v>St Hugh's School</x:v>
      </x:c>
      <x:c r="F543" s="43" t="str">
        <x:v>Oxfordshire</x:v>
      </x:c>
      <x:c r="G543" s="43" t="str">
        <x:v>Oxfordshire</x:v>
      </x:c>
      <x:c r="H543" s="43" t="str">
        <x:v>SN7 8PT</x:v>
      </x:c>
      <x:c r="I543" s="43" t="n">
        <x:v>3</x:v>
      </x:c>
      <x:c r="J543" s="43" t="n">
        <x:v>16</x:v>
      </x:c>
      <x:c r="K543" s="43" t="str">
        <x:v>Boarding school</x:v>
      </x:c>
      <x:c r="L543" s="43" t="str">
        <x:v>Does not have a sixth form</x:v>
      </x:c>
      <x:c r="M543" s="43" t="n">
        <x:v>310</x:v>
      </x:c>
      <x:c r="N543" s="43" t="str">
        <x:v>https://www.st-hughs.co.uk</x:v>
      </x:c>
      <x:c r="O543" s="43" t="str">
        <x:v>01367870700</x:v>
      </x:c>
      <x:c r="P543" s="43" t="str"/>
      <x:c r="Q543" s="43" t="str"/>
      <x:c r="R543" s="43" t="str">
        <x:v>Queued for contact research</x:v>
      </x:c>
      <x:c r="S543" s="43" t="str">
        <x:v>Not reviewed</x:v>
      </x:c>
      <x:c r="T543" s="43" t="str">
        <x:v>Hold</x:v>
      </x:c>
      <x:c r="U543" s="43" t="str">
        <x:v>No</x:v>
      </x:c>
      <x:c r="V543" s="44"/>
      <x:c r="W543" s="43" t="str"/>
      <x:c r="X543" s="43" t="str"/>
      <x:c r="Y543" s="43" t="str"/>
      <x:c r="Z543" s="43" t="str">
        <x:v>https://www.get-information-schools.service.gov.uk/Downloads</x:v>
      </x:c>
    </x:row>
    <x:row r="544">
      <x:c r="A544" s="43" t="str">
        <x:v>UK independent</x:v>
      </x:c>
      <x:c r="B544" s="43" t="str">
        <x:v>110127</x:v>
      </x:c>
      <x:c r="C544" s="43" t="n">
        <x:f>IF(K544="Boarding school",30,0)+IF(J544&gt;=18,20,0)+IF(I544&lt;=11,10,0)+IF(L544="Has a sixth form",15,0)+IF(M544&gt;=200,10,0)+IF(N544&lt;&gt;"",10,0)</x:f>
        <x:v>60</x:v>
      </x:c>
      <x:c r="D544" s="43" t="str">
        <x:f>IF(C544&gt;=85,"A",IF(C544&gt;=65,"B","C"))</x:f>
        <x:v>C</x:v>
      </x:c>
      <x:c r="E544" s="43" t="str">
        <x:v>Brockhurst and Marlston House Schools</x:v>
      </x:c>
      <x:c r="F544" s="43" t="str">
        <x:v>Thatcham</x:v>
      </x:c>
      <x:c r="G544" s="43" t="str">
        <x:v>Berkshire</x:v>
      </x:c>
      <x:c r="H544" s="43" t="str">
        <x:v>RG18 9UL</x:v>
      </x:c>
      <x:c r="I544" s="43" t="n">
        <x:v>2</x:v>
      </x:c>
      <x:c r="J544" s="43" t="n">
        <x:v>13</x:v>
      </x:c>
      <x:c r="K544" s="43" t="str">
        <x:v>Boarding school</x:v>
      </x:c>
      <x:c r="L544" s="43" t="str">
        <x:v>Does not have a sixth form</x:v>
      </x:c>
      <x:c r="M544" s="43" t="n">
        <x:v>307</x:v>
      </x:c>
      <x:c r="N544" s="43" t="str">
        <x:v>https://www.brockmarl.org.uk</x:v>
      </x:c>
      <x:c r="O544" s="43" t="str">
        <x:v>01635200293</x:v>
      </x:c>
      <x:c r="P544" s="43" t="str"/>
      <x:c r="Q544" s="43" t="str"/>
      <x:c r="R544" s="43" t="str">
        <x:v>Queued for contact research</x:v>
      </x:c>
      <x:c r="S544" s="43" t="str">
        <x:v>Not reviewed</x:v>
      </x:c>
      <x:c r="T544" s="43" t="str">
        <x:v>Hold</x:v>
      </x:c>
      <x:c r="U544" s="43" t="str">
        <x:v>No</x:v>
      </x:c>
      <x:c r="V544" s="44"/>
      <x:c r="W544" s="43" t="str"/>
      <x:c r="X544" s="43" t="str"/>
      <x:c r="Y544" s="43" t="str"/>
      <x:c r="Z544" s="43" t="str">
        <x:v>https://www.get-information-schools.service.gov.uk/Downloads</x:v>
      </x:c>
    </x:row>
    <x:row r="545">
      <x:c r="A545" s="43" t="str">
        <x:v>UK independent</x:v>
      </x:c>
      <x:c r="B545" s="43" t="str">
        <x:v>113915</x:v>
      </x:c>
      <x:c r="C545" s="43" t="n">
        <x:f>IF(K545="Boarding school",30,0)+IF(J545&gt;=18,20,0)+IF(I545&lt;=11,10,0)+IF(L545="Has a sixth form",15,0)+IF(M545&gt;=200,10,0)+IF(N545&lt;&gt;"",10,0)</x:f>
        <x:v>60</x:v>
      </x:c>
      <x:c r="D545" s="43" t="str">
        <x:f>IF(C545&gt;=85,"A",IF(C545&gt;=65,"B","C"))</x:f>
        <x:v>C</x:v>
      </x:c>
      <x:c r="E545" s="43" t="str">
        <x:v>Port Regis Preparatory School</x:v>
      </x:c>
      <x:c r="F545" s="43" t="str">
        <x:v>Shaftesbury</x:v>
      </x:c>
      <x:c r="G545" s="43" t="str">
        <x:v>Dorset</x:v>
      </x:c>
      <x:c r="H545" s="43" t="str">
        <x:v>SP7 9QA</x:v>
      </x:c>
      <x:c r="I545" s="43" t="n">
        <x:v>2</x:v>
      </x:c>
      <x:c r="J545" s="43" t="n">
        <x:v>13</x:v>
      </x:c>
      <x:c r="K545" s="43" t="str">
        <x:v>Boarding school</x:v>
      </x:c>
      <x:c r="L545" s="43" t="str">
        <x:v>Does not have a sixth form</x:v>
      </x:c>
      <x:c r="M545" s="43" t="n">
        <x:v>305</x:v>
      </x:c>
      <x:c r="N545" s="43" t="str">
        <x:v>https://www.portregis.com</x:v>
      </x:c>
      <x:c r="O545" s="43" t="str">
        <x:v>01747857800</x:v>
      </x:c>
      <x:c r="P545" s="43" t="str"/>
      <x:c r="Q545" s="43" t="str"/>
      <x:c r="R545" s="43" t="str">
        <x:v>Queued for contact research</x:v>
      </x:c>
      <x:c r="S545" s="43" t="str">
        <x:v>Not reviewed</x:v>
      </x:c>
      <x:c r="T545" s="43" t="str">
        <x:v>Hold</x:v>
      </x:c>
      <x:c r="U545" s="43" t="str">
        <x:v>No</x:v>
      </x:c>
      <x:c r="V545" s="44"/>
      <x:c r="W545" s="43" t="str"/>
      <x:c r="X545" s="43" t="str"/>
      <x:c r="Y545" s="43" t="str"/>
      <x:c r="Z545" s="43" t="str">
        <x:v>https://www.get-information-schools.service.gov.uk/Downloads</x:v>
      </x:c>
    </x:row>
    <x:row r="546">
      <x:c r="A546" s="43" t="str">
        <x:v>UK independent</x:v>
      </x:c>
      <x:c r="B546" s="43" t="str">
        <x:v>123293</x:v>
      </x:c>
      <x:c r="C546" s="43" t="n">
        <x:f>IF(K546="Boarding school",30,0)+IF(J546&gt;=18,20,0)+IF(I546&lt;=11,10,0)+IF(L546="Has a sixth form",15,0)+IF(M546&gt;=200,10,0)+IF(N546&lt;&gt;"",10,0)</x:f>
        <x:v>60</x:v>
      </x:c>
      <x:c r="D546" s="43" t="str">
        <x:f>IF(C546&gt;=85,"A",IF(C546&gt;=65,"B","C"))</x:f>
        <x:v>C</x:v>
      </x:c>
      <x:c r="E546" s="43" t="str">
        <x:v>Summer Fields School</x:v>
      </x:c>
      <x:c r="F546" s="43" t="str">
        <x:v>Oxford</x:v>
      </x:c>
      <x:c r="G546" s="43" t="str">
        <x:v>Oxfordshire</x:v>
      </x:c>
      <x:c r="H546" s="43" t="str">
        <x:v>OX2 7EN</x:v>
      </x:c>
      <x:c r="I546" s="43" t="n">
        <x:v>4</x:v>
      </x:c>
      <x:c r="J546" s="43" t="n">
        <x:v>13</x:v>
      </x:c>
      <x:c r="K546" s="43" t="str">
        <x:v>Boarding school</x:v>
      </x:c>
      <x:c r="L546" s="43" t="str">
        <x:v>Does not have a sixth form</x:v>
      </x:c>
      <x:c r="M546" s="43" t="n">
        <x:v>305</x:v>
      </x:c>
      <x:c r="N546" s="43" t="str">
        <x:v>https://www.summerfields.com</x:v>
      </x:c>
      <x:c r="O546" s="43" t="str">
        <x:v>01865454433</x:v>
      </x:c>
      <x:c r="P546" s="43" t="str"/>
      <x:c r="Q546" s="43" t="str"/>
      <x:c r="R546" s="43" t="str">
        <x:v>Queued for contact research</x:v>
      </x:c>
      <x:c r="S546" s="43" t="str">
        <x:v>Not reviewed</x:v>
      </x:c>
      <x:c r="T546" s="43" t="str">
        <x:v>Hold</x:v>
      </x:c>
      <x:c r="U546" s="43" t="str">
        <x:v>No</x:v>
      </x:c>
      <x:c r="V546" s="44"/>
      <x:c r="W546" s="43" t="str"/>
      <x:c r="X546" s="43" t="str"/>
      <x:c r="Y546" s="43" t="str"/>
      <x:c r="Z546" s="43" t="str">
        <x:v>https://www.get-information-schools.service.gov.uk/Downloads</x:v>
      </x:c>
    </x:row>
    <x:row r="547">
      <x:c r="A547" s="43" t="str">
        <x:v>UK independent</x:v>
      </x:c>
      <x:c r="B547" s="43" t="str">
        <x:v>126105</x:v>
      </x:c>
      <x:c r="C547" s="43" t="n">
        <x:f>IF(K547="Boarding school",30,0)+IF(J547&gt;=18,20,0)+IF(I547&lt;=11,10,0)+IF(L547="Has a sixth form",15,0)+IF(M547&gt;=200,10,0)+IF(N547&lt;&gt;"",10,0)</x:f>
        <x:v>60</x:v>
      </x:c>
      <x:c r="D547" s="43" t="str">
        <x:f>IF(C547&gt;=85,"A",IF(C547&gt;=65,"B","C"))</x:f>
        <x:v>C</x:v>
      </x:c>
      <x:c r="E547" s="43" t="str">
        <x:v>Westbourne House School</x:v>
      </x:c>
      <x:c r="F547" s="43" t="str">
        <x:v>Chichester</x:v>
      </x:c>
      <x:c r="G547" s="43" t="str">
        <x:v>West Sussex</x:v>
      </x:c>
      <x:c r="H547" s="43" t="str">
        <x:v>PO20 2BH</x:v>
      </x:c>
      <x:c r="I547" s="43" t="n">
        <x:v>2</x:v>
      </x:c>
      <x:c r="J547" s="43" t="n">
        <x:v>13</x:v>
      </x:c>
      <x:c r="K547" s="43" t="str">
        <x:v>Boarding school</x:v>
      </x:c>
      <x:c r="L547" s="43" t="str">
        <x:v>Does not have a sixth form</x:v>
      </x:c>
      <x:c r="M547" s="43" t="n">
        <x:v>302</x:v>
      </x:c>
      <x:c r="N547" s="43" t="str">
        <x:v>https://www.westbournehouse.org</x:v>
      </x:c>
      <x:c r="O547" s="43" t="str">
        <x:v>01243782739</x:v>
      </x:c>
      <x:c r="P547" s="43" t="str"/>
      <x:c r="Q547" s="43" t="str"/>
      <x:c r="R547" s="43" t="str">
        <x:v>Queued for contact research</x:v>
      </x:c>
      <x:c r="S547" s="43" t="str">
        <x:v>Not reviewed</x:v>
      </x:c>
      <x:c r="T547" s="43" t="str">
        <x:v>Hold</x:v>
      </x:c>
      <x:c r="U547" s="43" t="str">
        <x:v>No</x:v>
      </x:c>
      <x:c r="V547" s="44"/>
      <x:c r="W547" s="43" t="str"/>
      <x:c r="X547" s="43" t="str"/>
      <x:c r="Y547" s="43" t="str"/>
      <x:c r="Z547" s="43" t="str">
        <x:v>https://www.get-information-schools.service.gov.uk/Downloads</x:v>
      </x:c>
    </x:row>
    <x:row r="548">
      <x:c r="A548" s="43" t="str">
        <x:v>UK independent</x:v>
      </x:c>
      <x:c r="B548" s="43" t="str">
        <x:v>121752</x:v>
      </x:c>
      <x:c r="C548" s="43" t="n">
        <x:f>IF(K548="Boarding school",30,0)+IF(J548&gt;=18,20,0)+IF(I548&lt;=11,10,0)+IF(L548="Has a sixth form",15,0)+IF(M548&gt;=200,10,0)+IF(N548&lt;&gt;"",10,0)</x:f>
        <x:v>60</x:v>
      </x:c>
      <x:c r="D548" s="43" t="str">
        <x:f>IF(C548&gt;=85,"A",IF(C548&gt;=65,"B","C"))</x:f>
        <x:v>C</x:v>
      </x:c>
      <x:c r="E548" s="43" t="str">
        <x:v>Cundall Manor School</x:v>
      </x:c>
      <x:c r="F548" s="43" t="str"/>
      <x:c r="G548" s="43" t="str"/>
      <x:c r="H548" s="43" t="str">
        <x:v>YO61 2RW</x:v>
      </x:c>
      <x:c r="I548" s="43" t="n">
        <x:v>2</x:v>
      </x:c>
      <x:c r="J548" s="43" t="n">
        <x:v>16</x:v>
      </x:c>
      <x:c r="K548" s="43" t="str">
        <x:v>Boarding school</x:v>
      </x:c>
      <x:c r="L548" s="43" t="str">
        <x:v>Does not have a sixth form</x:v>
      </x:c>
      <x:c r="M548" s="43" t="n">
        <x:v>295</x:v>
      </x:c>
      <x:c r="N548" s="43" t="str">
        <x:v>https://www.cundallmanorschool.com</x:v>
      </x:c>
      <x:c r="O548" s="43" t="str">
        <x:v>01423360200</x:v>
      </x:c>
      <x:c r="P548" s="43" t="str"/>
      <x:c r="Q548" s="43" t="str"/>
      <x:c r="R548" s="43" t="str">
        <x:v>Queued for contact research</x:v>
      </x:c>
      <x:c r="S548" s="43" t="str">
        <x:v>Not reviewed</x:v>
      </x:c>
      <x:c r="T548" s="43" t="str">
        <x:v>Hold</x:v>
      </x:c>
      <x:c r="U548" s="43" t="str">
        <x:v>No</x:v>
      </x:c>
      <x:c r="V548" s="44"/>
      <x:c r="W548" s="43" t="str"/>
      <x:c r="X548" s="43" t="str"/>
      <x:c r="Y548" s="43" t="str"/>
      <x:c r="Z548" s="43" t="str">
        <x:v>https://www.get-information-schools.service.gov.uk/Downloads</x:v>
      </x:c>
    </x:row>
    <x:row r="549">
      <x:c r="A549" s="43" t="str">
        <x:v>UK independent</x:v>
      </x:c>
      <x:c r="B549" s="43" t="str">
        <x:v>110551</x:v>
      </x:c>
      <x:c r="C549" s="43" t="n">
        <x:f>IF(K549="Boarding school",30,0)+IF(J549&gt;=18,20,0)+IF(I549&lt;=11,10,0)+IF(L549="Has a sixth form",15,0)+IF(M549&gt;=200,10,0)+IF(N549&lt;&gt;"",10,0)</x:f>
        <x:v>60</x:v>
      </x:c>
      <x:c r="D549" s="43" t="str">
        <x:f>IF(C549&gt;=85,"A",IF(C549&gt;=65,"B","C"))</x:f>
        <x:v>C</x:v>
      </x:c>
      <x:c r="E549" s="43" t="str">
        <x:v>Swanbourne House School</x:v>
      </x:c>
      <x:c r="F549" s="43" t="str">
        <x:v>Milton Keynes</x:v>
      </x:c>
      <x:c r="G549" s="43" t="str">
        <x:v>Buckinghamshire</x:v>
      </x:c>
      <x:c r="H549" s="43" t="str">
        <x:v>MK17 0HZ</x:v>
      </x:c>
      <x:c r="I549" s="43" t="n">
        <x:v>2</x:v>
      </x:c>
      <x:c r="J549" s="43" t="n">
        <x:v>13</x:v>
      </x:c>
      <x:c r="K549" s="43" t="str">
        <x:v>Boarding school</x:v>
      </x:c>
      <x:c r="L549" s="43" t="str">
        <x:v>Does not have a sixth form</x:v>
      </x:c>
      <x:c r="M549" s="43" t="n">
        <x:v>295</x:v>
      </x:c>
      <x:c r="N549" s="43" t="str">
        <x:v>https://www.swanbourne.org</x:v>
      </x:c>
      <x:c r="O549" s="43" t="str">
        <x:v>01296720264</x:v>
      </x:c>
      <x:c r="P549" s="43" t="str"/>
      <x:c r="Q549" s="43" t="str"/>
      <x:c r="R549" s="43" t="str">
        <x:v>Queued for contact research</x:v>
      </x:c>
      <x:c r="S549" s="43" t="str">
        <x:v>Not reviewed</x:v>
      </x:c>
      <x:c r="T549" s="43" t="str">
        <x:v>Hold</x:v>
      </x:c>
      <x:c r="U549" s="43" t="str">
        <x:v>No</x:v>
      </x:c>
      <x:c r="V549" s="44"/>
      <x:c r="W549" s="43" t="str"/>
      <x:c r="X549" s="43" t="str"/>
      <x:c r="Y549" s="43" t="str"/>
      <x:c r="Z549" s="43" t="str">
        <x:v>https://www.get-information-schools.service.gov.uk/Downloads</x:v>
      </x:c>
    </x:row>
    <x:row r="550">
      <x:c r="A550" s="43" t="str">
        <x:v>UK independent</x:v>
      </x:c>
      <x:c r="B550" s="43" t="str">
        <x:v>114629</x:v>
      </x:c>
      <x:c r="C550" s="43" t="n">
        <x:f>IF(K550="Boarding school",30,0)+IF(J550&gt;=18,20,0)+IF(I550&lt;=11,10,0)+IF(L550="Has a sixth form",15,0)+IF(M550&gt;=200,10,0)+IF(N550&lt;&gt;"",10,0)</x:f>
        <x:v>60</x:v>
      </x:c>
      <x:c r="D550" s="43" t="str">
        <x:f>IF(C550&gt;=85,"A",IF(C550&gt;=65,"B","C"))</x:f>
        <x:v>C</x:v>
      </x:c>
      <x:c r="E550" s="43" t="str">
        <x:v>Marlborough House Vinehall School</x:v>
      </x:c>
      <x:c r="F550" s="43" t="str">
        <x:v>Robertsbridge</x:v>
      </x:c>
      <x:c r="G550" s="43" t="str">
        <x:v>East Sussex</x:v>
      </x:c>
      <x:c r="H550" s="43" t="str">
        <x:v>TN32 5JL</x:v>
      </x:c>
      <x:c r="I550" s="43" t="n">
        <x:v>2</x:v>
      </x:c>
      <x:c r="J550" s="43" t="n">
        <x:v>14</x:v>
      </x:c>
      <x:c r="K550" s="43" t="str">
        <x:v>Boarding school</x:v>
      </x:c>
      <x:c r="L550" s="43" t="str">
        <x:v>Does not have a sixth form</x:v>
      </x:c>
      <x:c r="M550" s="43" t="n">
        <x:v>292</x:v>
      </x:c>
      <x:c r="N550" s="43" t="str">
        <x:v>https://www.mhvschool.co.uk</x:v>
      </x:c>
      <x:c r="O550" s="43" t="str">
        <x:v>01580880413</x:v>
      </x:c>
      <x:c r="P550" s="43" t="str"/>
      <x:c r="Q550" s="43" t="str"/>
      <x:c r="R550" s="43" t="str">
        <x:v>Queued for contact research</x:v>
      </x:c>
      <x:c r="S550" s="43" t="str">
        <x:v>Not reviewed</x:v>
      </x:c>
      <x:c r="T550" s="43" t="str">
        <x:v>Hold</x:v>
      </x:c>
      <x:c r="U550" s="43" t="str">
        <x:v>No</x:v>
      </x:c>
      <x:c r="V550" s="44"/>
      <x:c r="W550" s="43" t="str"/>
      <x:c r="X550" s="43" t="str"/>
      <x:c r="Y550" s="43" t="str"/>
      <x:c r="Z550" s="43" t="str">
        <x:v>https://www.get-information-schools.service.gov.uk/Downloads</x:v>
      </x:c>
    </x:row>
    <x:row r="551">
      <x:c r="A551" s="43" t="str">
        <x:v>UK independent</x:v>
      </x:c>
      <x:c r="B551" s="43" t="str">
        <x:v>110131</x:v>
      </x:c>
      <x:c r="C551" s="43" t="n">
        <x:f>IF(K551="Boarding school",30,0)+IF(J551&gt;=18,20,0)+IF(I551&lt;=11,10,0)+IF(L551="Has a sixth form",15,0)+IF(M551&gt;=200,10,0)+IF(N551&lt;&gt;"",10,0)</x:f>
        <x:v>60</x:v>
      </x:c>
      <x:c r="D551" s="43" t="str">
        <x:f>IF(C551&gt;=85,"A",IF(C551&gt;=65,"B","C"))</x:f>
        <x:v>C</x:v>
      </x:c>
      <x:c r="E551" s="43" t="str">
        <x:v>St George's School</x:v>
      </x:c>
      <x:c r="F551" s="43" t="str"/>
      <x:c r="G551" s="43" t="str"/>
      <x:c r="H551" s="43" t="str">
        <x:v>SL4 1QF</x:v>
      </x:c>
      <x:c r="I551" s="43" t="n">
        <x:v>3</x:v>
      </x:c>
      <x:c r="J551" s="43" t="n">
        <x:v>14</x:v>
      </x:c>
      <x:c r="K551" s="43" t="str">
        <x:v>Boarding school</x:v>
      </x:c>
      <x:c r="L551" s="43" t="str">
        <x:v>Does not have a sixth form</x:v>
      </x:c>
      <x:c r="M551" s="43" t="n">
        <x:v>292</x:v>
      </x:c>
      <x:c r="N551" s="43" t="str">
        <x:v>https://www.stgwindsor.org</x:v>
      </x:c>
      <x:c r="O551" s="43" t="str">
        <x:v>01753865553</x:v>
      </x:c>
      <x:c r="P551" s="43" t="str"/>
      <x:c r="Q551" s="43" t="str"/>
      <x:c r="R551" s="43" t="str">
        <x:v>Queued for contact research</x:v>
      </x:c>
      <x:c r="S551" s="43" t="str">
        <x:v>Not reviewed</x:v>
      </x:c>
      <x:c r="T551" s="43" t="str">
        <x:v>Hold</x:v>
      </x:c>
      <x:c r="U551" s="43" t="str">
        <x:v>No</x:v>
      </x:c>
      <x:c r="V551" s="44"/>
      <x:c r="W551" s="43" t="str"/>
      <x:c r="X551" s="43" t="str"/>
      <x:c r="Y551" s="43" t="str"/>
      <x:c r="Z551" s="43" t="str">
        <x:v>https://www.get-information-schools.service.gov.uk/Downloads</x:v>
      </x:c>
    </x:row>
    <x:row r="552">
      <x:c r="A552" s="43" t="str">
        <x:v>UK independent</x:v>
      </x:c>
      <x:c r="B552" s="43" t="str">
        <x:v>118955</x:v>
      </x:c>
      <x:c r="C552" s="43" t="n">
        <x:f>IF(K552="Boarding school",30,0)+IF(J552&gt;=18,20,0)+IF(I552&lt;=11,10,0)+IF(L552="Has a sixth form",15,0)+IF(M552&gt;=200,10,0)+IF(N552&lt;&gt;"",10,0)</x:f>
        <x:v>60</x:v>
      </x:c>
      <x:c r="D552" s="43" t="str">
        <x:f>IF(C552&gt;=85,"A",IF(C552&gt;=65,"B","C"))</x:f>
        <x:v>C</x:v>
      </x:c>
      <x:c r="E552" s="43" t="str">
        <x:v>The New Beacon School</x:v>
      </x:c>
      <x:c r="F552" s="43" t="str">
        <x:v>Sevenoaks</x:v>
      </x:c>
      <x:c r="G552" s="43" t="str">
        <x:v>Kent</x:v>
      </x:c>
      <x:c r="H552" s="43" t="str">
        <x:v>TN13 2PB</x:v>
      </x:c>
      <x:c r="I552" s="43" t="n">
        <x:v>2</x:v>
      </x:c>
      <x:c r="J552" s="43" t="n">
        <x:v>14</x:v>
      </x:c>
      <x:c r="K552" s="43" t="str">
        <x:v>Boarding school</x:v>
      </x:c>
      <x:c r="L552" s="43" t="str">
        <x:v>Does not have a sixth form</x:v>
      </x:c>
      <x:c r="M552" s="43" t="n">
        <x:v>284</x:v>
      </x:c>
      <x:c r="N552" s="43" t="str">
        <x:v>https://www.newbeacon.org.uk</x:v>
      </x:c>
      <x:c r="O552" s="43" t="str">
        <x:v>01732452131</x:v>
      </x:c>
      <x:c r="P552" s="43" t="str"/>
      <x:c r="Q552" s="43" t="str"/>
      <x:c r="R552" s="43" t="str">
        <x:v>Queued for contact research</x:v>
      </x:c>
      <x:c r="S552" s="43" t="str">
        <x:v>Not reviewed</x:v>
      </x:c>
      <x:c r="T552" s="43" t="str">
        <x:v>Hold</x:v>
      </x:c>
      <x:c r="U552" s="43" t="str">
        <x:v>No</x:v>
      </x:c>
      <x:c r="V552" s="44"/>
      <x:c r="W552" s="43" t="str"/>
      <x:c r="X552" s="43" t="str"/>
      <x:c r="Y552" s="43" t="str"/>
      <x:c r="Z552" s="43" t="str">
        <x:v>https://www.get-information-schools.service.gov.uk/Downloads</x:v>
      </x:c>
    </x:row>
    <x:row r="553">
      <x:c r="A553" s="43" t="str">
        <x:v>UK independent</x:v>
      </x:c>
      <x:c r="B553" s="43" t="str">
        <x:v>123607</x:v>
      </x:c>
      <x:c r="C553" s="43" t="n">
        <x:f>IF(K553="Boarding school",30,0)+IF(J553&gt;=18,20,0)+IF(I553&lt;=11,10,0)+IF(L553="Has a sixth form",15,0)+IF(M553&gt;=200,10,0)+IF(N553&lt;&gt;"",10,0)</x:f>
        <x:v>60</x:v>
      </x:c>
      <x:c r="D553" s="43" t="str">
        <x:f>IF(C553&gt;=85,"A",IF(C553&gt;=65,"B","C"))</x:f>
        <x:v>C</x:v>
      </x:c>
      <x:c r="E553" s="43" t="str">
        <x:v>Prestfelde School</x:v>
      </x:c>
      <x:c r="F553" s="43" t="str">
        <x:v>Shrewsbury</x:v>
      </x:c>
      <x:c r="G553" s="43" t="str">
        <x:v>Shropshire</x:v>
      </x:c>
      <x:c r="H553" s="43" t="str">
        <x:v>SY2 6NZ</x:v>
      </x:c>
      <x:c r="I553" s="43" t="n">
        <x:v>3</x:v>
      </x:c>
      <x:c r="J553" s="43" t="n">
        <x:v>13</x:v>
      </x:c>
      <x:c r="K553" s="43" t="str">
        <x:v>Boarding school</x:v>
      </x:c>
      <x:c r="L553" s="43" t="str">
        <x:v>Does not have a sixth form</x:v>
      </x:c>
      <x:c r="M553" s="43" t="n">
        <x:v>283</x:v>
      </x:c>
      <x:c r="N553" s="43" t="str">
        <x:v>http://www.prestfelde.co.uk</x:v>
      </x:c>
      <x:c r="O553" s="43" t="str">
        <x:v>01743245400</x:v>
      </x:c>
      <x:c r="P553" s="43" t="str"/>
      <x:c r="Q553" s="43" t="str"/>
      <x:c r="R553" s="43" t="str">
        <x:v>Queued for contact research</x:v>
      </x:c>
      <x:c r="S553" s="43" t="str">
        <x:v>Not reviewed</x:v>
      </x:c>
      <x:c r="T553" s="43" t="str">
        <x:v>Hold</x:v>
      </x:c>
      <x:c r="U553" s="43" t="str">
        <x:v>No</x:v>
      </x:c>
      <x:c r="V553" s="44"/>
      <x:c r="W553" s="43" t="str"/>
      <x:c r="X553" s="43" t="str"/>
      <x:c r="Y553" s="43" t="str"/>
      <x:c r="Z553" s="43" t="str">
        <x:v>https://www.get-information-schools.service.gov.uk/Downloads</x:v>
      </x:c>
    </x:row>
    <x:row r="554">
      <x:c r="A554" s="43" t="str">
        <x:v>UK independent</x:v>
      </x:c>
      <x:c r="B554" s="43" t="str">
        <x:v>126150</x:v>
      </x:c>
      <x:c r="C554" s="43" t="n">
        <x:f>IF(K554="Boarding school",30,0)+IF(J554&gt;=18,20,0)+IF(I554&lt;=11,10,0)+IF(L554="Has a sixth form",15,0)+IF(M554&gt;=200,10,0)+IF(N554&lt;&gt;"",10,0)</x:f>
        <x:v>60</x:v>
      </x:c>
      <x:c r="D554" s="43" t="str">
        <x:f>IF(C554&gt;=85,"A",IF(C554&gt;=65,"B","C"))</x:f>
        <x:v>C</x:v>
      </x:c>
      <x:c r="E554" s="43" t="str">
        <x:v>Brambletye School</x:v>
      </x:c>
      <x:c r="F554" s="43" t="str">
        <x:v>East Grinstead</x:v>
      </x:c>
      <x:c r="G554" s="43" t="str">
        <x:v>West Sussex</x:v>
      </x:c>
      <x:c r="H554" s="43" t="str">
        <x:v>RH19 3PD</x:v>
      </x:c>
      <x:c r="I554" s="43" t="n">
        <x:v>2</x:v>
      </x:c>
      <x:c r="J554" s="43" t="n">
        <x:v>14</x:v>
      </x:c>
      <x:c r="K554" s="43" t="str">
        <x:v>Boarding school</x:v>
      </x:c>
      <x:c r="L554" s="43" t="str">
        <x:v>Does not have a sixth form</x:v>
      </x:c>
      <x:c r="M554" s="43" t="n">
        <x:v>282</x:v>
      </x:c>
      <x:c r="N554" s="43" t="str">
        <x:v>https://www.brambletye.co.uk</x:v>
      </x:c>
      <x:c r="O554" s="43" t="str">
        <x:v>01342321004</x:v>
      </x:c>
      <x:c r="P554" s="43" t="str"/>
      <x:c r="Q554" s="43" t="str"/>
      <x:c r="R554" s="43" t="str">
        <x:v>Queued for contact research</x:v>
      </x:c>
      <x:c r="S554" s="43" t="str">
        <x:v>Not reviewed</x:v>
      </x:c>
      <x:c r="T554" s="43" t="str">
        <x:v>Hold</x:v>
      </x:c>
      <x:c r="U554" s="43" t="str">
        <x:v>No</x:v>
      </x:c>
      <x:c r="V554" s="44"/>
      <x:c r="W554" s="43" t="str"/>
      <x:c r="X554" s="43" t="str"/>
      <x:c r="Y554" s="43" t="str"/>
      <x:c r="Z554" s="43" t="str">
        <x:v>https://www.get-information-schools.service.gov.uk/Downloads</x:v>
      </x:c>
    </x:row>
    <x:row r="555">
      <x:c r="A555" s="43" t="str">
        <x:v>UK independent</x:v>
      </x:c>
      <x:c r="B555" s="43" t="str">
        <x:v>100002</x:v>
      </x:c>
      <x:c r="C555" s="43" t="n">
        <x:f>IF(K555="Boarding school",30,0)+IF(J555&gt;=18,20,0)+IF(I555&lt;=11,10,0)+IF(L555="Has a sixth form",15,0)+IF(M555&gt;=200,10,0)+IF(N555&lt;&gt;"",10,0)</x:f>
        <x:v>60</x:v>
      </x:c>
      <x:c r="D555" s="43" t="str">
        <x:f>IF(C555&gt;=85,"A",IF(C555&gt;=65,"B","C"))</x:f>
        <x:v>C</x:v>
      </x:c>
      <x:c r="E555" s="43" t="str">
        <x:v>St Paul's Cathedral School</x:v>
      </x:c>
      <x:c r="F555" s="43" t="str">
        <x:v>London</x:v>
      </x:c>
      <x:c r="G555" s="43" t="str"/>
      <x:c r="H555" s="43" t="str">
        <x:v>EC4M 9AD</x:v>
      </x:c>
      <x:c r="I555" s="43" t="n">
        <x:v>4</x:v>
      </x:c>
      <x:c r="J555" s="43" t="n">
        <x:v>13</x:v>
      </x:c>
      <x:c r="K555" s="43" t="str">
        <x:v>Boarding school</x:v>
      </x:c>
      <x:c r="L555" s="43" t="str">
        <x:v>Does not have a sixth form</x:v>
      </x:c>
      <x:c r="M555" s="43" t="n">
        <x:v>280</x:v>
      </x:c>
      <x:c r="N555" s="43" t="str">
        <x:v>http://www.spcslondon.com</x:v>
      </x:c>
      <x:c r="O555" s="43" t="str">
        <x:v>02072485156</x:v>
      </x:c>
      <x:c r="P555" s="43" t="str"/>
      <x:c r="Q555" s="43" t="str"/>
      <x:c r="R555" s="43" t="str">
        <x:v>Queued for contact research</x:v>
      </x:c>
      <x:c r="S555" s="43" t="str">
        <x:v>Not reviewed</x:v>
      </x:c>
      <x:c r="T555" s="43" t="str">
        <x:v>Hold</x:v>
      </x:c>
      <x:c r="U555" s="43" t="str">
        <x:v>No</x:v>
      </x:c>
      <x:c r="V555" s="44"/>
      <x:c r="W555" s="43" t="str"/>
      <x:c r="X555" s="43" t="str"/>
      <x:c r="Y555" s="43" t="str"/>
      <x:c r="Z555" s="43" t="str">
        <x:v>https://www.get-information-schools.service.gov.uk/Downloads</x:v>
      </x:c>
    </x:row>
    <x:row r="556">
      <x:c r="A556" s="43" t="str">
        <x:v>UK independent</x:v>
      </x:c>
      <x:c r="B556" s="43" t="str">
        <x:v>101166</x:v>
      </x:c>
      <x:c r="C556" s="43" t="n">
        <x:f>IF(K556="Boarding school",30,0)+IF(J556&gt;=18,20,0)+IF(I556&lt;=11,10,0)+IF(L556="Has a sixth form",15,0)+IF(M556&gt;=200,10,0)+IF(N556&lt;&gt;"",10,0)</x:f>
        <x:v>60</x:v>
      </x:c>
      <x:c r="D556" s="43" t="str">
        <x:f>IF(C556&gt;=85,"A",IF(C556&gt;=65,"B","C"))</x:f>
        <x:v>C</x:v>
      </x:c>
      <x:c r="E556" s="43" t="str">
        <x:v>Westminster Cathedral Choir School</x:v>
      </x:c>
      <x:c r="F556" s="43" t="str">
        <x:v>London</x:v>
      </x:c>
      <x:c r="G556" s="43" t="str"/>
      <x:c r="H556" s="43" t="str">
        <x:v>SW1P 1QH</x:v>
      </x:c>
      <x:c r="I556" s="43" t="n">
        <x:v>4</x:v>
      </x:c>
      <x:c r="J556" s="43" t="n">
        <x:v>13</x:v>
      </x:c>
      <x:c r="K556" s="43" t="str">
        <x:v>Boarding school</x:v>
      </x:c>
      <x:c r="L556" s="43" t="str">
        <x:v>Does not have a sixth form</x:v>
      </x:c>
      <x:c r="M556" s="43" t="n">
        <x:v>266</x:v>
      </x:c>
      <x:c r="N556" s="43" t="str">
        <x:v>https://www.choirschool.com</x:v>
      </x:c>
      <x:c r="O556" s="43" t="str">
        <x:v>02077989081</x:v>
      </x:c>
      <x:c r="P556" s="43" t="str"/>
      <x:c r="Q556" s="43" t="str"/>
      <x:c r="R556" s="43" t="str">
        <x:v>Queued for contact research</x:v>
      </x:c>
      <x:c r="S556" s="43" t="str">
        <x:v>Not reviewed</x:v>
      </x:c>
      <x:c r="T556" s="43" t="str">
        <x:v>Hold</x:v>
      </x:c>
      <x:c r="U556" s="43" t="str">
        <x:v>No</x:v>
      </x:c>
      <x:c r="V556" s="44"/>
      <x:c r="W556" s="43" t="str"/>
      <x:c r="X556" s="43" t="str"/>
      <x:c r="Y556" s="43" t="str"/>
      <x:c r="Z556" s="43" t="str">
        <x:v>https://www.get-information-schools.service.gov.uk/Downloads</x:v>
      </x:c>
    </x:row>
    <x:row r="557">
      <x:c r="A557" s="43" t="str">
        <x:v>UK independent</x:v>
      </x:c>
      <x:c r="B557" s="43" t="str">
        <x:v>123286</x:v>
      </x:c>
      <x:c r="C557" s="43" t="n">
        <x:f>IF(K557="Boarding school",30,0)+IF(J557&gt;=18,20,0)+IF(I557&lt;=11,10,0)+IF(L557="Has a sixth form",15,0)+IF(M557&gt;=200,10,0)+IF(N557&lt;&gt;"",10,0)</x:f>
        <x:v>60</x:v>
      </x:c>
      <x:c r="D557" s="43" t="str">
        <x:f>IF(C557&gt;=85,"A",IF(C557&gt;=65,"B","C"))</x:f>
        <x:v>C</x:v>
      </x:c>
      <x:c r="E557" s="43" t="str">
        <x:v>Oratory Preparatory School</x:v>
      </x:c>
      <x:c r="F557" s="43" t="str"/>
      <x:c r="G557" s="43" t="str"/>
      <x:c r="H557" s="43" t="str">
        <x:v>RG8 7SF</x:v>
      </x:c>
      <x:c r="I557" s="43" t="n">
        <x:v>2</x:v>
      </x:c>
      <x:c r="J557" s="43" t="n">
        <x:v>13</x:v>
      </x:c>
      <x:c r="K557" s="43" t="str">
        <x:v>Boarding school</x:v>
      </x:c>
      <x:c r="L557" s="43" t="str">
        <x:v>Does not have a sixth form</x:v>
      </x:c>
      <x:c r="M557" s="43" t="n">
        <x:v>263</x:v>
      </x:c>
      <x:c r="N557" s="43" t="str">
        <x:v>https://www.oratoryprep.co.uk</x:v>
      </x:c>
      <x:c r="O557" s="43" t="str">
        <x:v>01189844511</x:v>
      </x:c>
      <x:c r="P557" s="43" t="str"/>
      <x:c r="Q557" s="43" t="str"/>
      <x:c r="R557" s="43" t="str">
        <x:v>Queued for contact research</x:v>
      </x:c>
      <x:c r="S557" s="43" t="str">
        <x:v>Not reviewed</x:v>
      </x:c>
      <x:c r="T557" s="43" t="str">
        <x:v>Hold</x:v>
      </x:c>
      <x:c r="U557" s="43" t="str">
        <x:v>No</x:v>
      </x:c>
      <x:c r="V557" s="44"/>
      <x:c r="W557" s="43" t="str"/>
      <x:c r="X557" s="43" t="str"/>
      <x:c r="Y557" s="43" t="str"/>
      <x:c r="Z557" s="43" t="str">
        <x:v>https://www.get-information-schools.service.gov.uk/Downloads</x:v>
      </x:c>
    </x:row>
    <x:row r="558">
      <x:c r="A558" s="43" t="str">
        <x:v>UK independent</x:v>
      </x:c>
      <x:c r="B558" s="43" t="str">
        <x:v>114652</x:v>
      </x:c>
      <x:c r="C558" s="43" t="n">
        <x:f>IF(K558="Boarding school",30,0)+IF(J558&gt;=18,20,0)+IF(I558&lt;=11,10,0)+IF(L558="Has a sixth form",15,0)+IF(M558&gt;=200,10,0)+IF(N558&lt;&gt;"",10,0)</x:f>
        <x:v>60</x:v>
      </x:c>
      <x:c r="D558" s="43" t="str">
        <x:f>IF(C558&gt;=85,"A",IF(C558&gt;=65,"B","C"))</x:f>
        <x:v>C</x:v>
      </x:c>
      <x:c r="E558" s="43" t="str">
        <x:v>St Andrew's Prep</x:v>
      </x:c>
      <x:c r="F558" s="43" t="str">
        <x:v>Eastbourne</x:v>
      </x:c>
      <x:c r="G558" s="43" t="str">
        <x:v>East Sussex</x:v>
      </x:c>
      <x:c r="H558" s="43" t="str">
        <x:v>BN20 7RP</x:v>
      </x:c>
      <x:c r="I558" s="43" t="n">
        <x:v>0</x:v>
      </x:c>
      <x:c r="J558" s="43" t="n">
        <x:v>14</x:v>
      </x:c>
      <x:c r="K558" s="43" t="str">
        <x:v>Boarding school</x:v>
      </x:c>
      <x:c r="L558" s="43" t="str">
        <x:v>Does not have a sixth form</x:v>
      </x:c>
      <x:c r="M558" s="43" t="n">
        <x:v>263</x:v>
      </x:c>
      <x:c r="N558" s="43" t="str">
        <x:v>https://www.standrewsprep.co.uk</x:v>
      </x:c>
      <x:c r="O558" s="43" t="str">
        <x:v>01323733203</x:v>
      </x:c>
      <x:c r="P558" s="43" t="str"/>
      <x:c r="Q558" s="43" t="str"/>
      <x:c r="R558" s="43" t="str">
        <x:v>Queued for contact research</x:v>
      </x:c>
      <x:c r="S558" s="43" t="str">
        <x:v>Not reviewed</x:v>
      </x:c>
      <x:c r="T558" s="43" t="str">
        <x:v>Hold</x:v>
      </x:c>
      <x:c r="U558" s="43" t="str">
        <x:v>No</x:v>
      </x:c>
      <x:c r="V558" s="44"/>
      <x:c r="W558" s="43" t="str"/>
      <x:c r="X558" s="43" t="str"/>
      <x:c r="Y558" s="43" t="str"/>
      <x:c r="Z558" s="43" t="str">
        <x:v>https://www.get-information-schools.service.gov.uk/Downloads</x:v>
      </x:c>
    </x:row>
    <x:row r="559">
      <x:c r="A559" s="43" t="str">
        <x:v>UK independent</x:v>
      </x:c>
      <x:c r="B559" s="43" t="str">
        <x:v>126113</x:v>
      </x:c>
      <x:c r="C559" s="43" t="n">
        <x:f>IF(K559="Boarding school",30,0)+IF(J559&gt;=18,20,0)+IF(I559&lt;=11,10,0)+IF(L559="Has a sixth form",15,0)+IF(M559&gt;=200,10,0)+IF(N559&lt;&gt;"",10,0)</x:f>
        <x:v>60</x:v>
      </x:c>
      <x:c r="D559" s="43" t="str">
        <x:f>IF(C559&gt;=85,"A",IF(C559&gt;=65,"B","C"))</x:f>
        <x:v>C</x:v>
      </x:c>
      <x:c r="E559" s="43" t="str">
        <x:v>Windlesham House School</x:v>
      </x:c>
      <x:c r="F559" s="43" t="str">
        <x:v>Pulborough</x:v>
      </x:c>
      <x:c r="G559" s="43" t="str">
        <x:v>West Sussex</x:v>
      </x:c>
      <x:c r="H559" s="43" t="str">
        <x:v>RH20 4AY</x:v>
      </x:c>
      <x:c r="I559" s="43" t="n">
        <x:v>3</x:v>
      </x:c>
      <x:c r="J559" s="43" t="n">
        <x:v>14</x:v>
      </x:c>
      <x:c r="K559" s="43" t="str">
        <x:v>Boarding school</x:v>
      </x:c>
      <x:c r="L559" s="43" t="str">
        <x:v>Does not have a sixth form</x:v>
      </x:c>
      <x:c r="M559" s="43" t="n">
        <x:v>263</x:v>
      </x:c>
      <x:c r="N559" s="43" t="str">
        <x:v>https://www.windlesham.com</x:v>
      </x:c>
      <x:c r="O559" s="43" t="str">
        <x:v>01903874700</x:v>
      </x:c>
      <x:c r="P559" s="43" t="str"/>
      <x:c r="Q559" s="43" t="str"/>
      <x:c r="R559" s="43" t="str">
        <x:v>Queued for contact research</x:v>
      </x:c>
      <x:c r="S559" s="43" t="str">
        <x:v>Not reviewed</x:v>
      </x:c>
      <x:c r="T559" s="43" t="str">
        <x:v>Hold</x:v>
      </x:c>
      <x:c r="U559" s="43" t="str">
        <x:v>No</x:v>
      </x:c>
      <x:c r="V559" s="44"/>
      <x:c r="W559" s="43" t="str"/>
      <x:c r="X559" s="43" t="str"/>
      <x:c r="Y559" s="43" t="str"/>
      <x:c r="Z559" s="43" t="str">
        <x:v>https://www.get-information-schools.service.gov.uk/Downloads</x:v>
      </x:c>
    </x:row>
    <x:row r="560">
      <x:c r="A560" s="43" t="str">
        <x:v>UK independent</x:v>
      </x:c>
      <x:c r="B560" s="43" t="str">
        <x:v>114653</x:v>
      </x:c>
      <x:c r="C560" s="43" t="n">
        <x:f>IF(K560="Boarding school",30,0)+IF(J560&gt;=18,20,0)+IF(I560&lt;=11,10,0)+IF(L560="Has a sixth form",15,0)+IF(M560&gt;=200,10,0)+IF(N560&lt;&gt;"",10,0)</x:f>
        <x:v>60</x:v>
      </x:c>
      <x:c r="D560" s="43" t="str">
        <x:f>IF(C560&gt;=85,"A",IF(C560&gt;=65,"B","C"))</x:f>
        <x:v>C</x:v>
      </x:c>
      <x:c r="E560" s="43" t="str">
        <x:v>Bede's Prep School</x:v>
      </x:c>
      <x:c r="F560" s="43" t="str">
        <x:v>Eastbourne</x:v>
      </x:c>
      <x:c r="G560" s="43" t="str">
        <x:v>East Sussex</x:v>
      </x:c>
      <x:c r="H560" s="43" t="str">
        <x:v>BN20 7XL</x:v>
      </x:c>
      <x:c r="I560" s="43" t="n">
        <x:v>0</x:v>
      </x:c>
      <x:c r="J560" s="43" t="n">
        <x:v>13</x:v>
      </x:c>
      <x:c r="K560" s="43" t="str">
        <x:v>Boarding school</x:v>
      </x:c>
      <x:c r="L560" s="43" t="str">
        <x:v>Does not have a sixth form</x:v>
      </x:c>
      <x:c r="M560" s="43" t="n">
        <x:v>261</x:v>
      </x:c>
      <x:c r="N560" s="43" t="str">
        <x:v>https://www.bedes.org/</x:v>
      </x:c>
      <x:c r="O560" s="43" t="str">
        <x:v>01323734222</x:v>
      </x:c>
      <x:c r="P560" s="43" t="str"/>
      <x:c r="Q560" s="43" t="str"/>
      <x:c r="R560" s="43" t="str">
        <x:v>Queued for contact research</x:v>
      </x:c>
      <x:c r="S560" s="43" t="str">
        <x:v>Not reviewed</x:v>
      </x:c>
      <x:c r="T560" s="43" t="str">
        <x:v>Hold</x:v>
      </x:c>
      <x:c r="U560" s="43" t="str">
        <x:v>No</x:v>
      </x:c>
      <x:c r="V560" s="44"/>
      <x:c r="W560" s="43" t="str"/>
      <x:c r="X560" s="43" t="str"/>
      <x:c r="Y560" s="43" t="str"/>
      <x:c r="Z560" s="43" t="str">
        <x:v>https://www.get-information-schools.service.gov.uk/Downloads</x:v>
      </x:c>
    </x:row>
    <x:row r="561">
      <x:c r="A561" s="43" t="str">
        <x:v>UK independent</x:v>
      </x:c>
      <x:c r="B561" s="43" t="str">
        <x:v>110540</x:v>
      </x:c>
      <x:c r="C561" s="43" t="n">
        <x:f>IF(K561="Boarding school",30,0)+IF(J561&gt;=18,20,0)+IF(I561&lt;=11,10,0)+IF(L561="Has a sixth form",15,0)+IF(M561&gt;=200,10,0)+IF(N561&lt;&gt;"",10,0)</x:f>
        <x:v>60</x:v>
      </x:c>
      <x:c r="D561" s="43" t="str">
        <x:f>IF(C561&gt;=85,"A",IF(C561&gt;=65,"B","C"))</x:f>
        <x:v>C</x:v>
      </x:c>
      <x:c r="E561" s="43" t="str">
        <x:v>Caldicott School</x:v>
      </x:c>
      <x:c r="F561" s="43" t="str">
        <x:v>Slough</x:v>
      </x:c>
      <x:c r="G561" s="43" t="str">
        <x:v>Buckinghamshire</x:v>
      </x:c>
      <x:c r="H561" s="43" t="str">
        <x:v>SL2 3SL</x:v>
      </x:c>
      <x:c r="I561" s="43" t="n">
        <x:v>7</x:v>
      </x:c>
      <x:c r="J561" s="43" t="n">
        <x:v>13</x:v>
      </x:c>
      <x:c r="K561" s="43" t="str">
        <x:v>Boarding school</x:v>
      </x:c>
      <x:c r="L561" s="43" t="str">
        <x:v>Does not have a sixth form</x:v>
      </x:c>
      <x:c r="M561" s="43" t="n">
        <x:v>254</x:v>
      </x:c>
      <x:c r="N561" s="43" t="str">
        <x:v>https://www.caldicott.com</x:v>
      </x:c>
      <x:c r="O561" s="43" t="str">
        <x:v>01753649300</x:v>
      </x:c>
      <x:c r="P561" s="43" t="str"/>
      <x:c r="Q561" s="43" t="str"/>
      <x:c r="R561" s="43" t="str">
        <x:v>Queued for contact research</x:v>
      </x:c>
      <x:c r="S561" s="43" t="str">
        <x:v>Not reviewed</x:v>
      </x:c>
      <x:c r="T561" s="43" t="str">
        <x:v>Hold</x:v>
      </x:c>
      <x:c r="U561" s="43" t="str">
        <x:v>No</x:v>
      </x:c>
      <x:c r="V561" s="44"/>
      <x:c r="W561" s="43" t="str"/>
      <x:c r="X561" s="43" t="str"/>
      <x:c r="Y561" s="43" t="str"/>
      <x:c r="Z561" s="43" t="str">
        <x:v>https://www.get-information-schools.service.gov.uk/Downloads</x:v>
      </x:c>
    </x:row>
    <x:row r="562">
      <x:c r="A562" s="43" t="str">
        <x:v>UK independent</x:v>
      </x:c>
      <x:c r="B562" s="43" t="str">
        <x:v>115783</x:v>
      </x:c>
      <x:c r="C562" s="43" t="n">
        <x:f>IF(K562="Boarding school",30,0)+IF(J562&gt;=18,20,0)+IF(I562&lt;=11,10,0)+IF(L562="Has a sixth form",15,0)+IF(M562&gt;=200,10,0)+IF(N562&lt;&gt;"",10,0)</x:f>
        <x:v>60</x:v>
      </x:c>
      <x:c r="D562" s="43" t="str">
        <x:f>IF(C562&gt;=85,"A",IF(C562&gt;=65,"B","C"))</x:f>
        <x:v>C</x:v>
      </x:c>
      <x:c r="E562" s="43" t="str">
        <x:v>Hatherop Castle School</x:v>
      </x:c>
      <x:c r="F562" s="43" t="str">
        <x:v>Gloucestershire</x:v>
      </x:c>
      <x:c r="G562" s="43" t="str"/>
      <x:c r="H562" s="43" t="str">
        <x:v>GL7 3NB</x:v>
      </x:c>
      <x:c r="I562" s="43" t="n">
        <x:v>2</x:v>
      </x:c>
      <x:c r="J562" s="43" t="n">
        <x:v>13</x:v>
      </x:c>
      <x:c r="K562" s="43" t="str">
        <x:v>Boarding school</x:v>
      </x:c>
      <x:c r="L562" s="43" t="str">
        <x:v>Does not have a sixth form</x:v>
      </x:c>
      <x:c r="M562" s="43" t="n">
        <x:v>243</x:v>
      </x:c>
      <x:c r="N562" s="43" t="str">
        <x:v>https://www.hatheropcastle.co.uk</x:v>
      </x:c>
      <x:c r="O562" s="43" t="str">
        <x:v>01285750206</x:v>
      </x:c>
      <x:c r="P562" s="43" t="str"/>
      <x:c r="Q562" s="43" t="str"/>
      <x:c r="R562" s="43" t="str">
        <x:v>Queued for contact research</x:v>
      </x:c>
      <x:c r="S562" s="43" t="str">
        <x:v>Not reviewed</x:v>
      </x:c>
      <x:c r="T562" s="43" t="str">
        <x:v>Hold</x:v>
      </x:c>
      <x:c r="U562" s="43" t="str">
        <x:v>No</x:v>
      </x:c>
      <x:c r="V562" s="44"/>
      <x:c r="W562" s="43" t="str"/>
      <x:c r="X562" s="43" t="str"/>
      <x:c r="Y562" s="43" t="str"/>
      <x:c r="Z562" s="43" t="str">
        <x:v>https://www.get-information-schools.service.gov.uk/Downloads</x:v>
      </x:c>
    </x:row>
    <x:row r="563">
      <x:c r="A563" s="43" t="str">
        <x:v>UK independent</x:v>
      </x:c>
      <x:c r="B563" s="43" t="str">
        <x:v>126518</x:v>
      </x:c>
      <x:c r="C563" s="43" t="n">
        <x:f>IF(K563="Boarding school",30,0)+IF(J563&gt;=18,20,0)+IF(I563&lt;=11,10,0)+IF(L563="Has a sixth form",15,0)+IF(M563&gt;=200,10,0)+IF(N563&lt;&gt;"",10,0)</x:f>
        <x:v>60</x:v>
      </x:c>
      <x:c r="D563" s="43" t="str">
        <x:f>IF(C563&gt;=85,"A",IF(C563&gt;=65,"B","C"))</x:f>
        <x:v>C</x:v>
      </x:c>
      <x:c r="E563" s="43" t="str">
        <x:v>Salisbury Cathedral School</x:v>
      </x:c>
      <x:c r="F563" s="43" t="str">
        <x:v>Salisbury</x:v>
      </x:c>
      <x:c r="G563" s="43" t="str">
        <x:v>Wiltshire</x:v>
      </x:c>
      <x:c r="H563" s="43" t="str">
        <x:v>SP1 2EQ</x:v>
      </x:c>
      <x:c r="I563" s="43" t="n">
        <x:v>2</x:v>
      </x:c>
      <x:c r="J563" s="43" t="n">
        <x:v>13</x:v>
      </x:c>
      <x:c r="K563" s="43" t="str">
        <x:v>Boarding school</x:v>
      </x:c>
      <x:c r="L563" s="43" t="str">
        <x:v>Does not have a sixth form</x:v>
      </x:c>
      <x:c r="M563" s="43" t="n">
        <x:v>230</x:v>
      </x:c>
      <x:c r="N563" s="43" t="str">
        <x:v>https://www.salisburycathedralschool.com</x:v>
      </x:c>
      <x:c r="O563" s="43" t="str">
        <x:v>01722555300</x:v>
      </x:c>
      <x:c r="P563" s="43" t="str"/>
      <x:c r="Q563" s="43" t="str"/>
      <x:c r="R563" s="43" t="str">
        <x:v>Queued for contact research</x:v>
      </x:c>
      <x:c r="S563" s="43" t="str">
        <x:v>Not reviewed</x:v>
      </x:c>
      <x:c r="T563" s="43" t="str">
        <x:v>Hold</x:v>
      </x:c>
      <x:c r="U563" s="43" t="str">
        <x:v>No</x:v>
      </x:c>
      <x:c r="V563" s="44"/>
      <x:c r="W563" s="43" t="str"/>
      <x:c r="X563" s="43" t="str"/>
      <x:c r="Y563" s="43" t="str"/>
      <x:c r="Z563" s="43" t="str">
        <x:v>https://www.get-information-schools.service.gov.uk/Downloads</x:v>
      </x:c>
    </x:row>
    <x:row r="564">
      <x:c r="A564" s="43" t="str">
        <x:v>UK independent</x:v>
      </x:c>
      <x:c r="B564" s="43" t="str">
        <x:v>110563</x:v>
      </x:c>
      <x:c r="C564" s="43" t="n">
        <x:f>IF(K564="Boarding school",30,0)+IF(J564&gt;=18,20,0)+IF(I564&lt;=11,10,0)+IF(L564="Has a sixth form",15,0)+IF(M564&gt;=200,10,0)+IF(N564&lt;&gt;"",10,0)</x:f>
        <x:v>60</x:v>
      </x:c>
      <x:c r="D564" s="43" t="str">
        <x:f>IF(C564&gt;=85,"A",IF(C564&gt;=65,"B","C"))</x:f>
        <x:v>C</x:v>
      </x:c>
      <x:c r="E564" s="43" t="str">
        <x:v>Ashfold School</x:v>
      </x:c>
      <x:c r="F564" s="43" t="str">
        <x:v>Aylesbury</x:v>
      </x:c>
      <x:c r="G564" s="43" t="str">
        <x:v>Buckinghamshire</x:v>
      </x:c>
      <x:c r="H564" s="43" t="str">
        <x:v>HP18 9NG</x:v>
      </x:c>
      <x:c r="I564" s="43" t="n">
        <x:v>2</x:v>
      </x:c>
      <x:c r="J564" s="43" t="n">
        <x:v>13</x:v>
      </x:c>
      <x:c r="K564" s="43" t="str">
        <x:v>Boarding school</x:v>
      </x:c>
      <x:c r="L564" s="43" t="str">
        <x:v>Does not have a sixth form</x:v>
      </x:c>
      <x:c r="M564" s="43" t="n">
        <x:v>226</x:v>
      </x:c>
      <x:c r="N564" s="43" t="str">
        <x:v>https://www.ashfoldschool.co.uk</x:v>
      </x:c>
      <x:c r="O564" s="43" t="str">
        <x:v>01844238237</x:v>
      </x:c>
      <x:c r="P564" s="43" t="str"/>
      <x:c r="Q564" s="43" t="str"/>
      <x:c r="R564" s="43" t="str">
        <x:v>Queued for contact research</x:v>
      </x:c>
      <x:c r="S564" s="43" t="str">
        <x:v>Not reviewed</x:v>
      </x:c>
      <x:c r="T564" s="43" t="str">
        <x:v>Hold</x:v>
      </x:c>
      <x:c r="U564" s="43" t="str">
        <x:v>No</x:v>
      </x:c>
      <x:c r="V564" s="44"/>
      <x:c r="W564" s="43" t="str"/>
      <x:c r="X564" s="43" t="str"/>
      <x:c r="Y564" s="43" t="str"/>
      <x:c r="Z564" s="43" t="str">
        <x:v>https://www.get-information-schools.service.gov.uk/Downloads</x:v>
      </x:c>
    </x:row>
    <x:row r="565">
      <x:c r="A565" s="43" t="str">
        <x:v>UK independent</x:v>
      </x:c>
      <x:c r="B565" s="43" t="str">
        <x:v>120727</x:v>
      </x:c>
      <x:c r="C565" s="43" t="n">
        <x:f>IF(K565="Boarding school",30,0)+IF(J565&gt;=18,20,0)+IF(I565&lt;=11,10,0)+IF(L565="Has a sixth form",15,0)+IF(M565&gt;=200,10,0)+IF(N565&lt;&gt;"",10,0)</x:f>
        <x:v>60</x:v>
      </x:c>
      <x:c r="D565" s="43" t="str">
        <x:f>IF(C565&gt;=85,"A",IF(C565&gt;=65,"B","C"))</x:f>
        <x:v>C</x:v>
      </x:c>
      <x:c r="E565" s="43" t="str">
        <x:v>Witham Hall School</x:v>
      </x:c>
      <x:c r="F565" s="43" t="str">
        <x:v>Bourne</x:v>
      </x:c>
      <x:c r="G565" s="43" t="str">
        <x:v>Lincolnshire</x:v>
      </x:c>
      <x:c r="H565" s="43" t="str">
        <x:v>PE10 0JJ</x:v>
      </x:c>
      <x:c r="I565" s="43" t="n">
        <x:v>4</x:v>
      </x:c>
      <x:c r="J565" s="43" t="n">
        <x:v>13</x:v>
      </x:c>
      <x:c r="K565" s="43" t="str">
        <x:v>Boarding school</x:v>
      </x:c>
      <x:c r="L565" s="43" t="str">
        <x:v>Does not have a sixth form</x:v>
      </x:c>
      <x:c r="M565" s="43" t="n">
        <x:v>225</x:v>
      </x:c>
      <x:c r="N565" s="43" t="str">
        <x:v>http://www.withamhall.com</x:v>
      </x:c>
      <x:c r="O565" s="43" t="str">
        <x:v>01778590222</x:v>
      </x:c>
      <x:c r="P565" s="43" t="str"/>
      <x:c r="Q565" s="43" t="str"/>
      <x:c r="R565" s="43" t="str">
        <x:v>Queued for contact research</x:v>
      </x:c>
      <x:c r="S565" s="43" t="str">
        <x:v>Not reviewed</x:v>
      </x:c>
      <x:c r="T565" s="43" t="str">
        <x:v>Hold</x:v>
      </x:c>
      <x:c r="U565" s="43" t="str">
        <x:v>No</x:v>
      </x:c>
      <x:c r="V565" s="44"/>
      <x:c r="W565" s="43" t="str"/>
      <x:c r="X565" s="43" t="str"/>
      <x:c r="Y565" s="43" t="str"/>
      <x:c r="Z565" s="43" t="str">
        <x:v>https://www.get-information-schools.service.gov.uk/Downloads</x:v>
      </x:c>
    </x:row>
    <x:row r="566">
      <x:c r="A566" s="43" t="str">
        <x:v>UK independent</x:v>
      </x:c>
      <x:c r="B566" s="43" t="str">
        <x:v>124875</x:v>
      </x:c>
      <x:c r="C566" s="43" t="n">
        <x:f>IF(K566="Boarding school",30,0)+IF(J566&gt;=18,20,0)+IF(I566&lt;=11,10,0)+IF(L566="Has a sixth form",15,0)+IF(M566&gt;=200,10,0)+IF(N566&lt;&gt;"",10,0)</x:f>
        <x:v>60</x:v>
      </x:c>
      <x:c r="D566" s="43" t="str">
        <x:f>IF(C566&gt;=85,"A",IF(C566&gt;=65,"B","C"))</x:f>
        <x:v>C</x:v>
      </x:c>
      <x:c r="E566" s="43" t="str">
        <x:v>Barnardiston Hall Preparatory School</x:v>
      </x:c>
      <x:c r="F566" s="43" t="str">
        <x:v>Haverhill</x:v>
      </x:c>
      <x:c r="G566" s="43" t="str">
        <x:v>Suffolk</x:v>
      </x:c>
      <x:c r="H566" s="43" t="str">
        <x:v>CB9 7TG</x:v>
      </x:c>
      <x:c r="I566" s="43" t="n">
        <x:v>1</x:v>
      </x:c>
      <x:c r="J566" s="43" t="n">
        <x:v>13</x:v>
      </x:c>
      <x:c r="K566" s="43" t="str">
        <x:v>Boarding school</x:v>
      </x:c>
      <x:c r="L566" s="43" t="str">
        <x:v>Does not have a sixth form</x:v>
      </x:c>
      <x:c r="M566" s="43" t="n">
        <x:v>223</x:v>
      </x:c>
      <x:c r="N566" s="43" t="str">
        <x:v>https://www.barnardiston-hall.co.uk</x:v>
      </x:c>
      <x:c r="O566" s="43" t="str">
        <x:v>01440786316</x:v>
      </x:c>
      <x:c r="P566" s="43" t="str"/>
      <x:c r="Q566" s="43" t="str"/>
      <x:c r="R566" s="43" t="str">
        <x:v>Queued for contact research</x:v>
      </x:c>
      <x:c r="S566" s="43" t="str">
        <x:v>Not reviewed</x:v>
      </x:c>
      <x:c r="T566" s="43" t="str">
        <x:v>Hold</x:v>
      </x:c>
      <x:c r="U566" s="43" t="str">
        <x:v>No</x:v>
      </x:c>
      <x:c r="V566" s="44"/>
      <x:c r="W566" s="43" t="str"/>
      <x:c r="X566" s="43" t="str"/>
      <x:c r="Y566" s="43" t="str"/>
      <x:c r="Z566" s="43" t="str">
        <x:v>https://www.get-information-schools.service.gov.uk/Downloads</x:v>
      </x:c>
    </x:row>
    <x:row r="567">
      <x:c r="A567" s="43" t="str">
        <x:v>UK independent</x:v>
      </x:c>
      <x:c r="B567" s="43" t="str">
        <x:v>121725</x:v>
      </x:c>
      <x:c r="C567" s="43" t="n">
        <x:f>IF(K567="Boarding school",30,0)+IF(J567&gt;=18,20,0)+IF(I567&lt;=11,10,0)+IF(L567="Has a sixth form",15,0)+IF(M567&gt;=200,10,0)+IF(N567&lt;&gt;"",10,0)</x:f>
        <x:v>60</x:v>
      </x:c>
      <x:c r="D567" s="43" t="str">
        <x:f>IF(C567&gt;=85,"A",IF(C567&gt;=65,"B","C"))</x:f>
        <x:v>C</x:v>
      </x:c>
      <x:c r="E567" s="43" t="str">
        <x:v>Queen Mary's School</x:v>
      </x:c>
      <x:c r="F567" s="43" t="str">
        <x:v>Thirsk</x:v>
      </x:c>
      <x:c r="G567" s="43" t="str">
        <x:v>North Yorkshire</x:v>
      </x:c>
      <x:c r="H567" s="43" t="str">
        <x:v>YO7 3BZ</x:v>
      </x:c>
      <x:c r="I567" s="43" t="n">
        <x:v>0</x:v>
      </x:c>
      <x:c r="J567" s="43" t="n">
        <x:v>16</x:v>
      </x:c>
      <x:c r="K567" s="43" t="str">
        <x:v>Boarding school</x:v>
      </x:c>
      <x:c r="L567" s="43" t="str">
        <x:v>Does not have a sixth form</x:v>
      </x:c>
      <x:c r="M567" s="43" t="n">
        <x:v>221</x:v>
      </x:c>
      <x:c r="N567" s="43" t="str">
        <x:v>https://www.queenmarys.org</x:v>
      </x:c>
      <x:c r="O567" s="43" t="str">
        <x:v>01845575000</x:v>
      </x:c>
      <x:c r="P567" s="43" t="str"/>
      <x:c r="Q567" s="43" t="str"/>
      <x:c r="R567" s="43" t="str">
        <x:v>Queued for contact research</x:v>
      </x:c>
      <x:c r="S567" s="43" t="str">
        <x:v>Not reviewed</x:v>
      </x:c>
      <x:c r="T567" s="43" t="str">
        <x:v>Hold</x:v>
      </x:c>
      <x:c r="U567" s="43" t="str">
        <x:v>No</x:v>
      </x:c>
      <x:c r="V567" s="44"/>
      <x:c r="W567" s="43" t="str"/>
      <x:c r="X567" s="43" t="str"/>
      <x:c r="Y567" s="43" t="str"/>
      <x:c r="Z567" s="43" t="str">
        <x:v>https://www.get-information-schools.service.gov.uk/Downloads</x:v>
      </x:c>
    </x:row>
    <x:row r="568">
      <x:c r="A568" s="43" t="str">
        <x:v>UK independent</x:v>
      </x:c>
      <x:c r="B568" s="43" t="str">
        <x:v>110546</x:v>
      </x:c>
      <x:c r="C568" s="43" t="n">
        <x:f>IF(K568="Boarding school",30,0)+IF(J568&gt;=18,20,0)+IF(I568&lt;=11,10,0)+IF(L568="Has a sixth form",15,0)+IF(M568&gt;=200,10,0)+IF(N568&lt;&gt;"",10,0)</x:f>
        <x:v>60</x:v>
      </x:c>
      <x:c r="D568" s="43" t="str">
        <x:f>IF(C568&gt;=85,"A",IF(C568&gt;=65,"B","C"))</x:f>
        <x:v>C</x:v>
      </x:c>
      <x:c r="E568" s="43" t="str">
        <x:v>Godstowe Preparatory School</x:v>
      </x:c>
      <x:c r="F568" s="43" t="str">
        <x:v>High Wycombe</x:v>
      </x:c>
      <x:c r="G568" s="43" t="str">
        <x:v>Buckinghamshire</x:v>
      </x:c>
      <x:c r="H568" s="43" t="str">
        <x:v>HP13 6PR</x:v>
      </x:c>
      <x:c r="I568" s="43" t="n">
        <x:v>2</x:v>
      </x:c>
      <x:c r="J568" s="43" t="n">
        <x:v>14</x:v>
      </x:c>
      <x:c r="K568" s="43" t="str">
        <x:v>Boarding school</x:v>
      </x:c>
      <x:c r="L568" s="43" t="str">
        <x:v>Does not have a sixth form</x:v>
      </x:c>
      <x:c r="M568" s="43" t="n">
        <x:v>220</x:v>
      </x:c>
      <x:c r="N568" s="43" t="str">
        <x:v>https://www.godstowe.org</x:v>
      </x:c>
      <x:c r="O568" s="43" t="str">
        <x:v>01494529273</x:v>
      </x:c>
      <x:c r="P568" s="43" t="str"/>
      <x:c r="Q568" s="43" t="str"/>
      <x:c r="R568" s="43" t="str">
        <x:v>Queued for contact research</x:v>
      </x:c>
      <x:c r="S568" s="43" t="str">
        <x:v>Not reviewed</x:v>
      </x:c>
      <x:c r="T568" s="43" t="str">
        <x:v>Hold</x:v>
      </x:c>
      <x:c r="U568" s="43" t="str">
        <x:v>No</x:v>
      </x:c>
      <x:c r="V568" s="44"/>
      <x:c r="W568" s="43" t="str"/>
      <x:c r="X568" s="43" t="str"/>
      <x:c r="Y568" s="43" t="str"/>
      <x:c r="Z568" s="43" t="str">
        <x:v>https://www.get-information-schools.service.gov.uk/Downloads</x:v>
      </x:c>
    </x:row>
    <x:row r="569">
      <x:c r="A569" s="43" t="str">
        <x:v>UK independent</x:v>
      </x:c>
      <x:c r="B569" s="43" t="str">
        <x:v>117002</x:v>
      </x:c>
      <x:c r="C569" s="43" t="n">
        <x:f>IF(K569="Boarding school",30,0)+IF(J569&gt;=18,20,0)+IF(I569&lt;=11,10,0)+IF(L569="Has a sixth form",15,0)+IF(M569&gt;=200,10,0)+IF(N569&lt;&gt;"",10,0)</x:f>
        <x:v>60</x:v>
      </x:c>
      <x:c r="D569" s="43" t="str">
        <x:f>IF(C569&gt;=85,"A",IF(C569&gt;=65,"B","C"))</x:f>
        <x:v>C</x:v>
      </x:c>
      <x:c r="E569" s="43" t="str">
        <x:v>The Downs, Malvern College Prep School</x:v>
      </x:c>
      <x:c r="F569" s="43" t="str">
        <x:v>Malvern</x:v>
      </x:c>
      <x:c r="G569" s="43" t="str">
        <x:v>Worcestershire</x:v>
      </x:c>
      <x:c r="H569" s="43" t="str">
        <x:v>WR13 6EY</x:v>
      </x:c>
      <x:c r="I569" s="43" t="n">
        <x:v>0</x:v>
      </x:c>
      <x:c r="J569" s="43" t="n">
        <x:v>13</x:v>
      </x:c>
      <x:c r="K569" s="43" t="str">
        <x:v>Boarding school</x:v>
      </x:c>
      <x:c r="L569" s="43" t="str">
        <x:v>Does not have a sixth form</x:v>
      </x:c>
      <x:c r="M569" s="43" t="n">
        <x:v>220</x:v>
      </x:c>
      <x:c r="N569" s="43" t="str">
        <x:v>https://www.thedownsmalvern.org.uk</x:v>
      </x:c>
      <x:c r="O569" s="43" t="str">
        <x:v>01684544100</x:v>
      </x:c>
      <x:c r="P569" s="43" t="str"/>
      <x:c r="Q569" s="43" t="str"/>
      <x:c r="R569" s="43" t="str">
        <x:v>Queued for contact research</x:v>
      </x:c>
      <x:c r="S569" s="43" t="str">
        <x:v>Not reviewed</x:v>
      </x:c>
      <x:c r="T569" s="43" t="str">
        <x:v>Hold</x:v>
      </x:c>
      <x:c r="U569" s="43" t="str">
        <x:v>No</x:v>
      </x:c>
      <x:c r="V569" s="44"/>
      <x:c r="W569" s="43" t="str"/>
      <x:c r="X569" s="43" t="str"/>
      <x:c r="Y569" s="43" t="str"/>
      <x:c r="Z569" s="43" t="str">
        <x:v>https://www.get-information-schools.service.gov.uk/Downloads</x:v>
      </x:c>
    </x:row>
    <x:row r="570">
      <x:c r="A570" s="43" t="str">
        <x:v>UK independent</x:v>
      </x:c>
      <x:c r="B570" s="43" t="str">
        <x:v>111472</x:v>
      </x:c>
      <x:c r="C570" s="43" t="n">
        <x:f>IF(K570="Boarding school",30,0)+IF(J570&gt;=18,20,0)+IF(I570&lt;=11,10,0)+IF(L570="Has a sixth form",15,0)+IF(M570&gt;=200,10,0)+IF(N570&lt;&gt;"",10,0)</x:f>
        <x:v>60</x:v>
      </x:c>
      <x:c r="D570" s="43" t="str">
        <x:f>IF(C570&gt;=85,"A",IF(C570&gt;=65,"B","C"))</x:f>
        <x:v>C</x:v>
      </x:c>
      <x:c r="E570" s="43" t="str">
        <x:v>Terra Nova School</x:v>
      </x:c>
      <x:c r="F570" s="43" t="str">
        <x:v>Crewe</x:v>
      </x:c>
      <x:c r="G570" s="43" t="str">
        <x:v>Cheshire</x:v>
      </x:c>
      <x:c r="H570" s="43" t="str">
        <x:v>CW4 8BT</x:v>
      </x:c>
      <x:c r="I570" s="43" t="n">
        <x:v>2</x:v>
      </x:c>
      <x:c r="J570" s="43" t="n">
        <x:v>13</x:v>
      </x:c>
      <x:c r="K570" s="43" t="str">
        <x:v>Boarding school</x:v>
      </x:c>
      <x:c r="L570" s="43" t="str">
        <x:v>Does not have a sixth form</x:v>
      </x:c>
      <x:c r="M570" s="43" t="n">
        <x:v>219</x:v>
      </x:c>
      <x:c r="N570" s="43" t="str">
        <x:v>https://www.tnschool.co.uk</x:v>
      </x:c>
      <x:c r="O570" s="43" t="str">
        <x:v>01477571251</x:v>
      </x:c>
      <x:c r="P570" s="43" t="str"/>
      <x:c r="Q570" s="43" t="str"/>
      <x:c r="R570" s="43" t="str">
        <x:v>Queued for contact research</x:v>
      </x:c>
      <x:c r="S570" s="43" t="str">
        <x:v>Not reviewed</x:v>
      </x:c>
      <x:c r="T570" s="43" t="str">
        <x:v>Hold</x:v>
      </x:c>
      <x:c r="U570" s="43" t="str">
        <x:v>No</x:v>
      </x:c>
      <x:c r="V570" s="44"/>
      <x:c r="W570" s="43" t="str"/>
      <x:c r="X570" s="43" t="str"/>
      <x:c r="Y570" s="43" t="str"/>
      <x:c r="Z570" s="43" t="str">
        <x:v>https://www.get-information-schools.service.gov.uk/Downloads</x:v>
      </x:c>
    </x:row>
    <x:row r="571">
      <x:c r="A571" s="43" t="str">
        <x:v>UK independent</x:v>
      </x:c>
      <x:c r="B571" s="43" t="str">
        <x:v>122377</x:v>
      </x:c>
      <x:c r="C571" s="43" t="n">
        <x:f>IF(K571="Boarding school",30,0)+IF(J571&gt;=18,20,0)+IF(I571&lt;=11,10,0)+IF(L571="Has a sixth form",15,0)+IF(M571&gt;=200,10,0)+IF(N571&lt;&gt;"",10,0)</x:f>
        <x:v>60</x:v>
      </x:c>
      <x:c r="D571" s="43" t="str">
        <x:f>IF(C571&gt;=85,"A",IF(C571&gt;=65,"B","C"))</x:f>
        <x:v>C</x:v>
      </x:c>
      <x:c r="E571" s="43" t="str">
        <x:v>Mowden Hall School</x:v>
      </x:c>
      <x:c r="F571" s="43" t="str">
        <x:v>Stocksfield</x:v>
      </x:c>
      <x:c r="G571" s="43" t="str">
        <x:v>Northumberland</x:v>
      </x:c>
      <x:c r="H571" s="43" t="str">
        <x:v>NE43 7TP</x:v>
      </x:c>
      <x:c r="I571" s="43" t="n">
        <x:v>2</x:v>
      </x:c>
      <x:c r="J571" s="43" t="n">
        <x:v>13</x:v>
      </x:c>
      <x:c r="K571" s="43" t="str">
        <x:v>Boarding school</x:v>
      </x:c>
      <x:c r="L571" s="43" t="str">
        <x:v>Does not have a sixth form</x:v>
      </x:c>
      <x:c r="M571" s="43" t="n">
        <x:v>211</x:v>
      </x:c>
      <x:c r="N571" s="43" t="str">
        <x:v>https://www.mowdenhall.org.uk</x:v>
      </x:c>
      <x:c r="O571" s="43" t="str">
        <x:v>01661842147</x:v>
      </x:c>
      <x:c r="P571" s="43" t="str"/>
      <x:c r="Q571" s="43" t="str"/>
      <x:c r="R571" s="43" t="str">
        <x:v>Queued for contact research</x:v>
      </x:c>
      <x:c r="S571" s="43" t="str">
        <x:v>Not reviewed</x:v>
      </x:c>
      <x:c r="T571" s="43" t="str">
        <x:v>Hold</x:v>
      </x:c>
      <x:c r="U571" s="43" t="str">
        <x:v>No</x:v>
      </x:c>
      <x:c r="V571" s="44"/>
      <x:c r="W571" s="43" t="str"/>
      <x:c r="X571" s="43" t="str"/>
      <x:c r="Y571" s="43" t="str"/>
      <x:c r="Z571" s="43" t="str">
        <x:v>https://www.get-information-schools.service.gov.uk/Downloads</x:v>
      </x:c>
    </x:row>
    <x:row r="572">
      <x:c r="A572" s="43" t="str">
        <x:v>UK independent</x:v>
      </x:c>
      <x:c r="B572" s="43" t="str">
        <x:v>110118</x:v>
      </x:c>
      <x:c r="C572" s="43" t="n">
        <x:f>IF(K572="Boarding school",30,0)+IF(J572&gt;=18,20,0)+IF(I572&lt;=11,10,0)+IF(L572="Has a sixth form",15,0)+IF(M572&gt;=200,10,0)+IF(N572&lt;&gt;"",10,0)</x:f>
        <x:v>60</x:v>
      </x:c>
      <x:c r="D572" s="43" t="str">
        <x:f>IF(C572&gt;=85,"A",IF(C572&gt;=65,"B","C"))</x:f>
        <x:v>C</x:v>
      </x:c>
      <x:c r="E572" s="43" t="str">
        <x:v>Papplewick School</x:v>
      </x:c>
      <x:c r="F572" s="43" t="str">
        <x:v>Ascot</x:v>
      </x:c>
      <x:c r="G572" s="43" t="str">
        <x:v>Berkshire</x:v>
      </x:c>
      <x:c r="H572" s="43" t="str">
        <x:v>SL5 7LH</x:v>
      </x:c>
      <x:c r="I572" s="43" t="n">
        <x:v>6</x:v>
      </x:c>
      <x:c r="J572" s="43" t="n">
        <x:v>13</x:v>
      </x:c>
      <x:c r="K572" s="43" t="str">
        <x:v>Boarding school</x:v>
      </x:c>
      <x:c r="L572" s="43" t="str">
        <x:v>Does not have a sixth form</x:v>
      </x:c>
      <x:c r="M572" s="43" t="n">
        <x:v>211</x:v>
      </x:c>
      <x:c r="N572" s="43" t="str">
        <x:v>https://www.papplewick.org.uk</x:v>
      </x:c>
      <x:c r="O572" s="43" t="str">
        <x:v>01344621488</x:v>
      </x:c>
      <x:c r="P572" s="43" t="str"/>
      <x:c r="Q572" s="43" t="str"/>
      <x:c r="R572" s="43" t="str">
        <x:v>Queued for contact research</x:v>
      </x:c>
      <x:c r="S572" s="43" t="str">
        <x:v>Not reviewed</x:v>
      </x:c>
      <x:c r="T572" s="43" t="str">
        <x:v>Hold</x:v>
      </x:c>
      <x:c r="U572" s="43" t="str">
        <x:v>No</x:v>
      </x:c>
      <x:c r="V572" s="44"/>
      <x:c r="W572" s="43" t="str"/>
      <x:c r="X572" s="43" t="str"/>
      <x:c r="Y572" s="43" t="str"/>
      <x:c r="Z572" s="43" t="str">
        <x:v>https://www.get-information-schools.service.gov.uk/Downloads</x:v>
      </x:c>
    </x:row>
    <x:row r="573">
      <x:c r="A573" s="43" t="str">
        <x:v>UK independent</x:v>
      </x:c>
      <x:c r="B573" s="43" t="str">
        <x:v>116535</x:v>
      </x:c>
      <x:c r="C573" s="43" t="n">
        <x:f>IF(K573="Boarding school",30,0)+IF(J573&gt;=18,20,0)+IF(I573&lt;=11,10,0)+IF(L573="Has a sixth form",15,0)+IF(M573&gt;=200,10,0)+IF(N573&lt;&gt;"",10,0)</x:f>
        <x:v>60</x:v>
      </x:c>
      <x:c r="D573" s="43" t="str">
        <x:f>IF(C573&gt;=85,"A",IF(C573&gt;=65,"B","C"))</x:f>
        <x:v>C</x:v>
      </x:c>
      <x:c r="E573" s="43" t="str">
        <x:v>The Pilgrims School</x:v>
      </x:c>
      <x:c r="F573" s="43" t="str">
        <x:v>Winchester</x:v>
      </x:c>
      <x:c r="G573" s="43" t="str">
        <x:v>Hampshire</x:v>
      </x:c>
      <x:c r="H573" s="43" t="str">
        <x:v>SO23 9LT</x:v>
      </x:c>
      <x:c r="I573" s="43" t="n">
        <x:v>4</x:v>
      </x:c>
      <x:c r="J573" s="43" t="n">
        <x:v>13</x:v>
      </x:c>
      <x:c r="K573" s="43" t="str">
        <x:v>Boarding school</x:v>
      </x:c>
      <x:c r="L573" s="43" t="str">
        <x:v>Does not have a sixth form</x:v>
      </x:c>
      <x:c r="M573" s="43" t="n">
        <x:v>211</x:v>
      </x:c>
      <x:c r="N573" s="43" t="str">
        <x:v>https://www.thepilgrims-school.co.uk</x:v>
      </x:c>
      <x:c r="O573" s="43" t="str">
        <x:v>01962854189</x:v>
      </x:c>
      <x:c r="P573" s="43" t="str"/>
      <x:c r="Q573" s="43" t="str"/>
      <x:c r="R573" s="43" t="str">
        <x:v>Queued for contact research</x:v>
      </x:c>
      <x:c r="S573" s="43" t="str">
        <x:v>Not reviewed</x:v>
      </x:c>
      <x:c r="T573" s="43" t="str">
        <x:v>Hold</x:v>
      </x:c>
      <x:c r="U573" s="43" t="str">
        <x:v>No</x:v>
      </x:c>
      <x:c r="V573" s="44"/>
      <x:c r="W573" s="43" t="str"/>
      <x:c r="X573" s="43" t="str"/>
      <x:c r="Y573" s="43" t="str"/>
      <x:c r="Z573" s="43" t="str">
        <x:v>https://www.get-information-schools.service.gov.uk/Downloads</x:v>
      </x:c>
    </x:row>
    <x:row r="574">
      <x:c r="A574" s="43" t="str">
        <x:v>UK independent</x:v>
      </x:c>
      <x:c r="B574" s="43" t="str">
        <x:v>119020</x:v>
      </x:c>
      <x:c r="C574" s="43" t="n">
        <x:f>IF(K574="Boarding school",30,0)+IF(J574&gt;=18,20,0)+IF(I574&lt;=11,10,0)+IF(L574="Has a sixth form",15,0)+IF(M574&gt;=200,10,0)+IF(N574&lt;&gt;"",10,0)</x:f>
        <x:v>60</x:v>
      </x:c>
      <x:c r="D574" s="43" t="str">
        <x:f>IF(C574&gt;=85,"A",IF(C574&gt;=65,"B","C"))</x:f>
        <x:v>C</x:v>
      </x:c>
      <x:c r="E574" s="43" t="str">
        <x:v>Kent College Nursery, Infant and Junior School</x:v>
      </x:c>
      <x:c r="F574" s="43" t="str">
        <x:v>Canterbury</x:v>
      </x:c>
      <x:c r="G574" s="43" t="str">
        <x:v>Kent</x:v>
      </x:c>
      <x:c r="H574" s="43" t="str">
        <x:v>CT2 9AQ</x:v>
      </x:c>
      <x:c r="I574" s="43" t="n">
        <x:v>2</x:v>
      </x:c>
      <x:c r="J574" s="43" t="n">
        <x:v>11</x:v>
      </x:c>
      <x:c r="K574" s="43" t="str">
        <x:v>Boarding school</x:v>
      </x:c>
      <x:c r="L574" s="43" t="str">
        <x:v>Does not have a sixth form</x:v>
      </x:c>
      <x:c r="M574" s="43" t="n">
        <x:v>204</x:v>
      </x:c>
      <x:c r="N574" s="43" t="str">
        <x:v>https://www.kentcollege.com</x:v>
      </x:c>
      <x:c r="O574" s="43" t="str">
        <x:v>01227762436</x:v>
      </x:c>
      <x:c r="P574" s="43" t="str"/>
      <x:c r="Q574" s="43" t="str"/>
      <x:c r="R574" s="43" t="str">
        <x:v>Queued for contact research</x:v>
      </x:c>
      <x:c r="S574" s="43" t="str">
        <x:v>Not reviewed</x:v>
      </x:c>
      <x:c r="T574" s="43" t="str">
        <x:v>Hold</x:v>
      </x:c>
      <x:c r="U574" s="43" t="str">
        <x:v>No</x:v>
      </x:c>
      <x:c r="V574" s="44"/>
      <x:c r="W574" s="43" t="str"/>
      <x:c r="X574" s="43" t="str"/>
      <x:c r="Y574" s="43" t="str"/>
      <x:c r="Z574" s="43" t="str">
        <x:v>https://www.get-information-schools.service.gov.uk/Downloads</x:v>
      </x:c>
    </x:row>
    <x:row r="575">
      <x:c r="A575" s="43" t="str">
        <x:v>UK independent</x:v>
      </x:c>
      <x:c r="B575" s="43" t="str">
        <x:v>113917</x:v>
      </x:c>
      <x:c r="C575" s="43" t="n">
        <x:f>IF(K575="Boarding school",30,0)+IF(J575&gt;=18,20,0)+IF(I575&lt;=11,10,0)+IF(L575="Has a sixth form",15,0)+IF(M575&gt;=200,10,0)+IF(N575&lt;&gt;"",10,0)</x:f>
        <x:v>60</x:v>
      </x:c>
      <x:c r="D575" s="43" t="str">
        <x:f>IF(C575&gt;=85,"A",IF(C575&gt;=65,"B","C"))</x:f>
        <x:v>C</x:v>
      </x:c>
      <x:c r="E575" s="43" t="str">
        <x:v>Sherborne Preparatory School</x:v>
      </x:c>
      <x:c r="F575" s="43" t="str">
        <x:v>Sherborne</x:v>
      </x:c>
      <x:c r="G575" s="43" t="str">
        <x:v>Dorset</x:v>
      </x:c>
      <x:c r="H575" s="43" t="str">
        <x:v>DT9 3NY</x:v>
      </x:c>
      <x:c r="I575" s="43" t="n">
        <x:v>3</x:v>
      </x:c>
      <x:c r="J575" s="43" t="n">
        <x:v>14</x:v>
      </x:c>
      <x:c r="K575" s="43" t="str">
        <x:v>Boarding school</x:v>
      </x:c>
      <x:c r="L575" s="43" t="str">
        <x:v>Does not have a sixth form</x:v>
      </x:c>
      <x:c r="M575" s="43" t="n">
        <x:v>204</x:v>
      </x:c>
      <x:c r="N575" s="43" t="str">
        <x:v>https://www.sherborneprep.group/</x:v>
      </x:c>
      <x:c r="O575" s="43" t="str">
        <x:v>01935812097</x:v>
      </x:c>
      <x:c r="P575" s="43" t="str"/>
      <x:c r="Q575" s="43" t="str"/>
      <x:c r="R575" s="43" t="str">
        <x:v>Queued for contact research</x:v>
      </x:c>
      <x:c r="S575" s="43" t="str">
        <x:v>Not reviewed</x:v>
      </x:c>
      <x:c r="T575" s="43" t="str">
        <x:v>Hold</x:v>
      </x:c>
      <x:c r="U575" s="43" t="str">
        <x:v>No</x:v>
      </x:c>
      <x:c r="V575" s="44"/>
      <x:c r="W575" s="43" t="str"/>
      <x:c r="X575" s="43" t="str"/>
      <x:c r="Y575" s="43" t="str"/>
      <x:c r="Z575" s="43" t="str">
        <x:v>https://www.get-information-schools.service.gov.uk/Downloads</x:v>
      </x:c>
    </x:row>
    <x:row r="576">
      <x:c r="A576" s="43" t="str">
        <x:v>UK independent</x:v>
      </x:c>
      <x:c r="B576" s="43" t="str">
        <x:v>125368</x:v>
      </x:c>
      <x:c r="C576" s="43" t="n">
        <x:f>IF(K576="Boarding school",30,0)+IF(J576&gt;=18,20,0)+IF(I576&lt;=11,10,0)+IF(L576="Has a sixth form",15,0)+IF(M576&gt;=200,10,0)+IF(N576&lt;&gt;"",10,0)</x:f>
        <x:v>60</x:v>
      </x:c>
      <x:c r="D576" s="43" t="str">
        <x:f>IF(C576&gt;=85,"A",IF(C576&gt;=65,"B","C"))</x:f>
        <x:v>C</x:v>
      </x:c>
      <x:c r="E576" s="43" t="str">
        <x:v>Aldro</x:v>
      </x:c>
      <x:c r="F576" s="43" t="str"/>
      <x:c r="G576" s="43" t="str"/>
      <x:c r="H576" s="43" t="str">
        <x:v>GU8 6AS</x:v>
      </x:c>
      <x:c r="I576" s="43" t="n">
        <x:v>3</x:v>
      </x:c>
      <x:c r="J576" s="43" t="n">
        <x:v>13</x:v>
      </x:c>
      <x:c r="K576" s="43" t="str">
        <x:v>Boarding school</x:v>
      </x:c>
      <x:c r="L576" s="43" t="str">
        <x:v>Does not have a sixth form</x:v>
      </x:c>
      <x:c r="M576" s="43" t="n">
        <x:v>202</x:v>
      </x:c>
      <x:c r="N576" s="43" t="str">
        <x:v>https://www.aldro.org</x:v>
      </x:c>
      <x:c r="O576" s="43" t="str">
        <x:v>01483813530</x:v>
      </x:c>
      <x:c r="P576" s="43" t="str"/>
      <x:c r="Q576" s="43" t="str"/>
      <x:c r="R576" s="43" t="str">
        <x:v>Queued for contact research</x:v>
      </x:c>
      <x:c r="S576" s="43" t="str">
        <x:v>Not reviewed</x:v>
      </x:c>
      <x:c r="T576" s="43" t="str">
        <x:v>Hold</x:v>
      </x:c>
      <x:c r="U576" s="43" t="str">
        <x:v>No</x:v>
      </x:c>
      <x:c r="V576" s="44"/>
      <x:c r="W576" s="43" t="str"/>
      <x:c r="X576" s="43" t="str"/>
      <x:c r="Y576" s="43" t="str"/>
      <x:c r="Z576" s="43" t="str">
        <x:v>https://www.get-information-schools.service.gov.uk/Downloads</x:v>
      </x:c>
    </x:row>
    <x:row r="577">
      <x:c r="A577" s="43" t="str">
        <x:v>UK independent</x:v>
      </x:c>
      <x:c r="B577" s="43" t="str">
        <x:v>123909</x:v>
      </x:c>
      <x:c r="C577" s="43" t="n">
        <x:f>IF(K577="Boarding school",30,0)+IF(J577&gt;=18,20,0)+IF(I577&lt;=11,10,0)+IF(L577="Has a sixth form",15,0)+IF(M577&gt;=200,10,0)+IF(N577&lt;&gt;"",10,0)</x:f>
        <x:v>60</x:v>
      </x:c>
      <x:c r="D577" s="43" t="str">
        <x:f>IF(C577&gt;=85,"A",IF(C577&gt;=65,"B","C"))</x:f>
        <x:v>C</x:v>
      </x:c>
      <x:c r="E577" s="43" t="str">
        <x:v>All Hallows School</x:v>
      </x:c>
      <x:c r="F577" s="43" t="str">
        <x:v>Shepton Mallet</x:v>
      </x:c>
      <x:c r="G577" s="43" t="str">
        <x:v>Somerset</x:v>
      </x:c>
      <x:c r="H577" s="43" t="str">
        <x:v>BA4 4SF</x:v>
      </x:c>
      <x:c r="I577" s="43" t="n">
        <x:v>3</x:v>
      </x:c>
      <x:c r="J577" s="43" t="n">
        <x:v>13</x:v>
      </x:c>
      <x:c r="K577" s="43" t="str">
        <x:v>Boarding school</x:v>
      </x:c>
      <x:c r="L577" s="43" t="str">
        <x:v>Does not have a sixth form</x:v>
      </x:c>
      <x:c r="M577" s="43" t="n">
        <x:v>201</x:v>
      </x:c>
      <x:c r="N577" s="43" t="str">
        <x:v>https://www.allhallowsschool.co.uk</x:v>
      </x:c>
      <x:c r="O577" s="43" t="str">
        <x:v>01749881600</x:v>
      </x:c>
      <x:c r="P577" s="43" t="str"/>
      <x:c r="Q577" s="43" t="str"/>
      <x:c r="R577" s="43" t="str">
        <x:v>Queued for contact research</x:v>
      </x:c>
      <x:c r="S577" s="43" t="str">
        <x:v>Not reviewed</x:v>
      </x:c>
      <x:c r="T577" s="43" t="str">
        <x:v>Hold</x:v>
      </x:c>
      <x:c r="U577" s="43" t="str">
        <x:v>No</x:v>
      </x:c>
      <x:c r="V577" s="44"/>
      <x:c r="W577" s="43" t="str"/>
      <x:c r="X577" s="43" t="str"/>
      <x:c r="Y577" s="43" t="str"/>
      <x:c r="Z577" s="43" t="str">
        <x:v>https://www.get-information-schools.service.gov.uk/Downloads</x:v>
      </x:c>
    </x:row>
    <x:row r="578">
      <x:c r="A578" s="43" t="str">
        <x:v>UK independent</x:v>
      </x:c>
      <x:c r="B578" s="43" t="str">
        <x:v>121732</x:v>
      </x:c>
      <x:c r="C578" s="43" t="n">
        <x:f>IF(K578="Boarding school",30,0)+IF(J578&gt;=18,20,0)+IF(I578&lt;=11,10,0)+IF(L578="Has a sixth form",15,0)+IF(M578&gt;=200,10,0)+IF(N578&lt;&gt;"",10,0)</x:f>
        <x:v>60</x:v>
      </x:c>
      <x:c r="D578" s="43" t="str">
        <x:f>IF(C578&gt;=85,"A",IF(C578&gt;=65,"B","C"))</x:f>
        <x:v>C</x:v>
      </x:c>
      <x:c r="E578" s="43" t="str">
        <x:v>Terrington Hall School</x:v>
      </x:c>
      <x:c r="F578" s="43" t="str">
        <x:v>York</x:v>
      </x:c>
      <x:c r="G578" s="43" t="str">
        <x:v>North Yorkshire</x:v>
      </x:c>
      <x:c r="H578" s="43" t="str">
        <x:v>YO60 6PR</x:v>
      </x:c>
      <x:c r="I578" s="43" t="n">
        <x:v>2</x:v>
      </x:c>
      <x:c r="J578" s="43" t="n">
        <x:v>14</x:v>
      </x:c>
      <x:c r="K578" s="43" t="str">
        <x:v>Boarding school</x:v>
      </x:c>
      <x:c r="L578" s="43" t="str">
        <x:v>Does not have a sixth form</x:v>
      </x:c>
      <x:c r="M578" s="43" t="n">
        <x:v>200</x:v>
      </x:c>
      <x:c r="N578" s="43" t="str">
        <x:v>https://www.terringtonhall.com</x:v>
      </x:c>
      <x:c r="O578" s="43" t="str">
        <x:v>01653648227</x:v>
      </x:c>
      <x:c r="P578" s="43" t="str"/>
      <x:c r="Q578" s="43" t="str"/>
      <x:c r="R578" s="43" t="str">
        <x:v>Queued for contact research</x:v>
      </x:c>
      <x:c r="S578" s="43" t="str">
        <x:v>Not reviewed</x:v>
      </x:c>
      <x:c r="T578" s="43" t="str">
        <x:v>Hold</x:v>
      </x:c>
      <x:c r="U578" s="43" t="str">
        <x:v>No</x:v>
      </x:c>
      <x:c r="V578" s="44"/>
      <x:c r="W578" s="43" t="str"/>
      <x:c r="X578" s="43" t="str"/>
      <x:c r="Y578" s="43" t="str"/>
      <x:c r="Z578" s="43" t="str">
        <x:v>https://www.get-information-schools.service.gov.uk/Downloads</x:v>
      </x:c>
    </x:row>
    <x:row r="579">
      <x:c r="A579" s="43" t="str">
        <x:v>UK independent</x:v>
      </x:c>
      <x:c r="B579" s="43" t="str">
        <x:v>103110</x:v>
      </x:c>
      <x:c r="C579" s="43" t="n">
        <x:f>IF(K579="Boarding school",30,0)+IF(J579&gt;=18,20,0)+IF(I579&lt;=11,10,0)+IF(L579="Has a sixth form",15,0)+IF(M579&gt;=200,10,0)+IF(N579&lt;&gt;"",10,0)</x:f>
        <x:v>55</x:v>
      </x:c>
      <x:c r="D579" s="43" t="str">
        <x:f>IF(C579&gt;=85,"A",IF(C579&gt;=65,"B","C"))</x:f>
        <x:v>C</x:v>
      </x:c>
      <x:c r="E579" s="43" t="str">
        <x:v>Forest School</x:v>
      </x:c>
      <x:c r="F579" s="43" t="str">
        <x:v>London</x:v>
      </x:c>
      <x:c r="G579" s="43" t="str"/>
      <x:c r="H579" s="43" t="str">
        <x:v>E17 3PY</x:v>
      </x:c>
      <x:c r="I579" s="43" t="n">
        <x:v>4</x:v>
      </x:c>
      <x:c r="J579" s="43" t="n">
        <x:v>18</x:v>
      </x:c>
      <x:c r="K579" s="43" t="str">
        <x:v>No boarders</x:v>
      </x:c>
      <x:c r="L579" s="43" t="str">
        <x:v>Has a sixth form</x:v>
      </x:c>
      <x:c r="M579" s="43" t="n">
        <x:v>1605</x:v>
      </x:c>
      <x:c r="N579" s="43" t="str"/>
      <x:c r="O579" s="43" t="str">
        <x:v>02085201744</x:v>
      </x:c>
      <x:c r="P579" s="43" t="str"/>
      <x:c r="Q579" s="43" t="str"/>
      <x:c r="R579" s="43" t="str">
        <x:v>Queued for contact research</x:v>
      </x:c>
      <x:c r="S579" s="43" t="str">
        <x:v>Not reviewed</x:v>
      </x:c>
      <x:c r="T579" s="43" t="str">
        <x:v>Hold</x:v>
      </x:c>
      <x:c r="U579" s="43" t="str">
        <x:v>No</x:v>
      </x:c>
      <x:c r="V579" s="44"/>
      <x:c r="W579" s="43" t="str"/>
      <x:c r="X579" s="43" t="str"/>
      <x:c r="Y579" s="43" t="str"/>
      <x:c r="Z579" s="43" t="str">
        <x:v>https://www.get-information-schools.service.gov.uk/Downloads</x:v>
      </x:c>
    </x:row>
    <x:row r="580">
      <x:c r="A580" s="43" t="str">
        <x:v>UK independent</x:v>
      </x:c>
      <x:c r="B580" s="43" t="str">
        <x:v>106157</x:v>
      </x:c>
      <x:c r="C580" s="43" t="n">
        <x:f>IF(K580="Boarding school",30,0)+IF(J580&gt;=18,20,0)+IF(I580&lt;=11,10,0)+IF(L580="Has a sixth form",15,0)+IF(M580&gt;=200,10,0)+IF(N580&lt;&gt;"",10,0)</x:f>
        <x:v>55</x:v>
      </x:c>
      <x:c r="D580" s="43" t="str">
        <x:f>IF(C580&gt;=85,"A",IF(C580&gt;=65,"B","C"))</x:f>
        <x:v>C</x:v>
      </x:c>
      <x:c r="E580" s="43" t="str">
        <x:v>Cheadle Hulme School</x:v>
      </x:c>
      <x:c r="F580" s="43" t="str">
        <x:v>Cheadle</x:v>
      </x:c>
      <x:c r="G580" s="43" t="str">
        <x:v>Cheshire</x:v>
      </x:c>
      <x:c r="H580" s="43" t="str">
        <x:v>SK8 6EF</x:v>
      </x:c>
      <x:c r="I580" s="43" t="n">
        <x:v>3</x:v>
      </x:c>
      <x:c r="J580" s="43" t="n">
        <x:v>18</x:v>
      </x:c>
      <x:c r="K580" s="43" t="str">
        <x:v>No boarders</x:v>
      </x:c>
      <x:c r="L580" s="43" t="str">
        <x:v>Has a sixth form</x:v>
      </x:c>
      <x:c r="M580" s="43" t="n">
        <x:v>1499</x:v>
      </x:c>
      <x:c r="N580" s="43" t="str"/>
      <x:c r="O580" s="43" t="str">
        <x:v>01614883330</x:v>
      </x:c>
      <x:c r="P580" s="43" t="str"/>
      <x:c r="Q580" s="43" t="str"/>
      <x:c r="R580" s="43" t="str">
        <x:v>Queued for contact research</x:v>
      </x:c>
      <x:c r="S580" s="43" t="str">
        <x:v>Not reviewed</x:v>
      </x:c>
      <x:c r="T580" s="43" t="str">
        <x:v>Hold</x:v>
      </x:c>
      <x:c r="U580" s="43" t="str">
        <x:v>No</x:v>
      </x:c>
      <x:c r="V580" s="44"/>
      <x:c r="W580" s="43" t="str"/>
      <x:c r="X580" s="43" t="str"/>
      <x:c r="Y580" s="43" t="str"/>
      <x:c r="Z580" s="43" t="str">
        <x:v>https://www.get-information-schools.service.gov.uk/Downloads</x:v>
      </x:c>
    </x:row>
    <x:row r="581">
      <x:c r="A581" s="43" t="str">
        <x:v>UK independent</x:v>
      </x:c>
      <x:c r="B581" s="43" t="str">
        <x:v>101849</x:v>
      </x:c>
      <x:c r="C581" s="43" t="n">
        <x:f>IF(K581="Boarding school",30,0)+IF(J581&gt;=18,20,0)+IF(I581&lt;=11,10,0)+IF(L581="Has a sixth form",15,0)+IF(M581&gt;=200,10,0)+IF(N581&lt;&gt;"",10,0)</x:f>
        <x:v>55</x:v>
      </x:c>
      <x:c r="D581" s="43" t="str">
        <x:f>IF(C581&gt;=85,"A",IF(C581&gt;=65,"B","C"))</x:f>
        <x:v>C</x:v>
      </x:c>
      <x:c r="E581" s="43" t="str">
        <x:v>BRIT School for Performing Arts and Technology</x:v>
      </x:c>
      <x:c r="F581" s="43" t="str">
        <x:v>Croydon</x:v>
      </x:c>
      <x:c r="G581" s="43" t="str">
        <x:v>Surrey</x:v>
      </x:c>
      <x:c r="H581" s="43" t="str">
        <x:v>CR0 2HN</x:v>
      </x:c>
      <x:c r="I581" s="43" t="n">
        <x:v>14</x:v>
      </x:c>
      <x:c r="J581" s="43" t="n">
        <x:v>19</x:v>
      </x:c>
      <x:c r="K581" s="43" t="str">
        <x:v>No boarders</x:v>
      </x:c>
      <x:c r="L581" s="43" t="str">
        <x:v>Has a sixth form</x:v>
      </x:c>
      <x:c r="M581" s="43" t="n">
        <x:v>1445</x:v>
      </x:c>
      <x:c r="N581" s="43" t="str">
        <x:v>http://www.brit.croydon.sch.uk/</x:v>
      </x:c>
      <x:c r="O581" s="43" t="str">
        <x:v>02086655242</x:v>
      </x:c>
      <x:c r="P581" s="43" t="str"/>
      <x:c r="Q581" s="43" t="str"/>
      <x:c r="R581" s="43" t="str">
        <x:v>Queued for contact research</x:v>
      </x:c>
      <x:c r="S581" s="43" t="str">
        <x:v>Not reviewed</x:v>
      </x:c>
      <x:c r="T581" s="43" t="str">
        <x:v>Hold</x:v>
      </x:c>
      <x:c r="U581" s="43" t="str">
        <x:v>No</x:v>
      </x:c>
      <x:c r="V581" s="44"/>
      <x:c r="W581" s="43" t="str"/>
      <x:c r="X581" s="43" t="str"/>
      <x:c r="Y581" s="43" t="str"/>
      <x:c r="Z581" s="43" t="str">
        <x:v>https://www.get-information-schools.service.gov.uk/Downloads</x:v>
      </x:c>
    </x:row>
    <x:row r="582">
      <x:c r="A582" s="43" t="str">
        <x:v>UK independent</x:v>
      </x:c>
      <x:c r="B582" s="43" t="str">
        <x:v>117648</x:v>
      </x:c>
      <x:c r="C582" s="43" t="n">
        <x:f>IF(K582="Boarding school",30,0)+IF(J582&gt;=18,20,0)+IF(I582&lt;=11,10,0)+IF(L582="Has a sixth form",15,0)+IF(M582&gt;=200,10,0)+IF(N582&lt;&gt;"",10,0)</x:f>
        <x:v>55</x:v>
      </x:c>
      <x:c r="D582" s="43" t="str">
        <x:f>IF(C582&gt;=85,"A",IF(C582&gt;=65,"B","C"))</x:f>
        <x:v>C</x:v>
      </x:c>
      <x:c r="E582" s="43" t="str">
        <x:v>Haberdashers' Boys' School</x:v>
      </x:c>
      <x:c r="F582" s="43" t="str"/>
      <x:c r="G582" s="43" t="str"/>
      <x:c r="H582" s="43" t="str">
        <x:v>WD6 3AF</x:v>
      </x:c>
      <x:c r="I582" s="43" t="n">
        <x:v>4</x:v>
      </x:c>
      <x:c r="J582" s="43" t="n">
        <x:v>18</x:v>
      </x:c>
      <x:c r="K582" s="43" t="str">
        <x:v>No boarders</x:v>
      </x:c>
      <x:c r="L582" s="43" t="str">
        <x:v>Has a sixth form</x:v>
      </x:c>
      <x:c r="M582" s="43" t="n">
        <x:v>1429</x:v>
      </x:c>
      <x:c r="N582" s="43" t="str"/>
      <x:c r="O582" s="43" t="str">
        <x:v>02082661700</x:v>
      </x:c>
      <x:c r="P582" s="43" t="str"/>
      <x:c r="Q582" s="43" t="str"/>
      <x:c r="R582" s="43" t="str">
        <x:v>Queued for contact research</x:v>
      </x:c>
      <x:c r="S582" s="43" t="str">
        <x:v>Not reviewed</x:v>
      </x:c>
      <x:c r="T582" s="43" t="str">
        <x:v>Hold</x:v>
      </x:c>
      <x:c r="U582" s="43" t="str">
        <x:v>No</x:v>
      </x:c>
      <x:c r="V582" s="44"/>
      <x:c r="W582" s="43" t="str"/>
      <x:c r="X582" s="43" t="str"/>
      <x:c r="Y582" s="43" t="str"/>
      <x:c r="Z582" s="43" t="str">
        <x:v>https://www.get-information-schools.service.gov.uk/Downloads</x:v>
      </x:c>
    </x:row>
    <x:row r="583">
      <x:c r="A583" s="43" t="str">
        <x:v>UK independent</x:v>
      </x:c>
      <x:c r="B583" s="43" t="str">
        <x:v>100293</x:v>
      </x:c>
      <x:c r="C583" s="43" t="n">
        <x:f>IF(K583="Boarding school",30,0)+IF(J583&gt;=18,20,0)+IF(I583&lt;=11,10,0)+IF(L583="Has a sixth form",15,0)+IF(M583&gt;=200,10,0)+IF(N583&lt;&gt;"",10,0)</x:f>
        <x:v>55</x:v>
      </x:c>
      <x:c r="D583" s="43" t="str">
        <x:f>IF(C583&gt;=85,"A",IF(C583&gt;=65,"B","C"))</x:f>
        <x:v>C</x:v>
      </x:c>
      <x:c r="E583" s="43" t="str">
        <x:v>Beis Rochel d'Satmar Girls' School</x:v>
      </x:c>
      <x:c r="F583" s="43" t="str">
        <x:v>London</x:v>
      </x:c>
      <x:c r="G583" s="43" t="str"/>
      <x:c r="H583" s="43" t="str">
        <x:v>N16 5DL</x:v>
      </x:c>
      <x:c r="I583" s="43" t="n">
        <x:v>2</x:v>
      </x:c>
      <x:c r="J583" s="43" t="n">
        <x:v>19</x:v>
      </x:c>
      <x:c r="K583" s="43" t="str">
        <x:v>No boarders</x:v>
      </x:c>
      <x:c r="L583" s="43" t="str">
        <x:v>Has a sixth form</x:v>
      </x:c>
      <x:c r="M583" s="43" t="n">
        <x:v>1354</x:v>
      </x:c>
      <x:c r="N583" s="43" t="str"/>
      <x:c r="O583" s="43" t="str">
        <x:v>02088009060</x:v>
      </x:c>
      <x:c r="P583" s="43" t="str"/>
      <x:c r="Q583" s="43" t="str"/>
      <x:c r="R583" s="43" t="str">
        <x:v>Queued for contact research</x:v>
      </x:c>
      <x:c r="S583" s="43" t="str">
        <x:v>Not reviewed</x:v>
      </x:c>
      <x:c r="T583" s="43" t="str">
        <x:v>Hold</x:v>
      </x:c>
      <x:c r="U583" s="43" t="str">
        <x:v>No</x:v>
      </x:c>
      <x:c r="V583" s="44"/>
      <x:c r="W583" s="43" t="str"/>
      <x:c r="X583" s="43" t="str"/>
      <x:c r="Y583" s="43" t="str"/>
      <x:c r="Z583" s="43" t="str">
        <x:v>https://www.get-information-schools.service.gov.uk/Downloads</x:v>
      </x:c>
    </x:row>
    <x:row r="584">
      <x:c r="A584" s="43" t="str">
        <x:v>UK independent</x:v>
      </x:c>
      <x:c r="B584" s="43" t="str">
        <x:v>101842</x:v>
      </x:c>
      <x:c r="C584" s="43" t="n">
        <x:f>IF(K584="Boarding school",30,0)+IF(J584&gt;=18,20,0)+IF(I584&lt;=11,10,0)+IF(L584="Has a sixth form",15,0)+IF(M584&gt;=200,10,0)+IF(N584&lt;&gt;"",10,0)</x:f>
        <x:v>55</x:v>
      </x:c>
      <x:c r="D584" s="43" t="str">
        <x:f>IF(C584&gt;=85,"A",IF(C584&gt;=65,"B","C"))</x:f>
        <x:v>C</x:v>
      </x:c>
      <x:c r="E584" s="43" t="str">
        <x:v>Trinity School</x:v>
      </x:c>
      <x:c r="F584" s="43" t="str"/>
      <x:c r="G584" s="43" t="str"/>
      <x:c r="H584" s="43" t="str">
        <x:v>CR9 7AT</x:v>
      </x:c>
      <x:c r="I584" s="43" t="n">
        <x:v>10</x:v>
      </x:c>
      <x:c r="J584" s="43" t="n">
        <x:v>18</x:v>
      </x:c>
      <x:c r="K584" s="43" t="str">
        <x:v>No boarders</x:v>
      </x:c>
      <x:c r="L584" s="43" t="str">
        <x:v>Has a sixth form</x:v>
      </x:c>
      <x:c r="M584" s="43" t="n">
        <x:v>1047</x:v>
      </x:c>
      <x:c r="N584" s="43" t="str"/>
      <x:c r="O584" s="43" t="str">
        <x:v>02086569541</x:v>
      </x:c>
      <x:c r="P584" s="43" t="str"/>
      <x:c r="Q584" s="43" t="str"/>
      <x:c r="R584" s="43" t="str">
        <x:v>Queued for contact research</x:v>
      </x:c>
      <x:c r="S584" s="43" t="str">
        <x:v>Not reviewed</x:v>
      </x:c>
      <x:c r="T584" s="43" t="str">
        <x:v>Hold</x:v>
      </x:c>
      <x:c r="U584" s="43" t="str">
        <x:v>No</x:v>
      </x:c>
      <x:c r="V584" s="44"/>
      <x:c r="W584" s="43" t="str"/>
      <x:c r="X584" s="43" t="str"/>
      <x:c r="Y584" s="43" t="str"/>
      <x:c r="Z584" s="43" t="str">
        <x:v>https://www.get-information-schools.service.gov.uk/Downloads</x:v>
      </x:c>
    </x:row>
    <x:row r="585">
      <x:c r="A585" s="43" t="str">
        <x:v>UK independent</x:v>
      </x:c>
      <x:c r="B585" s="43" t="str">
        <x:v>101369</x:v>
      </x:c>
      <x:c r="C585" s="43" t="n">
        <x:f>IF(K585="Boarding school",30,0)+IF(J585&gt;=18,20,0)+IF(I585&lt;=11,10,0)+IF(L585="Has a sixth form",15,0)+IF(M585&gt;=200,10,0)+IF(N585&lt;&gt;"",10,0)</x:f>
        <x:v>55</x:v>
      </x:c>
      <x:c r="D585" s="43" t="str">
        <x:f>IF(C585&gt;=85,"A",IF(C585&gt;=65,"B","C"))</x:f>
        <x:v>C</x:v>
      </x:c>
      <x:c r="E585" s="43" t="str">
        <x:v>The King Alfred School</x:v>
      </x:c>
      <x:c r="F585" s="43" t="str">
        <x:v>London</x:v>
      </x:c>
      <x:c r="G585" s="43" t="str"/>
      <x:c r="H585" s="43" t="str">
        <x:v>NW11 7HY</x:v>
      </x:c>
      <x:c r="I585" s="43" t="n">
        <x:v>4</x:v>
      </x:c>
      <x:c r="J585" s="43" t="n">
        <x:v>19</x:v>
      </x:c>
      <x:c r="K585" s="43" t="str">
        <x:v>No boarders</x:v>
      </x:c>
      <x:c r="L585" s="43" t="str">
        <x:v>Has a sixth form</x:v>
      </x:c>
      <x:c r="M585" s="43" t="n">
        <x:v>718</x:v>
      </x:c>
      <x:c r="N585" s="43" t="str"/>
      <x:c r="O585" s="43" t="str">
        <x:v>02084575200</x:v>
      </x:c>
      <x:c r="P585" s="43" t="str"/>
      <x:c r="Q585" s="43" t="str"/>
      <x:c r="R585" s="43" t="str">
        <x:v>Queued for contact research</x:v>
      </x:c>
      <x:c r="S585" s="43" t="str">
        <x:v>Not reviewed</x:v>
      </x:c>
      <x:c r="T585" s="43" t="str">
        <x:v>Hold</x:v>
      </x:c>
      <x:c r="U585" s="43" t="str">
        <x:v>No</x:v>
      </x:c>
      <x:c r="V585" s="44"/>
      <x:c r="W585" s="43" t="str"/>
      <x:c r="X585" s="43" t="str"/>
      <x:c r="Y585" s="43" t="str"/>
      <x:c r="Z585" s="43" t="str">
        <x:v>https://www.get-information-schools.service.gov.uk/Downloads</x:v>
      </x:c>
    </x:row>
    <x:row r="586">
      <x:c r="A586" s="43" t="str">
        <x:v>UK independent</x:v>
      </x:c>
      <x:c r="B586" s="43" t="str">
        <x:v>100074</x:v>
      </x:c>
      <x:c r="C586" s="43" t="n">
        <x:f>IF(K586="Boarding school",30,0)+IF(J586&gt;=18,20,0)+IF(I586&lt;=11,10,0)+IF(L586="Has a sixth form",15,0)+IF(M586&gt;=200,10,0)+IF(N586&lt;&gt;"",10,0)</x:f>
        <x:v>55</x:v>
      </x:c>
      <x:c r="D586" s="43" t="str">
        <x:f>IF(C586&gt;=85,"A",IF(C586&gt;=65,"B","C"))</x:f>
        <x:v>C</x:v>
      </x:c>
      <x:c r="E586" s="43" t="str">
        <x:v>Alleyns Hampstead Senior School</x:v>
      </x:c>
      <x:c r="F586" s="43" t="str"/>
      <x:c r="G586" s="43" t="str"/>
      <x:c r="H586" s="43" t="str">
        <x:v>NW3 5UD</x:v>
      </x:c>
      <x:c r="I586" s="43" t="n">
        <x:v>11</x:v>
      </x:c>
      <x:c r="J586" s="43" t="n">
        <x:v>18</x:v>
      </x:c>
      <x:c r="K586" s="43" t="str">
        <x:v>No boarders</x:v>
      </x:c>
      <x:c r="L586" s="43" t="str">
        <x:v>Has a sixth form</x:v>
      </x:c>
      <x:c r="M586" s="43" t="n">
        <x:v>365</x:v>
      </x:c>
      <x:c r="N586" s="43" t="str"/>
      <x:c r="O586" s="43" t="str">
        <x:v>02072676266</x:v>
      </x:c>
      <x:c r="P586" s="43" t="str"/>
      <x:c r="Q586" s="43" t="str"/>
      <x:c r="R586" s="43" t="str">
        <x:v>Queued for contact research</x:v>
      </x:c>
      <x:c r="S586" s="43" t="str">
        <x:v>Not reviewed</x:v>
      </x:c>
      <x:c r="T586" s="43" t="str">
        <x:v>Hold</x:v>
      </x:c>
      <x:c r="U586" s="43" t="str">
        <x:v>No</x:v>
      </x:c>
      <x:c r="V586" s="44"/>
      <x:c r="W586" s="43" t="str"/>
      <x:c r="X586" s="43" t="str"/>
      <x:c r="Y586" s="43" t="str"/>
      <x:c r="Z586" s="43" t="str">
        <x:v>https://www.get-information-schools.service.gov.uk/Downloads</x:v>
      </x:c>
    </x:row>
    <x:row r="587">
      <x:c r="A587" s="43" t="str">
        <x:v>UK independent</x:v>
      </x:c>
      <x:c r="B587" s="43" t="str">
        <x:v>100982</x:v>
      </x:c>
      <x:c r="C587" s="43" t="n">
        <x:f>IF(K587="Boarding school",30,0)+IF(J587&gt;=18,20,0)+IF(I587&lt;=11,10,0)+IF(L587="Has a sixth form",15,0)+IF(M587&gt;=200,10,0)+IF(N587&lt;&gt;"",10,0)</x:f>
        <x:v>55</x:v>
      </x:c>
      <x:c r="D587" s="43" t="str">
        <x:f>IF(C587&gt;=85,"A",IF(C587&gt;=65,"B","C"))</x:f>
        <x:v>C</x:v>
      </x:c>
      <x:c r="E587" s="43" t="str">
        <x:v>Madani Secondary Girls' School</x:v>
      </x:c>
      <x:c r="F587" s="43" t="str">
        <x:v>London</x:v>
      </x:c>
      <x:c r="G587" s="43" t="str"/>
      <x:c r="H587" s="43" t="str">
        <x:v>E1 1HL</x:v>
      </x:c>
      <x:c r="I587" s="43" t="n">
        <x:v>11</x:v>
      </x:c>
      <x:c r="J587" s="43" t="n">
        <x:v>18</x:v>
      </x:c>
      <x:c r="K587" s="43" t="str">
        <x:v>No boarders</x:v>
      </x:c>
      <x:c r="L587" s="43" t="str">
        <x:v>Has a sixth form</x:v>
      </x:c>
      <x:c r="M587" s="43" t="n">
        <x:v>244</x:v>
      </x:c>
      <x:c r="N587" s="43" t="str"/>
      <x:c r="O587" s="43" t="str">
        <x:v>02073771992</x:v>
      </x:c>
      <x:c r="P587" s="43" t="str"/>
      <x:c r="Q587" s="43" t="str"/>
      <x:c r="R587" s="43" t="str">
        <x:v>Queued for contact research</x:v>
      </x:c>
      <x:c r="S587" s="43" t="str">
        <x:v>Not reviewed</x:v>
      </x:c>
      <x:c r="T587" s="43" t="str">
        <x:v>Hold</x:v>
      </x:c>
      <x:c r="U587" s="43" t="str">
        <x:v>No</x:v>
      </x:c>
      <x:c r="V587" s="44"/>
      <x:c r="W587" s="43" t="str"/>
      <x:c r="X587" s="43" t="str"/>
      <x:c r="Y587" s="43" t="str"/>
      <x:c r="Z587" s="43" t="str">
        <x:v>https://www.get-information-schools.service.gov.uk/Downloads</x:v>
      </x:c>
    </x:row>
    <x:row r="588">
      <x:c r="A588" s="43" t="str">
        <x:v>UK independent</x:v>
      </x:c>
      <x:c r="B588" s="43" t="str">
        <x:v>100537</x:v>
      </x:c>
      <x:c r="C588" s="43" t="n">
        <x:f>IF(K588="Boarding school",30,0)+IF(J588&gt;=18,20,0)+IF(I588&lt;=11,10,0)+IF(L588="Has a sixth form",15,0)+IF(M588&gt;=200,10,0)+IF(N588&lt;&gt;"",10,0)</x:f>
        <x:v>55</x:v>
      </x:c>
      <x:c r="D588" s="43" t="str">
        <x:f>IF(C588&gt;=85,"A",IF(C588&gt;=65,"B","C"))</x:f>
        <x:v>C</x:v>
      </x:c>
      <x:c r="E588" s="43" t="str">
        <x:v>Ashbourne College</x:v>
      </x:c>
      <x:c r="F588" s="43" t="str">
        <x:v>London</x:v>
      </x:c>
      <x:c r="G588" s="43" t="str"/>
      <x:c r="H588" s="43" t="str">
        <x:v>W8 4PL</x:v>
      </x:c>
      <x:c r="I588" s="43" t="n">
        <x:v>13</x:v>
      </x:c>
      <x:c r="J588" s="43" t="n">
        <x:v>21</x:v>
      </x:c>
      <x:c r="K588" s="43" t="str">
        <x:v>No boarders</x:v>
      </x:c>
      <x:c r="L588" s="43" t="str">
        <x:v>Has a sixth form</x:v>
      </x:c>
      <x:c r="M588" s="43" t="n">
        <x:v>223</x:v>
      </x:c>
      <x:c r="N588" s="43" t="str">
        <x:v>https://www.ashbournecollege.co.uk/</x:v>
      </x:c>
      <x:c r="O588" s="43" t="str">
        <x:v>02079373858</x:v>
      </x:c>
      <x:c r="P588" s="43" t="str"/>
      <x:c r="Q588" s="43" t="str"/>
      <x:c r="R588" s="43" t="str">
        <x:v>Queued for contact research</x:v>
      </x:c>
      <x:c r="S588" s="43" t="str">
        <x:v>Not reviewed</x:v>
      </x:c>
      <x:c r="T588" s="43" t="str">
        <x:v>Hold</x:v>
      </x:c>
      <x:c r="U588" s="43" t="str">
        <x:v>No</x:v>
      </x:c>
      <x:c r="V588" s="44"/>
      <x:c r="W588" s="43" t="str"/>
      <x:c r="X588" s="43" t="str"/>
      <x:c r="Y588" s="43" t="str"/>
      <x:c r="Z588" s="43" t="str">
        <x:v>https://www.get-information-schools.service.gov.uk/Downloads</x:v>
      </x:c>
    </x:row>
    <x:row r="589">
      <x:c r="A589" s="43" t="str">
        <x:v>UK independent</x:v>
      </x:c>
      <x:c r="B589" s="43" t="str">
        <x:v>147957</x:v>
      </x:c>
      <x:c r="C589" s="43" t="n">
        <x:f>IF(K589="Boarding school",30,0)+IF(J589&gt;=18,20,0)+IF(I589&lt;=11,10,0)+IF(L589="Has a sixth form",15,0)+IF(M589&gt;=200,10,0)+IF(N589&lt;&gt;"",10,0)</x:f>
        <x:v>55</x:v>
      </x:c>
      <x:c r="D589" s="43" t="str">
        <x:f>IF(C589&gt;=85,"A",IF(C589&gt;=65,"B","C"))</x:f>
        <x:v>C</x:v>
      </x:c>
      <x:c r="E589" s="43" t="str">
        <x:v>Maida Vale School</x:v>
      </x:c>
      <x:c r="F589" s="43" t="str"/>
      <x:c r="G589" s="43" t="str"/>
      <x:c r="H589" s="43" t="str">
        <x:v>W9 3HR</x:v>
      </x:c>
      <x:c r="I589" s="43" t="n">
        <x:v>11</x:v>
      </x:c>
      <x:c r="J589" s="43" t="n">
        <x:v>18</x:v>
      </x:c>
      <x:c r="K589" s="43" t="str">
        <x:v>No boarders</x:v>
      </x:c>
      <x:c r="L589" s="43" t="str">
        <x:v>Has a sixth form</x:v>
      </x:c>
      <x:c r="M589" s="43" t="n">
        <x:v>197</x:v>
      </x:c>
      <x:c r="N589" s="43" t="str">
        <x:v>https://www.maidavaleschool.com</x:v>
      </x:c>
      <x:c r="O589" s="43" t="str">
        <x:v>02045116000</x:v>
      </x:c>
      <x:c r="P589" s="43" t="str"/>
      <x:c r="Q589" s="43" t="str"/>
      <x:c r="R589" s="43" t="str">
        <x:v>Queued for contact research</x:v>
      </x:c>
      <x:c r="S589" s="43" t="str">
        <x:v>Not reviewed</x:v>
      </x:c>
      <x:c r="T589" s="43" t="str">
        <x:v>Hold</x:v>
      </x:c>
      <x:c r="U589" s="43" t="str">
        <x:v>No</x:v>
      </x:c>
      <x:c r="V589" s="44"/>
      <x:c r="W589" s="43" t="str"/>
      <x:c r="X589" s="43" t="str"/>
      <x:c r="Y589" s="43" t="str"/>
      <x:c r="Z589" s="43" t="str">
        <x:v>https://www.get-information-schools.service.gov.uk/Downloads</x:v>
      </x:c>
    </x:row>
    <x:row r="590">
      <x:c r="A590" s="43" t="str">
        <x:v>UK independent</x:v>
      </x:c>
      <x:c r="B590" s="43" t="str">
        <x:v>119007</x:v>
      </x:c>
      <x:c r="C590" s="43" t="n">
        <x:f>IF(K590="Boarding school",30,0)+IF(J590&gt;=18,20,0)+IF(I590&lt;=11,10,0)+IF(L590="Has a sixth form",15,0)+IF(M590&gt;=200,10,0)+IF(N590&lt;&gt;"",10,0)</x:f>
        <x:v>55</x:v>
      </x:c>
      <x:c r="D590" s="43" t="str">
        <x:f>IF(C590&gt;=85,"A",IF(C590&gt;=65,"B","C"))</x:f>
        <x:v>C</x:v>
      </x:c>
      <x:c r="E590" s="43" t="str">
        <x:v>Sackville School</x:v>
      </x:c>
      <x:c r="F590" s="43" t="str">
        <x:v>Tonbridge</x:v>
      </x:c>
      <x:c r="G590" s="43" t="str">
        <x:v>Kent</x:v>
      </x:c>
      <x:c r="H590" s="43" t="str">
        <x:v>TN11 9HN</x:v>
      </x:c>
      <x:c r="I590" s="43" t="n">
        <x:v>11</x:v>
      </x:c>
      <x:c r="J590" s="43" t="n">
        <x:v>19</x:v>
      </x:c>
      <x:c r="K590" s="43" t="str">
        <x:v>No boarders</x:v>
      </x:c>
      <x:c r="L590" s="43" t="str">
        <x:v>Has a sixth form</x:v>
      </x:c>
      <x:c r="M590" s="43" t="n">
        <x:v>197</x:v>
      </x:c>
      <x:c r="N590" s="43" t="str">
        <x:v>https://www.sackvilleschool.co.uk</x:v>
      </x:c>
      <x:c r="O590" s="43" t="str">
        <x:v>01732838888</x:v>
      </x:c>
      <x:c r="P590" s="43" t="str"/>
      <x:c r="Q590" s="43" t="str"/>
      <x:c r="R590" s="43" t="str">
        <x:v>Queued for contact research</x:v>
      </x:c>
      <x:c r="S590" s="43" t="str">
        <x:v>Not reviewed</x:v>
      </x:c>
      <x:c r="T590" s="43" t="str">
        <x:v>Hold</x:v>
      </x:c>
      <x:c r="U590" s="43" t="str">
        <x:v>No</x:v>
      </x:c>
      <x:c r="V590" s="44"/>
      <x:c r="W590" s="43" t="str"/>
      <x:c r="X590" s="43" t="str"/>
      <x:c r="Y590" s="43" t="str"/>
      <x:c r="Z590" s="43" t="str">
        <x:v>https://www.get-information-schools.service.gov.uk/Downloads</x:v>
      </x:c>
    </x:row>
    <x:row r="591">
      <x:c r="A591" s="43" t="str">
        <x:v>UK independent</x:v>
      </x:c>
      <x:c r="B591" s="43" t="str">
        <x:v>141250</x:v>
      </x:c>
      <x:c r="C591" s="43" t="n">
        <x:f>IF(K591="Boarding school",30,0)+IF(J591&gt;=18,20,0)+IF(I591&lt;=11,10,0)+IF(L591="Has a sixth form",15,0)+IF(M591&gt;=200,10,0)+IF(N591&lt;&gt;"",10,0)</x:f>
        <x:v>55</x:v>
      </x:c>
      <x:c r="D591" s="43" t="str">
        <x:f>IF(C591&gt;=85,"A",IF(C591&gt;=65,"B","C"))</x:f>
        <x:v>C</x:v>
      </x:c>
      <x:c r="E591" s="43" t="str">
        <x:v>North Bridge House Senior Canonbury School</x:v>
      </x:c>
      <x:c r="F591" s="43" t="str"/>
      <x:c r="G591" s="43" t="str"/>
      <x:c r="H591" s="43" t="str">
        <x:v>N1 2NQ</x:v>
      </x:c>
      <x:c r="I591" s="43" t="n">
        <x:v>11</x:v>
      </x:c>
      <x:c r="J591" s="43" t="n">
        <x:v>18</x:v>
      </x:c>
      <x:c r="K591" s="43" t="str">
        <x:v>No boarders</x:v>
      </x:c>
      <x:c r="L591" s="43" t="str">
        <x:v>Has a sixth form</x:v>
      </x:c>
      <x:c r="M591" s="43" t="n">
        <x:v>195</x:v>
      </x:c>
      <x:c r="N591" s="43" t="str">
        <x:v>https://www.northbridgehouse.com</x:v>
      </x:c>
      <x:c r="O591" s="43" t="str">
        <x:v>02072676266</x:v>
      </x:c>
      <x:c r="P591" s="43" t="str"/>
      <x:c r="Q591" s="43" t="str"/>
      <x:c r="R591" s="43" t="str">
        <x:v>Queued for contact research</x:v>
      </x:c>
      <x:c r="S591" s="43" t="str">
        <x:v>Not reviewed</x:v>
      </x:c>
      <x:c r="T591" s="43" t="str">
        <x:v>Hold</x:v>
      </x:c>
      <x:c r="U591" s="43" t="str">
        <x:v>No</x:v>
      </x:c>
      <x:c r="V591" s="44"/>
      <x:c r="W591" s="43" t="str"/>
      <x:c r="X591" s="43" t="str"/>
      <x:c r="Y591" s="43" t="str"/>
      <x:c r="Z591" s="43" t="str">
        <x:v>https://www.get-information-schools.service.gov.uk/Downloads</x:v>
      </x:c>
    </x:row>
    <x:row r="592">
      <x:c r="A592" s="43" t="str">
        <x:v>UK independent</x:v>
      </x:c>
      <x:c r="B592" s="43" t="str">
        <x:v>134464</x:v>
      </x:c>
      <x:c r="C592" s="43" t="n">
        <x:f>IF(K592="Boarding school",30,0)+IF(J592&gt;=18,20,0)+IF(I592&lt;=11,10,0)+IF(L592="Has a sixth form",15,0)+IF(M592&gt;=200,10,0)+IF(N592&lt;&gt;"",10,0)</x:f>
        <x:v>55</x:v>
      </x:c>
      <x:c r="D592" s="43" t="str">
        <x:f>IF(C592&gt;=85,"A",IF(C592&gt;=65,"B","C"))</x:f>
        <x:v>C</x:v>
      </x:c>
      <x:c r="E592" s="43" t="str">
        <x:v>OneSchool Global UK</x:v>
      </x:c>
      <x:c r="F592" s="43" t="str">
        <x:v>Coventry</x:v>
      </x:c>
      <x:c r="G592" s="43" t="str"/>
      <x:c r="H592" s="43" t="str">
        <x:v>CV7 8PE</x:v>
      </x:c>
      <x:c r="I592" s="43" t="n">
        <x:v>7</x:v>
      </x:c>
      <x:c r="J592" s="43" t="n">
        <x:v>18</x:v>
      </x:c>
      <x:c r="K592" s="43" t="str">
        <x:v>No boarders</x:v>
      </x:c>
      <x:c r="L592" s="43" t="str">
        <x:v>Has a sixth form</x:v>
      </x:c>
      <x:c r="M592" s="43" t="n">
        <x:v>194</x:v>
      </x:c>
      <x:c r="N592" s="43" t="str">
        <x:v>https://www.oneschoolglobal.com/campus/ashbrook/</x:v>
      </x:c>
      <x:c r="O592" s="43" t="str">
        <x:v>02476308180</x:v>
      </x:c>
      <x:c r="P592" s="43" t="str"/>
      <x:c r="Q592" s="43" t="str"/>
      <x:c r="R592" s="43" t="str">
        <x:v>Queued for contact research</x:v>
      </x:c>
      <x:c r="S592" s="43" t="str">
        <x:v>Not reviewed</x:v>
      </x:c>
      <x:c r="T592" s="43" t="str">
        <x:v>Hold</x:v>
      </x:c>
      <x:c r="U592" s="43" t="str">
        <x:v>No</x:v>
      </x:c>
      <x:c r="V592" s="44"/>
      <x:c r="W592" s="43" t="str"/>
      <x:c r="X592" s="43" t="str"/>
      <x:c r="Y592" s="43" t="str"/>
      <x:c r="Z592" s="43" t="str">
        <x:v>https://www.get-information-schools.service.gov.uk/Downloads</x:v>
      </x:c>
    </x:row>
    <x:row r="593">
      <x:c r="A593" s="43" t="str">
        <x:v>UK independent</x:v>
      </x:c>
      <x:c r="B593" s="43" t="str">
        <x:v>132237</x:v>
      </x:c>
      <x:c r="C593" s="43" t="n">
        <x:f>IF(K593="Boarding school",30,0)+IF(J593&gt;=18,20,0)+IF(I593&lt;=11,10,0)+IF(L593="Has a sixth form",15,0)+IF(M593&gt;=200,10,0)+IF(N593&lt;&gt;"",10,0)</x:f>
        <x:v>55</x:v>
      </x:c>
      <x:c r="D593" s="43" t="str">
        <x:f>IF(C593&gt;=85,"A",IF(C593&gt;=65,"B","C"))</x:f>
        <x:v>C</x:v>
      </x:c>
      <x:c r="E593" s="43" t="str">
        <x:v>Thames Christian School</x:v>
      </x:c>
      <x:c r="F593" s="43" t="str">
        <x:v>London</x:v>
      </x:c>
      <x:c r="G593" s="43" t="str"/>
      <x:c r="H593" s="43" t="str">
        <x:v>SW11 2FR</x:v>
      </x:c>
      <x:c r="I593" s="43" t="n">
        <x:v>11</x:v>
      </x:c>
      <x:c r="J593" s="43" t="n">
        <x:v>18</x:v>
      </x:c>
      <x:c r="K593" s="43" t="str">
        <x:v>No boarders</x:v>
      </x:c>
      <x:c r="L593" s="43" t="str">
        <x:v>Has a sixth form</x:v>
      </x:c>
      <x:c r="M593" s="43" t="n">
        <x:v>188</x:v>
      </x:c>
      <x:c r="N593" s="43" t="str">
        <x:v>https://www.thameschristianschool.org.uk</x:v>
      </x:c>
      <x:c r="O593" s="43" t="str">
        <x:v>02072283933</x:v>
      </x:c>
      <x:c r="P593" s="43" t="str"/>
      <x:c r="Q593" s="43" t="str"/>
      <x:c r="R593" s="43" t="str">
        <x:v>Queued for contact research</x:v>
      </x:c>
      <x:c r="S593" s="43" t="str">
        <x:v>Not reviewed</x:v>
      </x:c>
      <x:c r="T593" s="43" t="str">
        <x:v>Hold</x:v>
      </x:c>
      <x:c r="U593" s="43" t="str">
        <x:v>No</x:v>
      </x:c>
      <x:c r="V593" s="44"/>
      <x:c r="W593" s="43" t="str"/>
      <x:c r="X593" s="43" t="str"/>
      <x:c r="Y593" s="43" t="str"/>
      <x:c r="Z593" s="43" t="str">
        <x:v>https://www.get-information-schools.service.gov.uk/Downloads</x:v>
      </x:c>
    </x:row>
    <x:row r="594">
      <x:c r="A594" s="43" t="str">
        <x:v>UK independent</x:v>
      </x:c>
      <x:c r="B594" s="43" t="str">
        <x:v>134460</x:v>
      </x:c>
      <x:c r="C594" s="43" t="n">
        <x:f>IF(K594="Boarding school",30,0)+IF(J594&gt;=18,20,0)+IF(I594&lt;=11,10,0)+IF(L594="Has a sixth form",15,0)+IF(M594&gt;=200,10,0)+IF(N594&lt;&gt;"",10,0)</x:f>
        <x:v>55</x:v>
      </x:c>
      <x:c r="D594" s="43" t="str">
        <x:f>IF(C594&gt;=85,"A",IF(C594&gt;=65,"B","C"))</x:f>
        <x:v>C</x:v>
      </x:c>
      <x:c r="E594" s="43" t="str">
        <x:v>Oneschool Global Uk Salisbury Campus</x:v>
      </x:c>
      <x:c r="F594" s="43" t="str">
        <x:v>Salisbury</x:v>
      </x:c>
      <x:c r="G594" s="43" t="str">
        <x:v>Wiltshire</x:v>
      </x:c>
      <x:c r="H594" s="43" t="str">
        <x:v>SP2 0JE</x:v>
      </x:c>
      <x:c r="I594" s="43" t="n">
        <x:v>7</x:v>
      </x:c>
      <x:c r="J594" s="43" t="n">
        <x:v>18</x:v>
      </x:c>
      <x:c r="K594" s="43" t="str">
        <x:v>No boarders</x:v>
      </x:c>
      <x:c r="L594" s="43" t="str">
        <x:v>Has a sixth form</x:v>
      </x:c>
      <x:c r="M594" s="43" t="n">
        <x:v>181</x:v>
      </x:c>
      <x:c r="N594" s="43" t="str">
        <x:v>https://www.oneschoolglobal.com/campus/united-kingdom/salisbury/</x:v>
      </x:c>
      <x:c r="O594" s="43" t="str">
        <x:v>01722741910</x:v>
      </x:c>
      <x:c r="P594" s="43" t="str"/>
      <x:c r="Q594" s="43" t="str"/>
      <x:c r="R594" s="43" t="str">
        <x:v>Queued for contact research</x:v>
      </x:c>
      <x:c r="S594" s="43" t="str">
        <x:v>Not reviewed</x:v>
      </x:c>
      <x:c r="T594" s="43" t="str">
        <x:v>Hold</x:v>
      </x:c>
      <x:c r="U594" s="43" t="str">
        <x:v>No</x:v>
      </x:c>
      <x:c r="V594" s="44"/>
      <x:c r="W594" s="43" t="str"/>
      <x:c r="X594" s="43" t="str"/>
      <x:c r="Y594" s="43" t="str"/>
      <x:c r="Z594" s="43" t="str">
        <x:v>https://www.get-information-schools.service.gov.uk/Downloads</x:v>
      </x:c>
    </x:row>
    <x:row r="595">
      <x:c r="A595" s="43" t="str">
        <x:v>UK independent</x:v>
      </x:c>
      <x:c r="B595" s="43" t="str">
        <x:v>100527</x:v>
      </x:c>
      <x:c r="C595" s="43" t="n">
        <x:f>IF(K595="Boarding school",30,0)+IF(J595&gt;=18,20,0)+IF(I595&lt;=11,10,0)+IF(L595="Has a sixth form",15,0)+IF(M595&gt;=200,10,0)+IF(N595&lt;&gt;"",10,0)</x:f>
        <x:v>55</x:v>
      </x:c>
      <x:c r="D595" s="43" t="str">
        <x:f>IF(C595&gt;=85,"A",IF(C595&gt;=65,"B","C"))</x:f>
        <x:v>C</x:v>
      </x:c>
      <x:c r="E595" s="43" t="str">
        <x:v>St James Senior Girls' School</x:v>
      </x:c>
      <x:c r="F595" s="43" t="str"/>
      <x:c r="G595" s="43" t="str"/>
      <x:c r="H595" s="43" t="str">
        <x:v>W14 8SH</x:v>
      </x:c>
      <x:c r="I595" s="43" t="n">
        <x:v>11</x:v>
      </x:c>
      <x:c r="J595" s="43" t="n">
        <x:v>18</x:v>
      </x:c>
      <x:c r="K595" s="43" t="str">
        <x:v>No boarders</x:v>
      </x:c>
      <x:c r="L595" s="43" t="str">
        <x:v>Has a sixth form</x:v>
      </x:c>
      <x:c r="M595" s="43" t="n">
        <x:v>180</x:v>
      </x:c>
      <x:c r="N595" s="43" t="str">
        <x:v>https://www.stjamesgirls.co.uk</x:v>
      </x:c>
      <x:c r="O595" s="43" t="str">
        <x:v>02073481777</x:v>
      </x:c>
      <x:c r="P595" s="43" t="str"/>
      <x:c r="Q595" s="43" t="str"/>
      <x:c r="R595" s="43" t="str">
        <x:v>Queued for contact research</x:v>
      </x:c>
      <x:c r="S595" s="43" t="str">
        <x:v>Not reviewed</x:v>
      </x:c>
      <x:c r="T595" s="43" t="str">
        <x:v>Hold</x:v>
      </x:c>
      <x:c r="U595" s="43" t="str">
        <x:v>No</x:v>
      </x:c>
      <x:c r="V595" s="44"/>
      <x:c r="W595" s="43" t="str"/>
      <x:c r="X595" s="43" t="str"/>
      <x:c r="Y595" s="43" t="str"/>
      <x:c r="Z595" s="43" t="str">
        <x:v>https://www.get-information-schools.service.gov.uk/Downloads</x:v>
      </x:c>
    </x:row>
    <x:row r="596">
      <x:c r="A596" s="43" t="str">
        <x:v>UK independent</x:v>
      </x:c>
      <x:c r="B596" s="43" t="str">
        <x:v>101086</x:v>
      </x:c>
      <x:c r="C596" s="43" t="n">
        <x:f>IF(K596="Boarding school",30,0)+IF(J596&gt;=18,20,0)+IF(I596&lt;=11,10,0)+IF(L596="Has a sixth form",15,0)+IF(M596&gt;=200,10,0)+IF(N596&lt;&gt;"",10,0)</x:f>
        <x:v>55</x:v>
      </x:c>
      <x:c r="D596" s="43" t="str">
        <x:f>IF(C596&gt;=85,"A",IF(C596&gt;=65,"B","C"))</x:f>
        <x:v>C</x:v>
      </x:c>
      <x:c r="E596" s="43" t="str">
        <x:v>Hall School Wimbledon</x:v>
      </x:c>
      <x:c r="F596" s="43" t="str"/>
      <x:c r="G596" s="43" t="str"/>
      <x:c r="H596" s="43" t="str">
        <x:v>SW20 8HF</x:v>
      </x:c>
      <x:c r="I596" s="43" t="n">
        <x:v>4</x:v>
      </x:c>
      <x:c r="J596" s="43" t="n">
        <x:v>18</x:v>
      </x:c>
      <x:c r="K596" s="43" t="str">
        <x:v>No boarders</x:v>
      </x:c>
      <x:c r="L596" s="43" t="str">
        <x:v>Has a sixth form</x:v>
      </x:c>
      <x:c r="M596" s="43" t="n">
        <x:v>172</x:v>
      </x:c>
      <x:c r="N596" s="43" t="str">
        <x:v>https://www.hsw.co.uk</x:v>
      </x:c>
      <x:c r="O596" s="43" t="str">
        <x:v>02088799200</x:v>
      </x:c>
      <x:c r="P596" s="43" t="str"/>
      <x:c r="Q596" s="43" t="str"/>
      <x:c r="R596" s="43" t="str">
        <x:v>Queued for contact research</x:v>
      </x:c>
      <x:c r="S596" s="43" t="str">
        <x:v>Not reviewed</x:v>
      </x:c>
      <x:c r="T596" s="43" t="str">
        <x:v>Hold</x:v>
      </x:c>
      <x:c r="U596" s="43" t="str">
        <x:v>No</x:v>
      </x:c>
      <x:c r="V596" s="44"/>
      <x:c r="W596" s="43" t="str"/>
      <x:c r="X596" s="43" t="str"/>
      <x:c r="Y596" s="43" t="str"/>
      <x:c r="Z596" s="43" t="str">
        <x:v>https://www.get-information-schools.service.gov.uk/Downloads</x:v>
      </x:c>
    </x:row>
    <x:row r="597">
      <x:c r="A597" s="43" t="str">
        <x:v>UK independent</x:v>
      </x:c>
      <x:c r="B597" s="43" t="str">
        <x:v>118225</x:v>
      </x:c>
      <x:c r="C597" s="43" t="n">
        <x:f>IF(K597="Boarding school",30,0)+IF(J597&gt;=18,20,0)+IF(I597&lt;=11,10,0)+IF(L597="Has a sixth form",15,0)+IF(M597&gt;=200,10,0)+IF(N597&lt;&gt;"",10,0)</x:f>
        <x:v>55</x:v>
      </x:c>
      <x:c r="D597" s="43" t="str">
        <x:f>IF(C597&gt;=85,"A",IF(C597&gt;=65,"B","C"))</x:f>
        <x:v>C</x:v>
      </x:c>
      <x:c r="E597" s="43" t="str">
        <x:v>Priory School</x:v>
      </x:c>
      <x:c r="F597" s="43" t="str">
        <x:v>Whippingham</x:v>
      </x:c>
      <x:c r="G597" s="43" t="str">
        <x:v>Isle of Wight</x:v>
      </x:c>
      <x:c r="H597" s="43" t="str">
        <x:v>PO32 6LP</x:v>
      </x:c>
      <x:c r="I597" s="43" t="n">
        <x:v>4</x:v>
      </x:c>
      <x:c r="J597" s="43" t="n">
        <x:v>18</x:v>
      </x:c>
      <x:c r="K597" s="43" t="str">
        <x:v>No boarders</x:v>
      </x:c>
      <x:c r="L597" s="43" t="str">
        <x:v>Has a sixth form</x:v>
      </x:c>
      <x:c r="M597" s="43" t="n">
        <x:v>172</x:v>
      </x:c>
      <x:c r="N597" s="43" t="str">
        <x:v>https://www.prioryschool.org.uk</x:v>
      </x:c>
      <x:c r="O597" s="43" t="str">
        <x:v>01983861222</x:v>
      </x:c>
      <x:c r="P597" s="43" t="str"/>
      <x:c r="Q597" s="43" t="str"/>
      <x:c r="R597" s="43" t="str">
        <x:v>Queued for contact research</x:v>
      </x:c>
      <x:c r="S597" s="43" t="str">
        <x:v>Not reviewed</x:v>
      </x:c>
      <x:c r="T597" s="43" t="str">
        <x:v>Hold</x:v>
      </x:c>
      <x:c r="U597" s="43" t="str">
        <x:v>No</x:v>
      </x:c>
      <x:c r="V597" s="44"/>
      <x:c r="W597" s="43" t="str"/>
      <x:c r="X597" s="43" t="str"/>
      <x:c r="Y597" s="43" t="str"/>
      <x:c r="Z597" s="43" t="str">
        <x:v>https://www.get-information-schools.service.gov.uk/Downloads</x:v>
      </x:c>
    </x:row>
    <x:row r="598">
      <x:c r="A598" s="43" t="str">
        <x:v>UK independent</x:v>
      </x:c>
      <x:c r="B598" s="43" t="str">
        <x:v>136237</x:v>
      </x:c>
      <x:c r="C598" s="43" t="n">
        <x:f>IF(K598="Boarding school",30,0)+IF(J598&gt;=18,20,0)+IF(I598&lt;=11,10,0)+IF(L598="Has a sixth form",15,0)+IF(M598&gt;=200,10,0)+IF(N598&lt;&gt;"",10,0)</x:f>
        <x:v>55</x:v>
      </x:c>
      <x:c r="D598" s="43" t="str">
        <x:f>IF(C598&gt;=85,"A",IF(C598&gt;=65,"B","C"))</x:f>
        <x:v>C</x:v>
      </x:c>
      <x:c r="E598" s="43" t="str">
        <x:v>The Alternative School</x:v>
      </x:c>
      <x:c r="F598" s="43" t="str">
        <x:v>Accrington</x:v>
      </x:c>
      <x:c r="G598" s="43" t="str">
        <x:v>Lancashire</x:v>
      </x:c>
      <x:c r="H598" s="43" t="str">
        <x:v>BB5 1NT</x:v>
      </x:c>
      <x:c r="I598" s="43" t="n">
        <x:v>6</x:v>
      </x:c>
      <x:c r="J598" s="43" t="n">
        <x:v>18</x:v>
      </x:c>
      <x:c r="K598" s="43" t="str">
        <x:v>No boarders</x:v>
      </x:c>
      <x:c r="L598" s="43" t="str">
        <x:v>Has a sixth form</x:v>
      </x:c>
      <x:c r="M598" s="43" t="n">
        <x:v>172</x:v>
      </x:c>
      <x:c r="N598" s="43" t="str">
        <x:v>https://www.thealternativeschool.co.uk</x:v>
      </x:c>
      <x:c r="O598" s="43" t="str">
        <x:v>01282851800</x:v>
      </x:c>
      <x:c r="P598" s="43" t="str"/>
      <x:c r="Q598" s="43" t="str"/>
      <x:c r="R598" s="43" t="str">
        <x:v>Queued for contact research</x:v>
      </x:c>
      <x:c r="S598" s="43" t="str">
        <x:v>Not reviewed</x:v>
      </x:c>
      <x:c r="T598" s="43" t="str">
        <x:v>Hold</x:v>
      </x:c>
      <x:c r="U598" s="43" t="str">
        <x:v>No</x:v>
      </x:c>
      <x:c r="V598" s="44"/>
      <x:c r="W598" s="43" t="str"/>
      <x:c r="X598" s="43" t="str"/>
      <x:c r="Y598" s="43" t="str"/>
      <x:c r="Z598" s="43" t="str">
        <x:v>https://www.get-information-schools.service.gov.uk/Downloads</x:v>
      </x:c>
    </x:row>
    <x:row r="599">
      <x:c r="A599" s="43" t="str">
        <x:v>UK independent</x:v>
      </x:c>
      <x:c r="B599" s="43" t="str">
        <x:v>134589</x:v>
      </x:c>
      <x:c r="C599" s="43" t="n">
        <x:f>IF(K599="Boarding school",30,0)+IF(J599&gt;=18,20,0)+IF(I599&lt;=11,10,0)+IF(L599="Has a sixth form",15,0)+IF(M599&gt;=200,10,0)+IF(N599&lt;&gt;"",10,0)</x:f>
        <x:v>55</x:v>
      </x:c>
      <x:c r="D599" s="43" t="str">
        <x:f>IF(C599&gt;=85,"A",IF(C599&gt;=65,"B","C"))</x:f>
        <x:v>C</x:v>
      </x:c>
      <x:c r="E599" s="43" t="str">
        <x:v>OneSchool Global UK Ridgeway Campus</x:v>
      </x:c>
      <x:c r="F599" s="43" t="str">
        <x:v>Scunthorpe</x:v>
      </x:c>
      <x:c r="G599" s="43" t="str">
        <x:v>North Lincolnshire</x:v>
      </x:c>
      <x:c r="H599" s="43" t="str">
        <x:v>DN17 1BS</x:v>
      </x:c>
      <x:c r="I599" s="43" t="n">
        <x:v>7</x:v>
      </x:c>
      <x:c r="J599" s="43" t="n">
        <x:v>18</x:v>
      </x:c>
      <x:c r="K599" s="43" t="str">
        <x:v>No boarders</x:v>
      </x:c>
      <x:c r="L599" s="43" t="str">
        <x:v>Has a sixth form</x:v>
      </x:c>
      <x:c r="M599" s="43" t="n">
        <x:v>171</x:v>
      </x:c>
      <x:c r="N599" s="43" t="str">
        <x:v>https://www.oneschoolglobal.com/campus/united-kingdom/ridgeway/</x:v>
      </x:c>
      <x:c r="O599" s="43" t="str">
        <x:v>03300552611</x:v>
      </x:c>
      <x:c r="P599" s="43" t="str"/>
      <x:c r="Q599" s="43" t="str"/>
      <x:c r="R599" s="43" t="str">
        <x:v>Queued for contact research</x:v>
      </x:c>
      <x:c r="S599" s="43" t="str">
        <x:v>Not reviewed</x:v>
      </x:c>
      <x:c r="T599" s="43" t="str">
        <x:v>Hold</x:v>
      </x:c>
      <x:c r="U599" s="43" t="str">
        <x:v>No</x:v>
      </x:c>
      <x:c r="V599" s="44"/>
      <x:c r="W599" s="43" t="str"/>
      <x:c r="X599" s="43" t="str"/>
      <x:c r="Y599" s="43" t="str"/>
      <x:c r="Z599" s="43" t="str">
        <x:v>https://www.get-information-schools.service.gov.uk/Downloads</x:v>
      </x:c>
    </x:row>
    <x:row r="600">
      <x:c r="A600" s="43" t="str">
        <x:v>UK independent</x:v>
      </x:c>
      <x:c r="B600" s="43" t="str">
        <x:v>108542</x:v>
      </x:c>
      <x:c r="C600" s="43" t="n">
        <x:f>IF(K600="Boarding school",30,0)+IF(J600&gt;=18,20,0)+IF(I600&lt;=11,10,0)+IF(L600="Has a sixth form",15,0)+IF(M600&gt;=200,10,0)+IF(N600&lt;&gt;"",10,0)</x:f>
        <x:v>55</x:v>
      </x:c>
      <x:c r="D600" s="43" t="str">
        <x:f>IF(C600&gt;=85,"A",IF(C600&gt;=65,"B","C"))</x:f>
        <x:v>C</x:v>
      </x:c>
      <x:c r="E600" s="43" t="str">
        <x:v>Westfield School</x:v>
      </x:c>
      <x:c r="F600" s="43" t="str">
        <x:v>Newcastle-upon-Tyne</x:v>
      </x:c>
      <x:c r="G600" s="43" t="str">
        <x:v>Tyne and Wear</x:v>
      </x:c>
      <x:c r="H600" s="43" t="str">
        <x:v>NE3 4HS</x:v>
      </x:c>
      <x:c r="I600" s="43" t="n">
        <x:v>3</x:v>
      </x:c>
      <x:c r="J600" s="43" t="n">
        <x:v>18</x:v>
      </x:c>
      <x:c r="K600" s="43" t="str">
        <x:v>No boarders</x:v>
      </x:c>
      <x:c r="L600" s="43" t="str">
        <x:v>Has a sixth form</x:v>
      </x:c>
      <x:c r="M600" s="43" t="n">
        <x:v>170</x:v>
      </x:c>
      <x:c r="N600" s="43" t="str">
        <x:v>http://www.westfield.newcastle.sch.uk/</x:v>
      </x:c>
      <x:c r="O600" s="43" t="str">
        <x:v>01912553980</x:v>
      </x:c>
      <x:c r="P600" s="43" t="str"/>
      <x:c r="Q600" s="43" t="str"/>
      <x:c r="R600" s="43" t="str">
        <x:v>Queued for contact research</x:v>
      </x:c>
      <x:c r="S600" s="43" t="str">
        <x:v>Not reviewed</x:v>
      </x:c>
      <x:c r="T600" s="43" t="str">
        <x:v>Hold</x:v>
      </x:c>
      <x:c r="U600" s="43" t="str">
        <x:v>No</x:v>
      </x:c>
      <x:c r="V600" s="44"/>
      <x:c r="W600" s="43" t="str"/>
      <x:c r="X600" s="43" t="str"/>
      <x:c r="Y600" s="43" t="str"/>
      <x:c r="Z600" s="43" t="str">
        <x:v>https://www.get-information-schools.service.gov.uk/Downloads</x:v>
      </x:c>
    </x:row>
    <x:row r="601">
      <x:c r="A601" s="43" t="str">
        <x:v>UK independent</x:v>
      </x:c>
      <x:c r="B601" s="43" t="str">
        <x:v>134452</x:v>
      </x:c>
      <x:c r="C601" s="43" t="n">
        <x:f>IF(K601="Boarding school",30,0)+IF(J601&gt;=18,20,0)+IF(I601&lt;=11,10,0)+IF(L601="Has a sixth form",15,0)+IF(M601&gt;=200,10,0)+IF(N601&lt;&gt;"",10,0)</x:f>
        <x:v>55</x:v>
      </x:c>
      <x:c r="D601" s="43" t="str">
        <x:f>IF(C601&gt;=85,"A",IF(C601&gt;=65,"B","C"))</x:f>
        <x:v>C</x:v>
      </x:c>
      <x:c r="E601" s="43" t="str">
        <x:v>OneSchool Global UK - Maidstone Campus</x:v>
      </x:c>
      <x:c r="F601" s="43" t="str">
        <x:v>Maidstone</x:v>
      </x:c>
      <x:c r="G601" s="43" t="str">
        <x:v>Kent</x:v>
      </x:c>
      <x:c r="H601" s="43" t="str">
        <x:v>ME17 4HT</x:v>
      </x:c>
      <x:c r="I601" s="43" t="n">
        <x:v>7</x:v>
      </x:c>
      <x:c r="J601" s="43" t="n">
        <x:v>18</x:v>
      </x:c>
      <x:c r="K601" s="43" t="str">
        <x:v>No boarders</x:v>
      </x:c>
      <x:c r="L601" s="43" t="str">
        <x:v>Has a sixth form</x:v>
      </x:c>
      <x:c r="M601" s="43" t="n">
        <x:v>167</x:v>
      </x:c>
      <x:c r="N601" s="43" t="str">
        <x:v>https://www.oneschoolglobal.com/campus/united-kingdom/maidstone/</x:v>
      </x:c>
      <x:c r="O601" s="43" t="str">
        <x:v>03000700507</x:v>
      </x:c>
      <x:c r="P601" s="43" t="str"/>
      <x:c r="Q601" s="43" t="str"/>
      <x:c r="R601" s="43" t="str">
        <x:v>Queued for contact research</x:v>
      </x:c>
      <x:c r="S601" s="43" t="str">
        <x:v>Not reviewed</x:v>
      </x:c>
      <x:c r="T601" s="43" t="str">
        <x:v>Hold</x:v>
      </x:c>
      <x:c r="U601" s="43" t="str">
        <x:v>No</x:v>
      </x:c>
      <x:c r="V601" s="44"/>
      <x:c r="W601" s="43" t="str"/>
      <x:c r="X601" s="43" t="str"/>
      <x:c r="Y601" s="43" t="str"/>
      <x:c r="Z601" s="43" t="str">
        <x:v>https://www.get-information-schools.service.gov.uk/Downloads</x:v>
      </x:c>
    </x:row>
    <x:row r="602">
      <x:c r="A602" s="43" t="str">
        <x:v>UK independent</x:v>
      </x:c>
      <x:c r="B602" s="43" t="str">
        <x:v>135799</x:v>
      </x:c>
      <x:c r="C602" s="43" t="n">
        <x:f>IF(K602="Boarding school",30,0)+IF(J602&gt;=18,20,0)+IF(I602&lt;=11,10,0)+IF(L602="Has a sixth form",15,0)+IF(M602&gt;=200,10,0)+IF(N602&lt;&gt;"",10,0)</x:f>
        <x:v>55</x:v>
      </x:c>
      <x:c r="D602" s="43" t="str">
        <x:f>IF(C602&gt;=85,"A",IF(C602&gt;=65,"B","C"))</x:f>
        <x:v>C</x:v>
      </x:c>
      <x:c r="E602" s="43" t="str">
        <x:v>Oneschool Global Uk, Northampton Campus</x:v>
      </x:c>
      <x:c r="F602" s="43" t="str">
        <x:v>Northampton</x:v>
      </x:c>
      <x:c r="G602" s="43" t="str">
        <x:v>Northamptonshire</x:v>
      </x:c>
      <x:c r="H602" s="43" t="str">
        <x:v>NN4 8QS</x:v>
      </x:c>
      <x:c r="I602" s="43" t="n">
        <x:v>7</x:v>
      </x:c>
      <x:c r="J602" s="43" t="n">
        <x:v>18</x:v>
      </x:c>
      <x:c r="K602" s="43" t="str">
        <x:v>No boarders</x:v>
      </x:c>
      <x:c r="L602" s="43" t="str">
        <x:v>Has a sixth form</x:v>
      </x:c>
      <x:c r="M602" s="43" t="n">
        <x:v>163</x:v>
      </x:c>
      <x:c r="N602" s="43" t="str">
        <x:v>https://www.oneschoolglobal.com/campus/united-kingdom/northampton/</x:v>
      </x:c>
      <x:c r="O602" s="43" t="str">
        <x:v>01604633819</x:v>
      </x:c>
      <x:c r="P602" s="43" t="str"/>
      <x:c r="Q602" s="43" t="str"/>
      <x:c r="R602" s="43" t="str">
        <x:v>Queued for contact research</x:v>
      </x:c>
      <x:c r="S602" s="43" t="str">
        <x:v>Not reviewed</x:v>
      </x:c>
      <x:c r="T602" s="43" t="str">
        <x:v>Hold</x:v>
      </x:c>
      <x:c r="U602" s="43" t="str">
        <x:v>No</x:v>
      </x:c>
      <x:c r="V602" s="44"/>
      <x:c r="W602" s="43" t="str"/>
      <x:c r="X602" s="43" t="str"/>
      <x:c r="Y602" s="43" t="str"/>
      <x:c r="Z602" s="43" t="str">
        <x:v>https://www.get-information-schools.service.gov.uk/Downloads</x:v>
      </x:c>
    </x:row>
    <x:row r="603">
      <x:c r="A603" s="43" t="str">
        <x:v>UK independent</x:v>
      </x:c>
      <x:c r="B603" s="43" t="str">
        <x:v>117623</x:v>
      </x:c>
      <x:c r="C603" s="43" t="n">
        <x:f>IF(K603="Boarding school",30,0)+IF(J603&gt;=18,20,0)+IF(I603&lt;=11,10,0)+IF(L603="Has a sixth form",15,0)+IF(M603&gt;=200,10,0)+IF(N603&lt;&gt;"",10,0)</x:f>
        <x:v>55</x:v>
      </x:c>
      <x:c r="D603" s="43" t="str">
        <x:f>IF(C603&gt;=85,"A",IF(C603&gt;=65,"B","C"))</x:f>
        <x:v>C</x:v>
      </x:c>
      <x:c r="E603" s="43" t="str">
        <x:v>Egerton-Rothesay School</x:v>
      </x:c>
      <x:c r="F603" s="43" t="str">
        <x:v>Berkhamsted</x:v>
      </x:c>
      <x:c r="G603" s="43" t="str">
        <x:v>Hertfordshire</x:v>
      </x:c>
      <x:c r="H603" s="43" t="str">
        <x:v>HP4 3UJ</x:v>
      </x:c>
      <x:c r="I603" s="43" t="n">
        <x:v>6</x:v>
      </x:c>
      <x:c r="J603" s="43" t="n">
        <x:v>19</x:v>
      </x:c>
      <x:c r="K603" s="43" t="str">
        <x:v>No boarders</x:v>
      </x:c>
      <x:c r="L603" s="43" t="str">
        <x:v>Has a sixth form</x:v>
      </x:c>
      <x:c r="M603" s="43" t="n">
        <x:v>157</x:v>
      </x:c>
      <x:c r="N603" s="43" t="str">
        <x:v>https://www.eger-roth.co.uk</x:v>
      </x:c>
      <x:c r="O603" s="43" t="str">
        <x:v>01442865275</x:v>
      </x:c>
      <x:c r="P603" s="43" t="str"/>
      <x:c r="Q603" s="43" t="str"/>
      <x:c r="R603" s="43" t="str">
        <x:v>Queued for contact research</x:v>
      </x:c>
      <x:c r="S603" s="43" t="str">
        <x:v>Not reviewed</x:v>
      </x:c>
      <x:c r="T603" s="43" t="str">
        <x:v>Hold</x:v>
      </x:c>
      <x:c r="U603" s="43" t="str">
        <x:v>No</x:v>
      </x:c>
      <x:c r="V603" s="44"/>
      <x:c r="W603" s="43" t="str"/>
      <x:c r="X603" s="43" t="str"/>
      <x:c r="Y603" s="43" t="str"/>
      <x:c r="Z603" s="43" t="str">
        <x:v>https://www.get-information-schools.service.gov.uk/Downloads</x:v>
      </x:c>
    </x:row>
    <x:row r="604">
      <x:c r="A604" s="43" t="str">
        <x:v>UK independent</x:v>
      </x:c>
      <x:c r="B604" s="43" t="str">
        <x:v>139415</x:v>
      </x:c>
      <x:c r="C604" s="43" t="n">
        <x:f>IF(K604="Boarding school",30,0)+IF(J604&gt;=18,20,0)+IF(I604&lt;=11,10,0)+IF(L604="Has a sixth form",15,0)+IF(M604&gt;=200,10,0)+IF(N604&lt;&gt;"",10,0)</x:f>
        <x:v>55</x:v>
      </x:c>
      <x:c r="D604" s="43" t="str">
        <x:f>IF(C604&gt;=85,"A",IF(C604&gt;=65,"B","C"))</x:f>
        <x:v>C</x:v>
      </x:c>
      <x:c r="E604" s="43" t="str">
        <x:v>Halcyon London International School</x:v>
      </x:c>
      <x:c r="F604" s="43" t="str">
        <x:v>London</x:v>
      </x:c>
      <x:c r="G604" s="43" t="str"/>
      <x:c r="H604" s="43" t="str">
        <x:v>W1H 5AU</x:v>
      </x:c>
      <x:c r="I604" s="43" t="n">
        <x:v>11</x:v>
      </x:c>
      <x:c r="J604" s="43" t="n">
        <x:v>18</x:v>
      </x:c>
      <x:c r="K604" s="43" t="str">
        <x:v>No boarders</x:v>
      </x:c>
      <x:c r="L604" s="43" t="str">
        <x:v>Has a sixth form</x:v>
      </x:c>
      <x:c r="M604" s="43" t="n">
        <x:v>157</x:v>
      </x:c>
      <x:c r="N604" s="43" t="str">
        <x:v>https://www.halcyonschool.com</x:v>
      </x:c>
      <x:c r="O604" s="43" t="str">
        <x:v>02072581169</x:v>
      </x:c>
      <x:c r="P604" s="43" t="str"/>
      <x:c r="Q604" s="43" t="str"/>
      <x:c r="R604" s="43" t="str">
        <x:v>Queued for contact research</x:v>
      </x:c>
      <x:c r="S604" s="43" t="str">
        <x:v>Not reviewed</x:v>
      </x:c>
      <x:c r="T604" s="43" t="str">
        <x:v>Hold</x:v>
      </x:c>
      <x:c r="U604" s="43" t="str">
        <x:v>No</x:v>
      </x:c>
      <x:c r="V604" s="44"/>
      <x:c r="W604" s="43" t="str"/>
      <x:c r="X604" s="43" t="str"/>
      <x:c r="Y604" s="43" t="str"/>
      <x:c r="Z604" s="43" t="str">
        <x:v>https://www.get-information-schools.service.gov.uk/Downloads</x:v>
      </x:c>
    </x:row>
    <x:row r="605">
      <x:c r="A605" s="43" t="str">
        <x:v>UK independent</x:v>
      </x:c>
      <x:c r="B605" s="43" t="str">
        <x:v>100300</x:v>
      </x:c>
      <x:c r="C605" s="43" t="n">
        <x:f>IF(K605="Boarding school",30,0)+IF(J605&gt;=18,20,0)+IF(I605&lt;=11,10,0)+IF(L605="Has a sixth form",15,0)+IF(M605&gt;=200,10,0)+IF(N605&lt;&gt;"",10,0)</x:f>
        <x:v>55</x:v>
      </x:c>
      <x:c r="D605" s="43" t="str">
        <x:f>IF(C605&gt;=85,"A",IF(C605&gt;=65,"B","C"))</x:f>
        <x:v>C</x:v>
      </x:c>
      <x:c r="E605" s="43" t="str">
        <x:v>Tayyibah Girls' School</x:v>
      </x:c>
      <x:c r="F605" s="43" t="str">
        <x:v>London</x:v>
      </x:c>
      <x:c r="G605" s="43" t="str"/>
      <x:c r="H605" s="43" t="str">
        <x:v>N16 6JJ</x:v>
      </x:c>
      <x:c r="I605" s="43" t="n">
        <x:v>4</x:v>
      </x:c>
      <x:c r="J605" s="43" t="n">
        <x:v>18</x:v>
      </x:c>
      <x:c r="K605" s="43" t="str">
        <x:v>No boarders</x:v>
      </x:c>
      <x:c r="L605" s="43" t="str">
        <x:v>Has a sixth form</x:v>
      </x:c>
      <x:c r="M605" s="43" t="n">
        <x:v>157</x:v>
      </x:c>
      <x:c r="N605" s="43" t="str">
        <x:v>http://tayyibah.org.uk/</x:v>
      </x:c>
      <x:c r="O605" s="43" t="str">
        <x:v>02088800085</x:v>
      </x:c>
      <x:c r="P605" s="43" t="str"/>
      <x:c r="Q605" s="43" t="str"/>
      <x:c r="R605" s="43" t="str">
        <x:v>Queued for contact research</x:v>
      </x:c>
      <x:c r="S605" s="43" t="str">
        <x:v>Not reviewed</x:v>
      </x:c>
      <x:c r="T605" s="43" t="str">
        <x:v>Hold</x:v>
      </x:c>
      <x:c r="U605" s="43" t="str">
        <x:v>No</x:v>
      </x:c>
      <x:c r="V605" s="44"/>
      <x:c r="W605" s="43" t="str"/>
      <x:c r="X605" s="43" t="str"/>
      <x:c r="Y605" s="43" t="str"/>
      <x:c r="Z605" s="43" t="str">
        <x:v>https://www.get-information-schools.service.gov.uk/Downloads</x:v>
      </x:c>
    </x:row>
    <x:row r="606">
      <x:c r="A606" s="43" t="str">
        <x:v>UK independent</x:v>
      </x:c>
      <x:c r="B606" s="43" t="str">
        <x:v>142069</x:v>
      </x:c>
      <x:c r="C606" s="43" t="n">
        <x:f>IF(K606="Boarding school",30,0)+IF(J606&gt;=18,20,0)+IF(I606&lt;=11,10,0)+IF(L606="Has a sixth form",15,0)+IF(M606&gt;=200,10,0)+IF(N606&lt;&gt;"",10,0)</x:f>
        <x:v>55</x:v>
      </x:c>
      <x:c r="D606" s="43" t="str">
        <x:f>IF(C606&gt;=85,"A",IF(C606&gt;=65,"B","C"))</x:f>
        <x:v>C</x:v>
      </x:c>
      <x:c r="E606" s="43" t="str">
        <x:v>The Chalfonts Independent Grammar School</x:v>
      </x:c>
      <x:c r="F606" s="43" t="str"/>
      <x:c r="G606" s="43" t="str">
        <x:v>Buckinghamshire</x:v>
      </x:c>
      <x:c r="H606" s="43" t="str">
        <x:v>HP11 1BJ</x:v>
      </x:c>
      <x:c r="I606" s="43" t="n">
        <x:v>3</x:v>
      </x:c>
      <x:c r="J606" s="43" t="n">
        <x:v>18</x:v>
      </x:c>
      <x:c r="K606" s="43" t="str">
        <x:v>No boarders</x:v>
      </x:c>
      <x:c r="L606" s="43" t="str">
        <x:v>Has a sixth form</x:v>
      </x:c>
      <x:c r="M606" s="43" t="n">
        <x:v>154</x:v>
      </x:c>
      <x:c r="N606" s="43" t="str">
        <x:v>https://www.thechalfontsgrammar.co.uk</x:v>
      </x:c>
      <x:c r="O606" s="43" t="str">
        <x:v>01494875502</x:v>
      </x:c>
      <x:c r="P606" s="43" t="str"/>
      <x:c r="Q606" s="43" t="str"/>
      <x:c r="R606" s="43" t="str">
        <x:v>Queued for contact research</x:v>
      </x:c>
      <x:c r="S606" s="43" t="str">
        <x:v>Not reviewed</x:v>
      </x:c>
      <x:c r="T606" s="43" t="str">
        <x:v>Hold</x:v>
      </x:c>
      <x:c r="U606" s="43" t="str">
        <x:v>No</x:v>
      </x:c>
      <x:c r="V606" s="44"/>
      <x:c r="W606" s="43" t="str"/>
      <x:c r="X606" s="43" t="str"/>
      <x:c r="Y606" s="43" t="str"/>
      <x:c r="Z606" s="43" t="str">
        <x:v>https://www.get-information-schools.service.gov.uk/Downloads</x:v>
      </x:c>
    </x:row>
    <x:row r="607">
      <x:c r="A607" s="43" t="str">
        <x:v>UK independent</x:v>
      </x:c>
      <x:c r="B607" s="43" t="str">
        <x:v>113028</x:v>
      </x:c>
      <x:c r="C607" s="43" t="n">
        <x:f>IF(K607="Boarding school",30,0)+IF(J607&gt;=18,20,0)+IF(I607&lt;=11,10,0)+IF(L607="Has a sixth form",15,0)+IF(M607&gt;=200,10,0)+IF(N607&lt;&gt;"",10,0)</x:f>
        <x:v>55</x:v>
      </x:c>
      <x:c r="D607" s="43" t="str">
        <x:f>IF(C607&gt;=85,"A",IF(C607&gt;=65,"B","C"))</x:f>
        <x:v>C</x:v>
      </x:c>
      <x:c r="E607" s="43" t="str">
        <x:v>Derby Grammar School</x:v>
      </x:c>
      <x:c r="F607" s="43" t="str"/>
      <x:c r="G607" s="43" t="str"/>
      <x:c r="H607" s="43" t="str">
        <x:v>DE23 4BX</x:v>
      </x:c>
      <x:c r="I607" s="43" t="n">
        <x:v>4</x:v>
      </x:c>
      <x:c r="J607" s="43" t="n">
        <x:v>18</x:v>
      </x:c>
      <x:c r="K607" s="43" t="str">
        <x:v>No boarders</x:v>
      </x:c>
      <x:c r="L607" s="43" t="str">
        <x:v>Has a sixth form</x:v>
      </x:c>
      <x:c r="M607" s="43" t="n">
        <x:v>147</x:v>
      </x:c>
      <x:c r="N607" s="43" t="str">
        <x:v>https://www.derbygrammar.org</x:v>
      </x:c>
      <x:c r="O607" s="43" t="str">
        <x:v>01332523027</x:v>
      </x:c>
      <x:c r="P607" s="43" t="str"/>
      <x:c r="Q607" s="43" t="str"/>
      <x:c r="R607" s="43" t="str">
        <x:v>Queued for contact research</x:v>
      </x:c>
      <x:c r="S607" s="43" t="str">
        <x:v>Not reviewed</x:v>
      </x:c>
      <x:c r="T607" s="43" t="str">
        <x:v>Hold</x:v>
      </x:c>
      <x:c r="U607" s="43" t="str">
        <x:v>No</x:v>
      </x:c>
      <x:c r="V607" s="44"/>
      <x:c r="W607" s="43" t="str"/>
      <x:c r="X607" s="43" t="str"/>
      <x:c r="Y607" s="43" t="str"/>
      <x:c r="Z607" s="43" t="str">
        <x:v>https://www.get-information-schools.service.gov.uk/Downloads</x:v>
      </x:c>
    </x:row>
    <x:row r="608">
      <x:c r="A608" s="43" t="str">
        <x:v>UK independent</x:v>
      </x:c>
      <x:c r="B608" s="43" t="str">
        <x:v>134463</x:v>
      </x:c>
      <x:c r="C608" s="43" t="n">
        <x:f>IF(K608="Boarding school",30,0)+IF(J608&gt;=18,20,0)+IF(I608&lt;=11,10,0)+IF(L608="Has a sixth form",15,0)+IF(M608&gt;=200,10,0)+IF(N608&lt;&gt;"",10,0)</x:f>
        <x:v>55</x:v>
      </x:c>
      <x:c r="D608" s="43" t="str">
        <x:f>IF(C608&gt;=85,"A",IF(C608&gt;=65,"B","C"))</x:f>
        <x:v>C</x:v>
      </x:c>
      <x:c r="E608" s="43" t="str">
        <x:v>Oneschool Global Uk - Tewkesbury Campus</x:v>
      </x:c>
      <x:c r="F608" s="43" t="str">
        <x:v>Tewkesbury</x:v>
      </x:c>
      <x:c r="G608" s="43" t="str"/>
      <x:c r="H608" s="43" t="str">
        <x:v>GL20 7DG</x:v>
      </x:c>
      <x:c r="I608" s="43" t="n">
        <x:v>7</x:v>
      </x:c>
      <x:c r="J608" s="43" t="n">
        <x:v>18</x:v>
      </x:c>
      <x:c r="K608" s="43" t="str">
        <x:v>No boarders</x:v>
      </x:c>
      <x:c r="L608" s="43" t="str">
        <x:v>Has a sixth form</x:v>
      </x:c>
      <x:c r="M608" s="43" t="n">
        <x:v>147</x:v>
      </x:c>
      <x:c r="N608" s="43" t="str">
        <x:v>https://www.oneschoolglobal.com/campus/united-kingdom/tewkesbury/</x:v>
      </x:c>
      <x:c r="O608" s="43" t="str">
        <x:v>01452782850</x:v>
      </x:c>
      <x:c r="P608" s="43" t="str"/>
      <x:c r="Q608" s="43" t="str"/>
      <x:c r="R608" s="43" t="str">
        <x:v>Queued for contact research</x:v>
      </x:c>
      <x:c r="S608" s="43" t="str">
        <x:v>Not reviewed</x:v>
      </x:c>
      <x:c r="T608" s="43" t="str">
        <x:v>Hold</x:v>
      </x:c>
      <x:c r="U608" s="43" t="str">
        <x:v>No</x:v>
      </x:c>
      <x:c r="V608" s="44"/>
      <x:c r="W608" s="43" t="str"/>
      <x:c r="X608" s="43" t="str"/>
      <x:c r="Y608" s="43" t="str"/>
      <x:c r="Z608" s="43" t="str">
        <x:v>https://www.get-information-schools.service.gov.uk/Downloads</x:v>
      </x:c>
    </x:row>
    <x:row r="609">
      <x:c r="A609" s="43" t="str">
        <x:v>UK independent</x:v>
      </x:c>
      <x:c r="B609" s="43" t="str">
        <x:v>103747</x:v>
      </x:c>
      <x:c r="C609" s="43" t="n">
        <x:f>IF(K609="Boarding school",30,0)+IF(J609&gt;=18,20,0)+IF(I609&lt;=11,10,0)+IF(L609="Has a sixth form",15,0)+IF(M609&gt;=200,10,0)+IF(N609&lt;&gt;"",10,0)</x:f>
        <x:v>55</x:v>
      </x:c>
      <x:c r="D609" s="43" t="str">
        <x:f>IF(C609&gt;=85,"A",IF(C609&gt;=65,"B","C"))</x:f>
        <x:v>C</x:v>
      </x:c>
      <x:c r="E609" s="43" t="str">
        <x:v>Pattison College</x:v>
      </x:c>
      <x:c r="F609" s="43" t="str"/>
      <x:c r="G609" s="43" t="str"/>
      <x:c r="H609" s="43" t="str">
        <x:v>CV3 1FQ</x:v>
      </x:c>
      <x:c r="I609" s="43" t="n">
        <x:v>2</x:v>
      </x:c>
      <x:c r="J609" s="43" t="n">
        <x:v>21</x:v>
      </x:c>
      <x:c r="K609" s="43" t="str">
        <x:v>No boarders</x:v>
      </x:c>
      <x:c r="L609" s="43" t="str">
        <x:v>Has a sixth form</x:v>
      </x:c>
      <x:c r="M609" s="43" t="n">
        <x:v>147</x:v>
      </x:c>
      <x:c r="N609" s="43" t="str">
        <x:v>https://www.pattisons.co.uk</x:v>
      </x:c>
      <x:c r="O609" s="43" t="str">
        <x:v>02476455031</x:v>
      </x:c>
      <x:c r="P609" s="43" t="str"/>
      <x:c r="Q609" s="43" t="str"/>
      <x:c r="R609" s="43" t="str">
        <x:v>Queued for contact research</x:v>
      </x:c>
      <x:c r="S609" s="43" t="str">
        <x:v>Not reviewed</x:v>
      </x:c>
      <x:c r="T609" s="43" t="str">
        <x:v>Hold</x:v>
      </x:c>
      <x:c r="U609" s="43" t="str">
        <x:v>No</x:v>
      </x:c>
      <x:c r="V609" s="44"/>
      <x:c r="W609" s="43" t="str"/>
      <x:c r="X609" s="43" t="str"/>
      <x:c r="Y609" s="43" t="str"/>
      <x:c r="Z609" s="43" t="str">
        <x:v>https://www.get-information-schools.service.gov.uk/Downloads</x:v>
      </x:c>
    </x:row>
    <x:row r="610">
      <x:c r="A610" s="43" t="str">
        <x:v>UK independent</x:v>
      </x:c>
      <x:c r="B610" s="43" t="str">
        <x:v>131745</x:v>
      </x:c>
      <x:c r="C610" s="43" t="n">
        <x:f>IF(K610="Boarding school",30,0)+IF(J610&gt;=18,20,0)+IF(I610&lt;=11,10,0)+IF(L610="Has a sixth form",15,0)+IF(M610&gt;=200,10,0)+IF(N610&lt;&gt;"",10,0)</x:f>
        <x:v>55</x:v>
      </x:c>
      <x:c r="D610" s="43" t="str">
        <x:f>IF(C610&gt;=85,"A",IF(C610&gt;=65,"B","C"))</x:f>
        <x:v>C</x:v>
      </x:c>
      <x:c r="E610" s="43" t="str">
        <x:v>Darul Hadis Latifiah</x:v>
      </x:c>
      <x:c r="F610" s="43" t="str">
        <x:v>London</x:v>
      </x:c>
      <x:c r="G610" s="43" t="str"/>
      <x:c r="H610" s="43" t="str">
        <x:v>E2 0HW</x:v>
      </x:c>
      <x:c r="I610" s="43" t="n">
        <x:v>11</x:v>
      </x:c>
      <x:c r="J610" s="43" t="n">
        <x:v>20</x:v>
      </x:c>
      <x:c r="K610" s="43" t="str">
        <x:v>No boarders</x:v>
      </x:c>
      <x:c r="L610" s="43" t="str">
        <x:v>Has a sixth form</x:v>
      </x:c>
      <x:c r="M610" s="43" t="n">
        <x:v>143</x:v>
      </x:c>
      <x:c r="N610" s="43" t="str">
        <x:v>https://www.darulhadis.org.uk</x:v>
      </x:c>
      <x:c r="O610" s="43" t="str">
        <x:v>02089833663</x:v>
      </x:c>
      <x:c r="P610" s="43" t="str"/>
      <x:c r="Q610" s="43" t="str"/>
      <x:c r="R610" s="43" t="str">
        <x:v>Queued for contact research</x:v>
      </x:c>
      <x:c r="S610" s="43" t="str">
        <x:v>Not reviewed</x:v>
      </x:c>
      <x:c r="T610" s="43" t="str">
        <x:v>Hold</x:v>
      </x:c>
      <x:c r="U610" s="43" t="str">
        <x:v>No</x:v>
      </x:c>
      <x:c r="V610" s="44"/>
      <x:c r="W610" s="43" t="str"/>
      <x:c r="X610" s="43" t="str"/>
      <x:c r="Y610" s="43" t="str"/>
      <x:c r="Z610" s="43" t="str">
        <x:v>https://www.get-information-schools.service.gov.uk/Downloads</x:v>
      </x:c>
    </x:row>
    <x:row r="611">
      <x:c r="A611" s="43" t="str">
        <x:v>UK independent</x:v>
      </x:c>
      <x:c r="B611" s="43" t="str">
        <x:v>136189</x:v>
      </x:c>
      <x:c r="C611" s="43" t="n">
        <x:f>IF(K611="Boarding school",30,0)+IF(J611&gt;=18,20,0)+IF(I611&lt;=11,10,0)+IF(L611="Has a sixth form",15,0)+IF(M611&gt;=200,10,0)+IF(N611&lt;&gt;"",10,0)</x:f>
        <x:v>55</x:v>
      </x:c>
      <x:c r="D611" s="43" t="str">
        <x:f>IF(C611&gt;=85,"A",IF(C611&gt;=65,"B","C"))</x:f>
        <x:v>C</x:v>
      </x:c>
      <x:c r="E611" s="43" t="str">
        <x:v>Eternal Light</x:v>
      </x:c>
      <x:c r="F611" s="43" t="str">
        <x:v>Bradford</x:v>
      </x:c>
      <x:c r="G611" s="43" t="str">
        <x:v>West Yorkshire</x:v>
      </x:c>
      <x:c r="H611" s="43" t="str">
        <x:v>BD5 9DH</x:v>
      </x:c>
      <x:c r="I611" s="43" t="n">
        <x:v>11</x:v>
      </x:c>
      <x:c r="J611" s="43" t="n">
        <x:v>23</x:v>
      </x:c>
      <x:c r="K611" s="43" t="str">
        <x:v>No boarders</x:v>
      </x:c>
      <x:c r="L611" s="43" t="str">
        <x:v>Has a sixth form</x:v>
      </x:c>
      <x:c r="M611" s="43" t="n">
        <x:v>142</x:v>
      </x:c>
      <x:c r="N611" s="43" t="str">
        <x:v>https://www.eternallightschool.co.uk</x:v>
      </x:c>
      <x:c r="O611" s="43" t="str">
        <x:v>01274501597</x:v>
      </x:c>
      <x:c r="P611" s="43" t="str"/>
      <x:c r="Q611" s="43" t="str"/>
      <x:c r="R611" s="43" t="str">
        <x:v>Queued for contact research</x:v>
      </x:c>
      <x:c r="S611" s="43" t="str">
        <x:v>Not reviewed</x:v>
      </x:c>
      <x:c r="T611" s="43" t="str">
        <x:v>Hold</x:v>
      </x:c>
      <x:c r="U611" s="43" t="str">
        <x:v>No</x:v>
      </x:c>
      <x:c r="V611" s="44"/>
      <x:c r="W611" s="43" t="str"/>
      <x:c r="X611" s="43" t="str"/>
      <x:c r="Y611" s="43" t="str"/>
      <x:c r="Z611" s="43" t="str">
        <x:v>https://www.get-information-schools.service.gov.uk/Downloads</x:v>
      </x:c>
    </x:row>
    <x:row r="612">
      <x:c r="A612" s="43" t="str">
        <x:v>UK independent</x:v>
      </x:c>
      <x:c r="B612" s="43" t="str">
        <x:v>134807</x:v>
      </x:c>
      <x:c r="C612" s="43" t="n">
        <x:f>IF(K612="Boarding school",30,0)+IF(J612&gt;=18,20,0)+IF(I612&lt;=11,10,0)+IF(L612="Has a sixth form",15,0)+IF(M612&gt;=200,10,0)+IF(N612&lt;&gt;"",10,0)</x:f>
        <x:v>55</x:v>
      </x:c>
      <x:c r="D612" s="43" t="str">
        <x:f>IF(C612&gt;=85,"A",IF(C612&gt;=65,"B","C"))</x:f>
        <x:v>C</x:v>
      </x:c>
      <x:c r="E612" s="43" t="str">
        <x:v>Bury Park Educational Institute (Al - Hikmah Secondary School)</x:v>
      </x:c>
      <x:c r="F612" s="43" t="str">
        <x:v>LUTON</x:v>
      </x:c>
      <x:c r="G612" s="43" t="str">
        <x:v>Bedfordshire</x:v>
      </x:c>
      <x:c r="H612" s="43" t="str">
        <x:v>LU1 1EH</x:v>
      </x:c>
      <x:c r="I612" s="43" t="n">
        <x:v>9</x:v>
      </x:c>
      <x:c r="J612" s="43" t="n">
        <x:v>19</x:v>
      </x:c>
      <x:c r="K612" s="43" t="str">
        <x:v>No boarders</x:v>
      </x:c>
      <x:c r="L612" s="43" t="str">
        <x:v>Has a sixth form</x:v>
      </x:c>
      <x:c r="M612" s="43" t="n">
        <x:v>139</x:v>
      </x:c>
      <x:c r="N612" s="43" t="str">
        <x:v>https://www.alhikmahschool.net</x:v>
      </x:c>
      <x:c r="O612" s="43" t="str">
        <x:v>01582728196</x:v>
      </x:c>
      <x:c r="P612" s="43" t="str"/>
      <x:c r="Q612" s="43" t="str"/>
      <x:c r="R612" s="43" t="str">
        <x:v>Queued for contact research</x:v>
      </x:c>
      <x:c r="S612" s="43" t="str">
        <x:v>Not reviewed</x:v>
      </x:c>
      <x:c r="T612" s="43" t="str">
        <x:v>Hold</x:v>
      </x:c>
      <x:c r="U612" s="43" t="str">
        <x:v>No</x:v>
      </x:c>
      <x:c r="V612" s="44"/>
      <x:c r="W612" s="43" t="str"/>
      <x:c r="X612" s="43" t="str"/>
      <x:c r="Y612" s="43" t="str"/>
      <x:c r="Z612" s="43" t="str">
        <x:v>https://www.get-information-schools.service.gov.uk/Downloads</x:v>
      </x:c>
    </x:row>
    <x:row r="613">
      <x:c r="A613" s="43" t="str">
        <x:v>UK independent</x:v>
      </x:c>
      <x:c r="B613" s="43" t="str">
        <x:v>101171</x:v>
      </x:c>
      <x:c r="C613" s="43" t="n">
        <x:f>IF(K613="Boarding school",30,0)+IF(J613&gt;=18,20,0)+IF(I613&lt;=11,10,0)+IF(L613="Has a sixth form",15,0)+IF(M613&gt;=200,10,0)+IF(N613&lt;&gt;"",10,0)</x:f>
        <x:v>55</x:v>
      </x:c>
      <x:c r="D613" s="43" t="str">
        <x:f>IF(C613&gt;=85,"A",IF(C613&gt;=65,"B","C"))</x:f>
        <x:v>C</x:v>
      </x:c>
      <x:c r="E613" s="43" t="str">
        <x:v>ICS London</x:v>
      </x:c>
      <x:c r="F613" s="43" t="str">
        <x:v>London</x:v>
      </x:c>
      <x:c r="G613" s="43" t="str"/>
      <x:c r="H613" s="43" t="str">
        <x:v>W1H 1PN</x:v>
      </x:c>
      <x:c r="I613" s="43" t="n">
        <x:v>3</x:v>
      </x:c>
      <x:c r="J613" s="43" t="n">
        <x:v>19</x:v>
      </x:c>
      <x:c r="K613" s="43" t="str">
        <x:v>No boarders</x:v>
      </x:c>
      <x:c r="L613" s="43" t="str">
        <x:v>Has a sixth form</x:v>
      </x:c>
      <x:c r="M613" s="43" t="n">
        <x:v>139</x:v>
      </x:c>
      <x:c r="N613" s="43" t="str">
        <x:v>https://www.icslondon.co.uk/</x:v>
      </x:c>
      <x:c r="O613" s="43" t="str">
        <x:v>02072988800</x:v>
      </x:c>
      <x:c r="P613" s="43" t="str"/>
      <x:c r="Q613" s="43" t="str"/>
      <x:c r="R613" s="43" t="str">
        <x:v>Queued for contact research</x:v>
      </x:c>
      <x:c r="S613" s="43" t="str">
        <x:v>Not reviewed</x:v>
      </x:c>
      <x:c r="T613" s="43" t="str">
        <x:v>Hold</x:v>
      </x:c>
      <x:c r="U613" s="43" t="str">
        <x:v>No</x:v>
      </x:c>
      <x:c r="V613" s="44"/>
      <x:c r="W613" s="43" t="str"/>
      <x:c r="X613" s="43" t="str"/>
      <x:c r="Y613" s="43" t="str"/>
      <x:c r="Z613" s="43" t="str">
        <x:v>https://www.get-information-schools.service.gov.uk/Downloads</x:v>
      </x:c>
    </x:row>
    <x:row r="614">
      <x:c r="A614" s="43" t="str">
        <x:v>UK independent</x:v>
      </x:c>
      <x:c r="B614" s="43" t="str">
        <x:v>134562</x:v>
      </x:c>
      <x:c r="C614" s="43" t="n">
        <x:f>IF(K614="Boarding school",30,0)+IF(J614&gt;=18,20,0)+IF(I614&lt;=11,10,0)+IF(L614="Has a sixth form",15,0)+IF(M614&gt;=200,10,0)+IF(N614&lt;&gt;"",10,0)</x:f>
        <x:v>55</x:v>
      </x:c>
      <x:c r="D614" s="43" t="str">
        <x:f>IF(C614&gt;=85,"A",IF(C614&gt;=65,"B","C"))</x:f>
        <x:v>C</x:v>
      </x:c>
      <x:c r="E614" s="43" t="str">
        <x:v>OneSchool Global UK - Hindhead Campus</x:v>
      </x:c>
      <x:c r="F614" s="43" t="str">
        <x:v>Hindhead</x:v>
      </x:c>
      <x:c r="G614" s="43" t="str">
        <x:v>Surrey</x:v>
      </x:c>
      <x:c r="H614" s="43" t="str">
        <x:v>GU26 6SJ</x:v>
      </x:c>
      <x:c r="I614" s="43" t="n">
        <x:v>7</x:v>
      </x:c>
      <x:c r="J614" s="43" t="n">
        <x:v>18</x:v>
      </x:c>
      <x:c r="K614" s="43" t="str">
        <x:v>No boarders</x:v>
      </x:c>
      <x:c r="L614" s="43" t="str">
        <x:v>Has a sixth form</x:v>
      </x:c>
      <x:c r="M614" s="43" t="n">
        <x:v>138</x:v>
      </x:c>
      <x:c r="N614" s="43" t="str">
        <x:v>https://www.oneschoolglobal.com</x:v>
      </x:c>
      <x:c r="O614" s="43" t="str">
        <x:v>03000700505</x:v>
      </x:c>
      <x:c r="P614" s="43" t="str"/>
      <x:c r="Q614" s="43" t="str"/>
      <x:c r="R614" s="43" t="str">
        <x:v>Queued for contact research</x:v>
      </x:c>
      <x:c r="S614" s="43" t="str">
        <x:v>Not reviewed</x:v>
      </x:c>
      <x:c r="T614" s="43" t="str">
        <x:v>Hold</x:v>
      </x:c>
      <x:c r="U614" s="43" t="str">
        <x:v>No</x:v>
      </x:c>
      <x:c r="V614" s="44"/>
      <x:c r="W614" s="43" t="str"/>
      <x:c r="X614" s="43" t="str"/>
      <x:c r="Y614" s="43" t="str"/>
      <x:c r="Z614" s="43" t="str">
        <x:v>https://www.get-information-schools.service.gov.uk/Downloads</x:v>
      </x:c>
    </x:row>
    <x:row r="615">
      <x:c r="A615" s="43" t="str">
        <x:v>UK independent</x:v>
      </x:c>
      <x:c r="B615" s="43" t="str">
        <x:v>139601</x:v>
      </x:c>
      <x:c r="C615" s="43" t="n">
        <x:f>IF(K615="Boarding school",30,0)+IF(J615&gt;=18,20,0)+IF(I615&lt;=11,10,0)+IF(L615="Has a sixth form",15,0)+IF(M615&gt;=200,10,0)+IF(N615&lt;&gt;"",10,0)</x:f>
        <x:v>55</x:v>
      </x:c>
      <x:c r="D615" s="43" t="str">
        <x:f>IF(C615&gt;=85,"A",IF(C615&gt;=65,"B","C"))</x:f>
        <x:v>C</x:v>
      </x:c>
      <x:c r="E615" s="43" t="str">
        <x:v>The Complete Works</x:v>
      </x:c>
      <x:c r="F615" s="43" t="str"/>
      <x:c r="G615" s="43" t="str"/>
      <x:c r="H615" s="43" t="str">
        <x:v>E1 7SA</x:v>
      </x:c>
      <x:c r="I615" s="43" t="n">
        <x:v>5</x:v>
      </x:c>
      <x:c r="J615" s="43" t="n">
        <x:v>25</x:v>
      </x:c>
      <x:c r="K615" s="43" t="str">
        <x:v>No boarders</x:v>
      </x:c>
      <x:c r="L615" s="43" t="str">
        <x:v>Has a sixth form</x:v>
      </x:c>
      <x:c r="M615" s="43" t="n">
        <x:v>126</x:v>
      </x:c>
      <x:c r="N615" s="43" t="str">
        <x:v>https://www.tcw.org.uk</x:v>
      </x:c>
      <x:c r="O615" s="43" t="str">
        <x:v>02073770280</x:v>
      </x:c>
      <x:c r="P615" s="43" t="str"/>
      <x:c r="Q615" s="43" t="str"/>
      <x:c r="R615" s="43" t="str">
        <x:v>Queued for contact research</x:v>
      </x:c>
      <x:c r="S615" s="43" t="str">
        <x:v>Not reviewed</x:v>
      </x:c>
      <x:c r="T615" s="43" t="str">
        <x:v>Hold</x:v>
      </x:c>
      <x:c r="U615" s="43" t="str">
        <x:v>No</x:v>
      </x:c>
      <x:c r="V615" s="44"/>
      <x:c r="W615" s="43" t="str"/>
      <x:c r="X615" s="43" t="str"/>
      <x:c r="Y615" s="43" t="str"/>
      <x:c r="Z615" s="43" t="str">
        <x:v>https://www.get-information-schools.service.gov.uk/Downloads</x:v>
      </x:c>
    </x:row>
    <x:row r="616">
      <x:c r="A616" s="43" t="str">
        <x:v>UK independent</x:v>
      </x:c>
      <x:c r="B616" s="43" t="str">
        <x:v>138771</x:v>
      </x:c>
      <x:c r="C616" s="43" t="n">
        <x:f>IF(K616="Boarding school",30,0)+IF(J616&gt;=18,20,0)+IF(I616&lt;=11,10,0)+IF(L616="Has a sixth form",15,0)+IF(M616&gt;=200,10,0)+IF(N616&lt;&gt;"",10,0)</x:f>
        <x:v>55</x:v>
      </x:c>
      <x:c r="D616" s="43" t="str">
        <x:f>IF(C616&gt;=85,"A",IF(C616&gt;=65,"B","C"))</x:f>
        <x:v>C</x:v>
      </x:c>
      <x:c r="E616" s="43" t="str">
        <x:v>The St Michael Steiner School</x:v>
      </x:c>
      <x:c r="F616" s="43" t="str">
        <x:v>London</x:v>
      </x:c>
      <x:c r="G616" s="43" t="str"/>
      <x:c r="H616" s="43" t="str">
        <x:v>TW13 6PN</x:v>
      </x:c>
      <x:c r="I616" s="43" t="n">
        <x:v>3</x:v>
      </x:c>
      <x:c r="J616" s="43" t="n">
        <x:v>18</x:v>
      </x:c>
      <x:c r="K616" s="43" t="str">
        <x:v>No boarders</x:v>
      </x:c>
      <x:c r="L616" s="43" t="str">
        <x:v>Has a sixth form</x:v>
      </x:c>
      <x:c r="M616" s="43" t="n">
        <x:v>125</x:v>
      </x:c>
      <x:c r="N616" s="43" t="str">
        <x:v>http://www.stmichaelsteiner.hounslow.sch.uk</x:v>
      </x:c>
      <x:c r="O616" s="43" t="str">
        <x:v>02088931299</x:v>
      </x:c>
      <x:c r="P616" s="43" t="str"/>
      <x:c r="Q616" s="43" t="str"/>
      <x:c r="R616" s="43" t="str">
        <x:v>Queued for contact research</x:v>
      </x:c>
      <x:c r="S616" s="43" t="str">
        <x:v>Not reviewed</x:v>
      </x:c>
      <x:c r="T616" s="43" t="str">
        <x:v>Hold</x:v>
      </x:c>
      <x:c r="U616" s="43" t="str">
        <x:v>No</x:v>
      </x:c>
      <x:c r="V616" s="44"/>
      <x:c r="W616" s="43" t="str"/>
      <x:c r="X616" s="43" t="str"/>
      <x:c r="Y616" s="43" t="str"/>
      <x:c r="Z616" s="43" t="str">
        <x:v>https://www.get-information-schools.service.gov.uk/Downloads</x:v>
      </x:c>
    </x:row>
    <x:row r="617">
      <x:c r="A617" s="43" t="str">
        <x:v>UK independent</x:v>
      </x:c>
      <x:c r="B617" s="43" t="str">
        <x:v>132066</x:v>
      </x:c>
      <x:c r="C617" s="43" t="n">
        <x:f>IF(K617="Boarding school",30,0)+IF(J617&gt;=18,20,0)+IF(I617&lt;=11,10,0)+IF(L617="Has a sixth form",15,0)+IF(M617&gt;=200,10,0)+IF(N617&lt;&gt;"",10,0)</x:f>
        <x:v>55</x:v>
      </x:c>
      <x:c r="D617" s="43" t="str">
        <x:f>IF(C617&gt;=85,"A",IF(C617&gt;=65,"B","C"))</x:f>
        <x:v>C</x:v>
      </x:c>
      <x:c r="E617" s="43" t="str">
        <x:v>Greenwich Waldorf School</x:v>
      </x:c>
      <x:c r="F617" s="43" t="str">
        <x:v>London</x:v>
      </x:c>
      <x:c r="G617" s="43" t="str"/>
      <x:c r="H617" s="43" t="str">
        <x:v>SE3 7SE</x:v>
      </x:c>
      <x:c r="I617" s="43" t="n">
        <x:v>3</x:v>
      </x:c>
      <x:c r="J617" s="43" t="n">
        <x:v>18</x:v>
      </x:c>
      <x:c r="K617" s="43" t="str">
        <x:v>No boarders</x:v>
      </x:c>
      <x:c r="L617" s="43" t="str">
        <x:v>Has a sixth form</x:v>
      </x:c>
      <x:c r="M617" s="43" t="n">
        <x:v>123</x:v>
      </x:c>
      <x:c r="N617" s="43" t="str">
        <x:v>https://www.greenwichwaldorfschool.com</x:v>
      </x:c>
      <x:c r="O617" s="43" t="str">
        <x:v>02088584404</x:v>
      </x:c>
      <x:c r="P617" s="43" t="str"/>
      <x:c r="Q617" s="43" t="str"/>
      <x:c r="R617" s="43" t="str">
        <x:v>Queued for contact research</x:v>
      </x:c>
      <x:c r="S617" s="43" t="str">
        <x:v>Not reviewed</x:v>
      </x:c>
      <x:c r="T617" s="43" t="str">
        <x:v>Hold</x:v>
      </x:c>
      <x:c r="U617" s="43" t="str">
        <x:v>No</x:v>
      </x:c>
      <x:c r="V617" s="44"/>
      <x:c r="W617" s="43" t="str"/>
      <x:c r="X617" s="43" t="str"/>
      <x:c r="Y617" s="43" t="str"/>
      <x:c r="Z617" s="43" t="str">
        <x:v>https://www.get-information-schools.service.gov.uk/Downloads</x:v>
      </x:c>
    </x:row>
    <x:row r="618">
      <x:c r="A618" s="43" t="str">
        <x:v>UK independent</x:v>
      </x:c>
      <x:c r="B618" s="43" t="str">
        <x:v>134480</x:v>
      </x:c>
      <x:c r="C618" s="43" t="n">
        <x:f>IF(K618="Boarding school",30,0)+IF(J618&gt;=18,20,0)+IF(I618&lt;=11,10,0)+IF(L618="Has a sixth form",15,0)+IF(M618&gt;=200,10,0)+IF(N618&lt;&gt;"",10,0)</x:f>
        <x:v>55</x:v>
      </x:c>
      <x:c r="D618" s="43" t="str">
        <x:f>IF(C618&gt;=85,"A",IF(C618&gt;=65,"B","C"))</x:f>
        <x:v>C</x:v>
      </x:c>
      <x:c r="E618" s="43" t="str">
        <x:v>OneSchool Global UK Colchester Campus</x:v>
      </x:c>
      <x:c r="F618" s="43" t="str">
        <x:v>Colchester</x:v>
      </x:c>
      <x:c r="G618" s="43" t="str">
        <x:v>Essex</x:v>
      </x:c>
      <x:c r="H618" s="43" t="str">
        <x:v>CO6 4RW</x:v>
      </x:c>
      <x:c r="I618" s="43" t="n">
        <x:v>7</x:v>
      </x:c>
      <x:c r="J618" s="43" t="n">
        <x:v>18</x:v>
      </x:c>
      <x:c r="K618" s="43" t="str">
        <x:v>No boarders</x:v>
      </x:c>
      <x:c r="L618" s="43" t="str">
        <x:v>Has a sixth form</x:v>
      </x:c>
      <x:c r="M618" s="43" t="n">
        <x:v>120</x:v>
      </x:c>
      <x:c r="N618" s="43" t="str">
        <x:v>https://www.oneschoolglobal.com/campus/united-kingdom/colchester/</x:v>
      </x:c>
      <x:c r="O618" s="43" t="str">
        <x:v>01206264230</x:v>
      </x:c>
      <x:c r="P618" s="43" t="str"/>
      <x:c r="Q618" s="43" t="str"/>
      <x:c r="R618" s="43" t="str">
        <x:v>Queued for contact research</x:v>
      </x:c>
      <x:c r="S618" s="43" t="str">
        <x:v>Not reviewed</x:v>
      </x:c>
      <x:c r="T618" s="43" t="str">
        <x:v>Hold</x:v>
      </x:c>
      <x:c r="U618" s="43" t="str">
        <x:v>No</x:v>
      </x:c>
      <x:c r="V618" s="44"/>
      <x:c r="W618" s="43" t="str"/>
      <x:c r="X618" s="43" t="str"/>
      <x:c r="Y618" s="43" t="str"/>
      <x:c r="Z618" s="43" t="str">
        <x:v>https://www.get-information-schools.service.gov.uk/Downloads</x:v>
      </x:c>
    </x:row>
    <x:row r="619">
      <x:c r="A619" s="43" t="str">
        <x:v>UK independent</x:v>
      </x:c>
      <x:c r="B619" s="43" t="str">
        <x:v>134493</x:v>
      </x:c>
      <x:c r="C619" s="43" t="n">
        <x:f>IF(K619="Boarding school",30,0)+IF(J619&gt;=18,20,0)+IF(I619&lt;=11,10,0)+IF(L619="Has a sixth form",15,0)+IF(M619&gt;=200,10,0)+IF(N619&lt;&gt;"",10,0)</x:f>
        <x:v>55</x:v>
      </x:c>
      <x:c r="D619" s="43" t="str">
        <x:f>IF(C619&gt;=85,"A",IF(C619&gt;=65,"B","C"))</x:f>
        <x:v>C</x:v>
      </x:c>
      <x:c r="E619" s="43" t="str">
        <x:v>OneSchool Global Northwich</x:v>
      </x:c>
      <x:c r="F619" s="43" t="str">
        <x:v>Northwich</x:v>
      </x:c>
      <x:c r="G619" s="43" t="str"/>
      <x:c r="H619" s="43" t="str">
        <x:v>CW9 7UE</x:v>
      </x:c>
      <x:c r="I619" s="43" t="n">
        <x:v>7</x:v>
      </x:c>
      <x:c r="J619" s="43" t="n">
        <x:v>18</x:v>
      </x:c>
      <x:c r="K619" s="43" t="str">
        <x:v>No boarders</x:v>
      </x:c>
      <x:c r="L619" s="43" t="str">
        <x:v>Has a sixth form</x:v>
      </x:c>
      <x:c r="M619" s="43" t="n">
        <x:v>118</x:v>
      </x:c>
      <x:c r="N619" s="43" t="str">
        <x:v>https://www.oneschoolglobal.com/campus/united-kingdom/northwich/</x:v>
      </x:c>
      <x:c r="O619" s="43" t="str">
        <x:v>01606210320</x:v>
      </x:c>
      <x:c r="P619" s="43" t="str"/>
      <x:c r="Q619" s="43" t="str"/>
      <x:c r="R619" s="43" t="str">
        <x:v>Queued for contact research</x:v>
      </x:c>
      <x:c r="S619" s="43" t="str">
        <x:v>Not reviewed</x:v>
      </x:c>
      <x:c r="T619" s="43" t="str">
        <x:v>Hold</x:v>
      </x:c>
      <x:c r="U619" s="43" t="str">
        <x:v>No</x:v>
      </x:c>
      <x:c r="V619" s="44"/>
      <x:c r="W619" s="43" t="str"/>
      <x:c r="X619" s="43" t="str"/>
      <x:c r="Y619" s="43" t="str"/>
      <x:c r="Z619" s="43" t="str">
        <x:v>https://www.get-information-schools.service.gov.uk/Downloads</x:v>
      </x:c>
    </x:row>
    <x:row r="620">
      <x:c r="A620" s="43" t="str">
        <x:v>UK independent</x:v>
      </x:c>
      <x:c r="B620" s="43" t="str">
        <x:v>141555</x:v>
      </x:c>
      <x:c r="C620" s="43" t="n">
        <x:f>IF(K620="Boarding school",30,0)+IF(J620&gt;=18,20,0)+IF(I620&lt;=11,10,0)+IF(L620="Has a sixth form",15,0)+IF(M620&gt;=200,10,0)+IF(N620&lt;&gt;"",10,0)</x:f>
        <x:v>55</x:v>
      </x:c>
      <x:c r="D620" s="43" t="str">
        <x:f>IF(C620&gt;=85,"A",IF(C620&gt;=65,"B","C"))</x:f>
        <x:v>C</x:v>
      </x:c>
      <x:c r="E620" s="43" t="str">
        <x:v>OneSchool Global York Campus</x:v>
      </x:c>
      <x:c r="F620" s="43" t="str">
        <x:v>York</x:v>
      </x:c>
      <x:c r="G620" s="43" t="str"/>
      <x:c r="H620" s="43" t="str">
        <x:v>YO23 2QA</x:v>
      </x:c>
      <x:c r="I620" s="43" t="n">
        <x:v>7</x:v>
      </x:c>
      <x:c r="J620" s="43" t="n">
        <x:v>18</x:v>
      </x:c>
      <x:c r="K620" s="43" t="str">
        <x:v>No boarders</x:v>
      </x:c>
      <x:c r="L620" s="43" t="str">
        <x:v>Has a sixth form</x:v>
      </x:c>
      <x:c r="M620" s="43" t="n">
        <x:v>109</x:v>
      </x:c>
      <x:c r="N620" s="43" t="str">
        <x:v>https://www.oneschoolglobal.com/campus/york/</x:v>
      </x:c>
      <x:c r="O620" s="43" t="str">
        <x:v>01904663300</x:v>
      </x:c>
      <x:c r="P620" s="43" t="str"/>
      <x:c r="Q620" s="43" t="str"/>
      <x:c r="R620" s="43" t="str">
        <x:v>Queued for contact research</x:v>
      </x:c>
      <x:c r="S620" s="43" t="str">
        <x:v>Not reviewed</x:v>
      </x:c>
      <x:c r="T620" s="43" t="str">
        <x:v>Hold</x:v>
      </x:c>
      <x:c r="U620" s="43" t="str">
        <x:v>No</x:v>
      </x:c>
      <x:c r="V620" s="44"/>
      <x:c r="W620" s="43" t="str"/>
      <x:c r="X620" s="43" t="str"/>
      <x:c r="Y620" s="43" t="str"/>
      <x:c r="Z620" s="43" t="str">
        <x:v>https://www.get-information-schools.service.gov.uk/Downloads</x:v>
      </x:c>
    </x:row>
    <x:row r="621">
      <x:c r="A621" s="43" t="str">
        <x:v>UK independent</x:v>
      </x:c>
      <x:c r="B621" s="43" t="str">
        <x:v>136023</x:v>
      </x:c>
      <x:c r="C621" s="43" t="n">
        <x:f>IF(K621="Boarding school",30,0)+IF(J621&gt;=18,20,0)+IF(I621&lt;=11,10,0)+IF(L621="Has a sixth form",15,0)+IF(M621&gt;=200,10,0)+IF(N621&lt;&gt;"",10,0)</x:f>
        <x:v>55</x:v>
      </x:c>
      <x:c r="D621" s="43" t="str">
        <x:f>IF(C621&gt;=85,"A",IF(C621&gt;=65,"B","C"))</x:f>
        <x:v>C</x:v>
      </x:c>
      <x:c r="E621" s="43" t="str">
        <x:v>Iqra Academy</x:v>
      </x:c>
      <x:c r="F621" s="43" t="str">
        <x:v>Peterborough</x:v>
      </x:c>
      <x:c r="G621" s="43" t="str">
        <x:v>Cambridgeshire</x:v>
      </x:c>
      <x:c r="H621" s="43" t="str">
        <x:v>PE3 8YQ</x:v>
      </x:c>
      <x:c r="I621" s="43" t="n">
        <x:v>11</x:v>
      </x:c>
      <x:c r="J621" s="43" t="n">
        <x:v>19</x:v>
      </x:c>
      <x:c r="K621" s="43" t="str">
        <x:v>No boarders</x:v>
      </x:c>
      <x:c r="L621" s="43" t="str">
        <x:v>Has a sixth form</x:v>
      </x:c>
      <x:c r="M621" s="43" t="n">
        <x:v>103</x:v>
      </x:c>
      <x:c r="N621" s="43" t="str">
        <x:v>https://www.iqra-academy.co.uk</x:v>
      </x:c>
      <x:c r="O621" s="43" t="str">
        <x:v>01733331433</x:v>
      </x:c>
      <x:c r="P621" s="43" t="str"/>
      <x:c r="Q621" s="43" t="str"/>
      <x:c r="R621" s="43" t="str">
        <x:v>Queued for contact research</x:v>
      </x:c>
      <x:c r="S621" s="43" t="str">
        <x:v>Not reviewed</x:v>
      </x:c>
      <x:c r="T621" s="43" t="str">
        <x:v>Hold</x:v>
      </x:c>
      <x:c r="U621" s="43" t="str">
        <x:v>No</x:v>
      </x:c>
      <x:c r="V621" s="44"/>
      <x:c r="W621" s="43" t="str"/>
      <x:c r="X621" s="43" t="str"/>
      <x:c r="Y621" s="43" t="str"/>
      <x:c r="Z621" s="43" t="str">
        <x:v>https://www.get-information-schools.service.gov.uk/Downloads</x:v>
      </x:c>
    </x:row>
    <x:row r="622">
      <x:c r="A622" s="43" t="str">
        <x:v>UK independent</x:v>
      </x:c>
      <x:c r="B622" s="43" t="str">
        <x:v>134571</x:v>
      </x:c>
      <x:c r="C622" s="43" t="n">
        <x:f>IF(K622="Boarding school",30,0)+IF(J622&gt;=18,20,0)+IF(I622&lt;=11,10,0)+IF(L622="Has a sixth form",15,0)+IF(M622&gt;=200,10,0)+IF(N622&lt;&gt;"",10,0)</x:f>
        <x:v>55</x:v>
      </x:c>
      <x:c r="D622" s="43" t="str">
        <x:f>IF(C622&gt;=85,"A",IF(C622&gt;=65,"B","C"))</x:f>
        <x:v>C</x:v>
      </x:c>
      <x:c r="E622" s="43" t="str">
        <x:v>Jamia Islamia Birmingham</x:v>
      </x:c>
      <x:c r="F622" s="43" t="str">
        <x:v>Birmingham</x:v>
      </x:c>
      <x:c r="G622" s="43" t="str">
        <x:v>West Midlands</x:v>
      </x:c>
      <x:c r="H622" s="43" t="str">
        <x:v>B11 1PL</x:v>
      </x:c>
      <x:c r="I622" s="43" t="n">
        <x:v>11</x:v>
      </x:c>
      <x:c r="J622" s="43" t="n">
        <x:v>19</x:v>
      </x:c>
      <x:c r="K622" s="43" t="str">
        <x:v>No boarders</x:v>
      </x:c>
      <x:c r="L622" s="43" t="str">
        <x:v>Has a sixth form</x:v>
      </x:c>
      <x:c r="M622" s="43" t="n">
        <x:v>103</x:v>
      </x:c>
      <x:c r="N622" s="43" t="str">
        <x:v>http://jamia.bham.sch.uk/</x:v>
      </x:c>
      <x:c r="O622" s="43" t="str">
        <x:v>01217726400</x:v>
      </x:c>
      <x:c r="P622" s="43" t="str"/>
      <x:c r="Q622" s="43" t="str"/>
      <x:c r="R622" s="43" t="str">
        <x:v>Queued for contact research</x:v>
      </x:c>
      <x:c r="S622" s="43" t="str">
        <x:v>Not reviewed</x:v>
      </x:c>
      <x:c r="T622" s="43" t="str">
        <x:v>Hold</x:v>
      </x:c>
      <x:c r="U622" s="43" t="str">
        <x:v>No</x:v>
      </x:c>
      <x:c r="V622" s="44"/>
      <x:c r="W622" s="43" t="str"/>
      <x:c r="X622" s="43" t="str"/>
      <x:c r="Y622" s="43" t="str"/>
      <x:c r="Z622" s="43" t="str">
        <x:v>https://www.get-information-schools.service.gov.uk/Downloads</x:v>
      </x:c>
    </x:row>
    <x:row r="623">
      <x:c r="A623" s="43" t="str">
        <x:v>UK independent</x:v>
      </x:c>
      <x:c r="B623" s="43" t="str">
        <x:v>138871</x:v>
      </x:c>
      <x:c r="C623" s="43" t="n">
        <x:f>IF(K623="Boarding school",30,0)+IF(J623&gt;=18,20,0)+IF(I623&lt;=11,10,0)+IF(L623="Has a sixth form",15,0)+IF(M623&gt;=200,10,0)+IF(N623&lt;&gt;"",10,0)</x:f>
        <x:v>55</x:v>
      </x:c>
      <x:c r="D623" s="43" t="str">
        <x:f>IF(C623&gt;=85,"A",IF(C623&gt;=65,"B","C"))</x:f>
        <x:v>C</x:v>
      </x:c>
      <x:c r="E623" s="43" t="str">
        <x:v>OneSchoolGlobal Bristol Campus</x:v>
      </x:c>
      <x:c r="F623" s="43" t="str">
        <x:v>Gloucestershire</x:v>
      </x:c>
      <x:c r="G623" s="43" t="str">
        <x:v>Gloucestershire</x:v>
      </x:c>
      <x:c r="H623" s="43" t="str">
        <x:v>GL13 9RS</x:v>
      </x:c>
      <x:c r="I623" s="43" t="n">
        <x:v>7</x:v>
      </x:c>
      <x:c r="J623" s="43" t="n">
        <x:v>18</x:v>
      </x:c>
      <x:c r="K623" s="43" t="str">
        <x:v>No boarders</x:v>
      </x:c>
      <x:c r="L623" s="43" t="str">
        <x:v>Has a sixth form</x:v>
      </x:c>
      <x:c r="M623" s="43" t="n">
        <x:v>101</x:v>
      </x:c>
      <x:c r="N623" s="43" t="str">
        <x:v>https://www.oneschoolglobal.com/campus/united-kingdom/bristol/</x:v>
      </x:c>
      <x:c r="O623" s="43" t="str">
        <x:v>01453511282</x:v>
      </x:c>
      <x:c r="P623" s="43" t="str"/>
      <x:c r="Q623" s="43" t="str"/>
      <x:c r="R623" s="43" t="str">
        <x:v>Queued for contact research</x:v>
      </x:c>
      <x:c r="S623" s="43" t="str">
        <x:v>Not reviewed</x:v>
      </x:c>
      <x:c r="T623" s="43" t="str">
        <x:v>Hold</x:v>
      </x:c>
      <x:c r="U623" s="43" t="str">
        <x:v>No</x:v>
      </x:c>
      <x:c r="V623" s="44"/>
      <x:c r="W623" s="43" t="str"/>
      <x:c r="X623" s="43" t="str"/>
      <x:c r="Y623" s="43" t="str"/>
      <x:c r="Z623" s="43" t="str">
        <x:v>https://www.get-information-schools.service.gov.uk/Downloads</x:v>
      </x:c>
    </x:row>
    <x:row r="624">
      <x:c r="A624" s="43" t="str">
        <x:v>UK independent</x:v>
      </x:c>
      <x:c r="B624" s="43" t="str">
        <x:v>143018</x:v>
      </x:c>
      <x:c r="C624" s="43" t="n">
        <x:f>IF(K624="Boarding school",30,0)+IF(J624&gt;=18,20,0)+IF(I624&lt;=11,10,0)+IF(L624="Has a sixth form",15,0)+IF(M624&gt;=200,10,0)+IF(N624&lt;&gt;"",10,0)</x:f>
        <x:v>55</x:v>
      </x:c>
      <x:c r="D624" s="43" t="str">
        <x:f>IF(C624&gt;=85,"A",IF(C624&gt;=65,"B","C"))</x:f>
        <x:v>C</x:v>
      </x:c>
      <x:c r="E624" s="43" t="str">
        <x:v>Wotton House International School Gloucestershire</x:v>
      </x:c>
      <x:c r="F624" s="43" t="str">
        <x:v>Gloucester</x:v>
      </x:c>
      <x:c r="G624" s="43" t="str"/>
      <x:c r="H624" s="43" t="str">
        <x:v>GL1 3PR</x:v>
      </x:c>
      <x:c r="I624" s="43" t="n">
        <x:v>5</x:v>
      </x:c>
      <x:c r="J624" s="43" t="n">
        <x:v>19</x:v>
      </x:c>
      <x:c r="K624" s="43" t="str">
        <x:v>No boarders</x:v>
      </x:c>
      <x:c r="L624" s="43" t="str">
        <x:v>Has a sixth form</x:v>
      </x:c>
      <x:c r="M624" s="43" t="n">
        <x:v>101</x:v>
      </x:c>
      <x:c r="N624" s="43" t="str">
        <x:v>https://www.wottonhouseschool.co.uk</x:v>
      </x:c>
      <x:c r="O624" s="43" t="str">
        <x:v>01452764248</x:v>
      </x:c>
      <x:c r="P624" s="43" t="str"/>
      <x:c r="Q624" s="43" t="str"/>
      <x:c r="R624" s="43" t="str">
        <x:v>Queued for contact research</x:v>
      </x:c>
      <x:c r="S624" s="43" t="str">
        <x:v>Not reviewed</x:v>
      </x:c>
      <x:c r="T624" s="43" t="str">
        <x:v>Hold</x:v>
      </x:c>
      <x:c r="U624" s="43" t="str">
        <x:v>No</x:v>
      </x:c>
      <x:c r="V624" s="44"/>
      <x:c r="W624" s="43" t="str"/>
      <x:c r="X624" s="43" t="str"/>
      <x:c r="Y624" s="43" t="str"/>
      <x:c r="Z624" s="43" t="str">
        <x:v>https://www.get-information-schools.service.gov.uk/Downloads</x:v>
      </x:c>
    </x:row>
    <x:row r="625">
      <x:c r="A625" s="43" t="str">
        <x:v>UK independent</x:v>
      </x:c>
      <x:c r="B625" s="43" t="str">
        <x:v>134887</x:v>
      </x:c>
      <x:c r="C625" s="43" t="n">
        <x:f>IF(K625="Boarding school",30,0)+IF(J625&gt;=18,20,0)+IF(I625&lt;=11,10,0)+IF(L625="Has a sixth form",15,0)+IF(M625&gt;=200,10,0)+IF(N625&lt;&gt;"",10,0)</x:f>
        <x:v>55</x:v>
      </x:c>
      <x:c r="D625" s="43" t="str">
        <x:f>IF(C625&gt;=85,"A",IF(C625&gt;=65,"B","C"))</x:f>
        <x:v>C</x:v>
      </x:c>
      <x:c r="E625" s="43" t="str">
        <x:v>OneSchool Global Kenley Campus</x:v>
      </x:c>
      <x:c r="F625" s="43" t="str"/>
      <x:c r="G625" s="43" t="str"/>
      <x:c r="H625" s="43" t="str">
        <x:v>CR3 5FX</x:v>
      </x:c>
      <x:c r="I625" s="43" t="n">
        <x:v>7</x:v>
      </x:c>
      <x:c r="J625" s="43" t="n">
        <x:v>18</x:v>
      </x:c>
      <x:c r="K625" s="43" t="str">
        <x:v>No boarders</x:v>
      </x:c>
      <x:c r="L625" s="43" t="str">
        <x:v>Has a sixth form</x:v>
      </x:c>
      <x:c r="M625" s="43" t="n">
        <x:v>99</x:v>
      </x:c>
      <x:c r="N625" s="43" t="str">
        <x:v>https://www.oneschoolglobal.com/campus/united-kingdom/kenley/</x:v>
      </x:c>
      <x:c r="O625" s="43" t="str">
        <x:v>01883338634</x:v>
      </x:c>
      <x:c r="P625" s="43" t="str"/>
      <x:c r="Q625" s="43" t="str"/>
      <x:c r="R625" s="43" t="str">
        <x:v>Queued for contact research</x:v>
      </x:c>
      <x:c r="S625" s="43" t="str">
        <x:v>Not reviewed</x:v>
      </x:c>
      <x:c r="T625" s="43" t="str">
        <x:v>Hold</x:v>
      </x:c>
      <x:c r="U625" s="43" t="str">
        <x:v>No</x:v>
      </x:c>
      <x:c r="V625" s="44"/>
      <x:c r="W625" s="43" t="str"/>
      <x:c r="X625" s="43" t="str"/>
      <x:c r="Y625" s="43" t="str"/>
      <x:c r="Z625" s="43" t="str">
        <x:v>https://www.get-information-schools.service.gov.uk/Downloads</x:v>
      </x:c>
    </x:row>
    <x:row r="626">
      <x:c r="A626" s="43" t="str">
        <x:v>UK independent</x:v>
      </x:c>
      <x:c r="B626" s="43" t="str">
        <x:v>147986</x:v>
      </x:c>
      <x:c r="C626" s="43" t="n">
        <x:f>IF(K626="Boarding school",30,0)+IF(J626&gt;=18,20,0)+IF(I626&lt;=11,10,0)+IF(L626="Has a sixth form",15,0)+IF(M626&gt;=200,10,0)+IF(N626&lt;&gt;"",10,0)</x:f>
        <x:v>55</x:v>
      </x:c>
      <x:c r="D626" s="43" t="str">
        <x:f>IF(C626&gt;=85,"A",IF(C626&gt;=65,"B","C"))</x:f>
        <x:v>C</x:v>
      </x:c>
      <x:c r="E626" s="43" t="str">
        <x:v>The New School</x:v>
      </x:c>
      <x:c r="F626" s="43" t="str"/>
      <x:c r="G626" s="43" t="str"/>
      <x:c r="H626" s="43" t="str">
        <x:v>SE19 1RT</x:v>
      </x:c>
      <x:c r="I626" s="43" t="n">
        <x:v>4</x:v>
      </x:c>
      <x:c r="J626" s="43" t="n">
        <x:v>18</x:v>
      </x:c>
      <x:c r="K626" s="43" t="str">
        <x:v>No boarders</x:v>
      </x:c>
      <x:c r="L626" s="43" t="str">
        <x:v>Has a sixth form</x:v>
      </x:c>
      <x:c r="M626" s="43" t="n">
        <x:v>97</x:v>
      </x:c>
      <x:c r="N626" s="43" t="str">
        <x:v>https://www.thenewschool.org.uk</x:v>
      </x:c>
      <x:c r="O626" s="43" t="str">
        <x:v>02045130505</x:v>
      </x:c>
      <x:c r="P626" s="43" t="str"/>
      <x:c r="Q626" s="43" t="str"/>
      <x:c r="R626" s="43" t="str">
        <x:v>Queued for contact research</x:v>
      </x:c>
      <x:c r="S626" s="43" t="str">
        <x:v>Not reviewed</x:v>
      </x:c>
      <x:c r="T626" s="43" t="str">
        <x:v>Hold</x:v>
      </x:c>
      <x:c r="U626" s="43" t="str">
        <x:v>No</x:v>
      </x:c>
      <x:c r="V626" s="44"/>
      <x:c r="W626" s="43" t="str"/>
      <x:c r="X626" s="43" t="str"/>
      <x:c r="Y626" s="43" t="str"/>
      <x:c r="Z626" s="43" t="str">
        <x:v>https://www.get-information-schools.service.gov.uk/Downloads</x:v>
      </x:c>
    </x:row>
    <x:row r="627">
      <x:c r="A627" s="43" t="str">
        <x:v>UK independent</x:v>
      </x:c>
      <x:c r="B627" s="43" t="str">
        <x:v>129511</x:v>
      </x:c>
      <x:c r="C627" s="43" t="n">
        <x:f>IF(K627="Boarding school",30,0)+IF(J627&gt;=18,20,0)+IF(I627&lt;=11,10,0)+IF(L627="Has a sixth form",15,0)+IF(M627&gt;=200,10,0)+IF(N627&lt;&gt;"",10,0)</x:f>
        <x:v>55</x:v>
      </x:c>
      <x:c r="D627" s="43" t="str">
        <x:f>IF(C627&gt;=85,"A",IF(C627&gt;=65,"B","C"))</x:f>
        <x:v>C</x:v>
      </x:c>
      <x:c r="E627" s="43" t="str">
        <x:v>Norwich Steiner School</x:v>
      </x:c>
      <x:c r="F627" s="43" t="str">
        <x:v>Norwich</x:v>
      </x:c>
      <x:c r="G627" s="43" t="str">
        <x:v>Norfolk</x:v>
      </x:c>
      <x:c r="H627" s="43" t="str">
        <x:v>NR1 2HW</x:v>
      </x:c>
      <x:c r="I627" s="43" t="n">
        <x:v>3</x:v>
      </x:c>
      <x:c r="J627" s="43" t="n">
        <x:v>19</x:v>
      </x:c>
      <x:c r="K627" s="43" t="str">
        <x:v>No boarders</x:v>
      </x:c>
      <x:c r="L627" s="43" t="str">
        <x:v>Has a sixth form</x:v>
      </x:c>
      <x:c r="M627" s="43" t="n">
        <x:v>92</x:v>
      </x:c>
      <x:c r="N627" s="43" t="str">
        <x:v>https://www.norwichsteinerschool.co.uk</x:v>
      </x:c>
      <x:c r="O627" s="43" t="str">
        <x:v>01603611175</x:v>
      </x:c>
      <x:c r="P627" s="43" t="str"/>
      <x:c r="Q627" s="43" t="str"/>
      <x:c r="R627" s="43" t="str">
        <x:v>Queued for contact research</x:v>
      </x:c>
      <x:c r="S627" s="43" t="str">
        <x:v>Not reviewed</x:v>
      </x:c>
      <x:c r="T627" s="43" t="str">
        <x:v>Hold</x:v>
      </x:c>
      <x:c r="U627" s="43" t="str">
        <x:v>No</x:v>
      </x:c>
      <x:c r="V627" s="44"/>
      <x:c r="W627" s="43" t="str"/>
      <x:c r="X627" s="43" t="str"/>
      <x:c r="Y627" s="43" t="str"/>
      <x:c r="Z627" s="43" t="str">
        <x:v>https://www.get-information-schools.service.gov.uk/Downloads</x:v>
      </x:c>
    </x:row>
    <x:row r="628">
      <x:c r="A628" s="43" t="str">
        <x:v>UK independent</x:v>
      </x:c>
      <x:c r="B628" s="43" t="str">
        <x:v>134467</x:v>
      </x:c>
      <x:c r="C628" s="43" t="n">
        <x:f>IF(K628="Boarding school",30,0)+IF(J628&gt;=18,20,0)+IF(I628&lt;=11,10,0)+IF(L628="Has a sixth form",15,0)+IF(M628&gt;=200,10,0)+IF(N628&lt;&gt;"",10,0)</x:f>
        <x:v>55</x:v>
      </x:c>
      <x:c r="D628" s="43" t="str">
        <x:f>IF(C628&gt;=85,"A",IF(C628&gt;=65,"B","C"))</x:f>
        <x:v>C</x:v>
      </x:c>
      <x:c r="E628" s="43" t="str">
        <x:v>OneSchool Global Reading Senior Campus</x:v>
      </x:c>
      <x:c r="F628" s="43" t="str"/>
      <x:c r="G628" s="43" t="str">
        <x:v>Berkshire</x:v>
      </x:c>
      <x:c r="H628" s="43" t="str">
        <x:v>RG2 0LU</x:v>
      </x:c>
      <x:c r="I628" s="43" t="n">
        <x:v>7</x:v>
      </x:c>
      <x:c r="J628" s="43" t="n">
        <x:v>18</x:v>
      </x:c>
      <x:c r="K628" s="43" t="str">
        <x:v>No boarders</x:v>
      </x:c>
      <x:c r="L628" s="43" t="str">
        <x:v>Has a sixth form</x:v>
      </x:c>
      <x:c r="M628" s="43" t="n">
        <x:v>92</x:v>
      </x:c>
      <x:c r="N628" s="43" t="str">
        <x:v>https://www.oneschoolglobal.com/campus/united-kingdom/reading/</x:v>
      </x:c>
      <x:c r="O628" s="43" t="str">
        <x:v>03000700421</x:v>
      </x:c>
      <x:c r="P628" s="43" t="str"/>
      <x:c r="Q628" s="43" t="str"/>
      <x:c r="R628" s="43" t="str">
        <x:v>Queued for contact research</x:v>
      </x:c>
      <x:c r="S628" s="43" t="str">
        <x:v>Not reviewed</x:v>
      </x:c>
      <x:c r="T628" s="43" t="str">
        <x:v>Hold</x:v>
      </x:c>
      <x:c r="U628" s="43" t="str">
        <x:v>No</x:v>
      </x:c>
      <x:c r="V628" s="44"/>
      <x:c r="W628" s="43" t="str"/>
      <x:c r="X628" s="43" t="str"/>
      <x:c r="Y628" s="43" t="str"/>
      <x:c r="Z628" s="43" t="str">
        <x:v>https://www.get-information-schools.service.gov.uk/Downloads</x:v>
      </x:c>
    </x:row>
    <x:row r="629">
      <x:c r="A629" s="43" t="str">
        <x:v>UK independent</x:v>
      </x:c>
      <x:c r="B629" s="43" t="str">
        <x:v>115808</x:v>
      </x:c>
      <x:c r="C629" s="43" t="n">
        <x:f>IF(K629="Boarding school",30,0)+IF(J629&gt;=18,20,0)+IF(I629&lt;=11,10,0)+IF(L629="Has a sixth form",15,0)+IF(M629&gt;=200,10,0)+IF(N629&lt;&gt;"",10,0)</x:f>
        <x:v>55</x:v>
      </x:c>
      <x:c r="D629" s="43" t="str">
        <x:f>IF(C629&gt;=85,"A",IF(C629&gt;=65,"B","C"))</x:f>
        <x:v>C</x:v>
      </x:c>
      <x:c r="E629" s="43" t="str">
        <x:v>The Acorn School</x:v>
      </x:c>
      <x:c r="F629" s="43" t="str">
        <x:v>Stroud</x:v>
      </x:c>
      <x:c r="G629" s="43" t="str">
        <x:v>Gloucestershire</x:v>
      </x:c>
      <x:c r="H629" s="43" t="str">
        <x:v>GL6 0BP</x:v>
      </x:c>
      <x:c r="I629" s="43" t="n">
        <x:v>6</x:v>
      </x:c>
      <x:c r="J629" s="43" t="n">
        <x:v>18</x:v>
      </x:c>
      <x:c r="K629" s="43" t="str">
        <x:v>No boarders</x:v>
      </x:c>
      <x:c r="L629" s="43" t="str">
        <x:v>Has a sixth form</x:v>
      </x:c>
      <x:c r="M629" s="43" t="n">
        <x:v>87</x:v>
      </x:c>
      <x:c r="N629" s="43" t="str">
        <x:v>https://www.theacornschool.com</x:v>
      </x:c>
      <x:c r="O629" s="43" t="str">
        <x:v>01453836508</x:v>
      </x:c>
      <x:c r="P629" s="43" t="str"/>
      <x:c r="Q629" s="43" t="str"/>
      <x:c r="R629" s="43" t="str">
        <x:v>Queued for contact research</x:v>
      </x:c>
      <x:c r="S629" s="43" t="str">
        <x:v>Not reviewed</x:v>
      </x:c>
      <x:c r="T629" s="43" t="str">
        <x:v>Hold</x:v>
      </x:c>
      <x:c r="U629" s="43" t="str">
        <x:v>No</x:v>
      </x:c>
      <x:c r="V629" s="44"/>
      <x:c r="W629" s="43" t="str"/>
      <x:c r="X629" s="43" t="str"/>
      <x:c r="Y629" s="43" t="str"/>
      <x:c r="Z629" s="43" t="str">
        <x:v>https://www.get-information-schools.service.gov.uk/Downloads</x:v>
      </x:c>
    </x:row>
    <x:row r="630">
      <x:c r="A630" s="43" t="str">
        <x:v>UK independent</x:v>
      </x:c>
      <x:c r="B630" s="43" t="str">
        <x:v>145946</x:v>
      </x:c>
      <x:c r="C630" s="43" t="n">
        <x:f>IF(K630="Boarding school",30,0)+IF(J630&gt;=18,20,0)+IF(I630&lt;=11,10,0)+IF(L630="Has a sixth form",15,0)+IF(M630&gt;=200,10,0)+IF(N630&lt;&gt;"",10,0)</x:f>
        <x:v>55</x:v>
      </x:c>
      <x:c r="D630" s="43" t="str">
        <x:f>IF(C630&gt;=85,"A",IF(C630&gt;=65,"B","C"))</x:f>
        <x:v>C</x:v>
      </x:c>
      <x:c r="E630" s="43" t="str">
        <x:v>Shiras Devorah High School</x:v>
      </x:c>
      <x:c r="F630" s="43" t="str"/>
      <x:c r="G630" s="43" t="str"/>
      <x:c r="H630" s="43" t="str">
        <x:v>NW11 7HB</x:v>
      </x:c>
      <x:c r="I630" s="43" t="n">
        <x:v>11</x:v>
      </x:c>
      <x:c r="J630" s="43" t="n">
        <x:v>18</x:v>
      </x:c>
      <x:c r="K630" s="43" t="str">
        <x:v>No boarders</x:v>
      </x:c>
      <x:c r="L630" s="43" t="str">
        <x:v>Has a sixth form</x:v>
      </x:c>
      <x:c r="M630" s="43" t="n">
        <x:v>81</x:v>
      </x:c>
      <x:c r="N630" s="43" t="str">
        <x:v>https://www.sdevorah.org</x:v>
      </x:c>
      <x:c r="O630" s="43" t="str">
        <x:v>02071834858</x:v>
      </x:c>
      <x:c r="P630" s="43" t="str"/>
      <x:c r="Q630" s="43" t="str"/>
      <x:c r="R630" s="43" t="str">
        <x:v>Queued for contact research</x:v>
      </x:c>
      <x:c r="S630" s="43" t="str">
        <x:v>Not reviewed</x:v>
      </x:c>
      <x:c r="T630" s="43" t="str">
        <x:v>Hold</x:v>
      </x:c>
      <x:c r="U630" s="43" t="str">
        <x:v>No</x:v>
      </x:c>
      <x:c r="V630" s="44"/>
      <x:c r="W630" s="43" t="str"/>
      <x:c r="X630" s="43" t="str"/>
      <x:c r="Y630" s="43" t="str"/>
      <x:c r="Z630" s="43" t="str">
        <x:v>https://www.get-information-schools.service.gov.uk/Downloads</x:v>
      </x:c>
    </x:row>
    <x:row r="631">
      <x:c r="A631" s="43" t="str">
        <x:v>UK independent</x:v>
      </x:c>
      <x:c r="B631" s="43" t="str">
        <x:v>134455</x:v>
      </x:c>
      <x:c r="C631" s="43" t="n">
        <x:f>IF(K631="Boarding school",30,0)+IF(J631&gt;=18,20,0)+IF(I631&lt;=11,10,0)+IF(L631="Has a sixth form",15,0)+IF(M631&gt;=200,10,0)+IF(N631&lt;&gt;"",10,0)</x:f>
        <x:v>55</x:v>
      </x:c>
      <x:c r="D631" s="43" t="str">
        <x:f>IF(C631&gt;=85,"A",IF(C631&gt;=65,"B","C"))</x:f>
        <x:v>C</x:v>
      </x:c>
      <x:c r="E631" s="43" t="str">
        <x:v>OneSchool Global UK - Swaffham Campus</x:v>
      </x:c>
      <x:c r="F631" s="43" t="str">
        <x:v>Swaffham</x:v>
      </x:c>
      <x:c r="G631" s="43" t="str">
        <x:v>Norfolk</x:v>
      </x:c>
      <x:c r="H631" s="43" t="str">
        <x:v>PE37 7XD</x:v>
      </x:c>
      <x:c r="I631" s="43" t="n">
        <x:v>7</x:v>
      </x:c>
      <x:c r="J631" s="43" t="n">
        <x:v>18</x:v>
      </x:c>
      <x:c r="K631" s="43" t="str">
        <x:v>No boarders</x:v>
      </x:c>
      <x:c r="L631" s="43" t="str">
        <x:v>Has a sixth form</x:v>
      </x:c>
      <x:c r="M631" s="43" t="n">
        <x:v>80</x:v>
      </x:c>
      <x:c r="N631" s="43" t="str">
        <x:v>https://www.oneschoolglobal.com/campus/united-kingdom/swaffham/</x:v>
      </x:c>
      <x:c r="O631" s="43" t="str">
        <x:v>01760336939</x:v>
      </x:c>
      <x:c r="P631" s="43" t="str"/>
      <x:c r="Q631" s="43" t="str"/>
      <x:c r="R631" s="43" t="str">
        <x:v>Queued for contact research</x:v>
      </x:c>
      <x:c r="S631" s="43" t="str">
        <x:v>Not reviewed</x:v>
      </x:c>
      <x:c r="T631" s="43" t="str">
        <x:v>Hold</x:v>
      </x:c>
      <x:c r="U631" s="43" t="str">
        <x:v>No</x:v>
      </x:c>
      <x:c r="V631" s="44"/>
      <x:c r="W631" s="43" t="str"/>
      <x:c r="X631" s="43" t="str"/>
      <x:c r="Y631" s="43" t="str"/>
      <x:c r="Z631" s="43" t="str">
        <x:v>https://www.get-information-schools.service.gov.uk/Downloads</x:v>
      </x:c>
    </x:row>
    <x:row r="632">
      <x:c r="A632" s="43" t="str">
        <x:v>UK independent</x:v>
      </x:c>
      <x:c r="B632" s="43" t="str">
        <x:v>100521</x:v>
      </x:c>
      <x:c r="C632" s="43" t="n">
        <x:f>IF(K632="Boarding school",30,0)+IF(J632&gt;=18,20,0)+IF(I632&lt;=11,10,0)+IF(L632="Has a sixth form",15,0)+IF(M632&gt;=200,10,0)+IF(N632&lt;&gt;"",10,0)</x:f>
        <x:v>55</x:v>
      </x:c>
      <x:c r="D632" s="43" t="str">
        <x:f>IF(C632&gt;=85,"A",IF(C632&gt;=65,"B","C"))</x:f>
        <x:v>C</x:v>
      </x:c>
      <x:c r="E632" s="43" t="str">
        <x:v>More House School</x:v>
      </x:c>
      <x:c r="F632" s="43" t="str">
        <x:v>Knightsbridge</x:v>
      </x:c>
      <x:c r="G632" s="43" t="str"/>
      <x:c r="H632" s="43" t="str">
        <x:v>SW1X 0AA</x:v>
      </x:c>
      <x:c r="I632" s="43" t="n">
        <x:v>9</x:v>
      </x:c>
      <x:c r="J632" s="43" t="n">
        <x:v>18</x:v>
      </x:c>
      <x:c r="K632" s="43" t="str">
        <x:v>No boarders</x:v>
      </x:c>
      <x:c r="L632" s="43" t="str">
        <x:v>Has a sixth form</x:v>
      </x:c>
      <x:c r="M632" s="43" t="n">
        <x:v>79</x:v>
      </x:c>
      <x:c r="N632" s="43" t="str">
        <x:v>https://www.morehouse.org.uk</x:v>
      </x:c>
      <x:c r="O632" s="43" t="str">
        <x:v>02072352855</x:v>
      </x:c>
      <x:c r="P632" s="43" t="str"/>
      <x:c r="Q632" s="43" t="str"/>
      <x:c r="R632" s="43" t="str">
        <x:v>Queued for contact research</x:v>
      </x:c>
      <x:c r="S632" s="43" t="str">
        <x:v>Not reviewed</x:v>
      </x:c>
      <x:c r="T632" s="43" t="str">
        <x:v>Hold</x:v>
      </x:c>
      <x:c r="U632" s="43" t="str">
        <x:v>No</x:v>
      </x:c>
      <x:c r="V632" s="44"/>
      <x:c r="W632" s="43" t="str"/>
      <x:c r="X632" s="43" t="str"/>
      <x:c r="Y632" s="43" t="str"/>
      <x:c r="Z632" s="43" t="str">
        <x:v>https://www.get-information-schools.service.gov.uk/Downloads</x:v>
      </x:c>
    </x:row>
    <x:row r="633">
      <x:c r="A633" s="43" t="str">
        <x:v>UK independent</x:v>
      </x:c>
      <x:c r="B633" s="43" t="str">
        <x:v>101181</x:v>
      </x:c>
      <x:c r="C633" s="43" t="n">
        <x:f>IF(K633="Boarding school",30,0)+IF(J633&gt;=18,20,0)+IF(I633&lt;=11,10,0)+IF(L633="Has a sixth form",15,0)+IF(M633&gt;=200,10,0)+IF(N633&lt;&gt;"",10,0)</x:f>
        <x:v>55</x:v>
      </x:c>
      <x:c r="D633" s="43" t="str">
        <x:f>IF(C633&gt;=85,"A",IF(C633&gt;=65,"B","C"))</x:f>
        <x:v>C</x:v>
      </x:c>
      <x:c r="E633" s="43" t="str">
        <x:v>Bales College</x:v>
      </x:c>
      <x:c r="F633" s="43" t="str">
        <x:v>London</x:v>
      </x:c>
      <x:c r="G633" s="43" t="str"/>
      <x:c r="H633" s="43" t="str">
        <x:v>W10 4AA</x:v>
      </x:c>
      <x:c r="I633" s="43" t="n">
        <x:v>11</x:v>
      </x:c>
      <x:c r="J633" s="43" t="n">
        <x:v>20</x:v>
      </x:c>
      <x:c r="K633" s="43" t="str">
        <x:v>No boarders</x:v>
      </x:c>
      <x:c r="L633" s="43" t="str">
        <x:v>Has a sixth form</x:v>
      </x:c>
      <x:c r="M633" s="43" t="n">
        <x:v>77</x:v>
      </x:c>
      <x:c r="N633" s="43" t="str">
        <x:v>https://www.balescollege.co.uk</x:v>
      </x:c>
      <x:c r="O633" s="43" t="str">
        <x:v>02089605899</x:v>
      </x:c>
      <x:c r="P633" s="43" t="str"/>
      <x:c r="Q633" s="43" t="str"/>
      <x:c r="R633" s="43" t="str">
        <x:v>Queued for contact research</x:v>
      </x:c>
      <x:c r="S633" s="43" t="str">
        <x:v>Not reviewed</x:v>
      </x:c>
      <x:c r="T633" s="43" t="str">
        <x:v>Hold</x:v>
      </x:c>
      <x:c r="U633" s="43" t="str">
        <x:v>No</x:v>
      </x:c>
      <x:c r="V633" s="44"/>
      <x:c r="W633" s="43" t="str"/>
      <x:c r="X633" s="43" t="str"/>
      <x:c r="Y633" s="43" t="str"/>
      <x:c r="Z633" s="43" t="str">
        <x:v>https://www.get-information-schools.service.gov.uk/Downloads</x:v>
      </x:c>
    </x:row>
    <x:row r="634">
      <x:c r="A634" s="43" t="str">
        <x:v>UK independent</x:v>
      </x:c>
      <x:c r="B634" s="43" t="str">
        <x:v>130323</x:v>
      </x:c>
      <x:c r="C634" s="43" t="n">
        <x:f>IF(K634="Boarding school",30,0)+IF(J634&gt;=18,20,0)+IF(I634&lt;=11,10,0)+IF(L634="Has a sixth form",15,0)+IF(M634&gt;=200,10,0)+IF(N634&lt;&gt;"",10,0)</x:f>
        <x:v>55</x:v>
      </x:c>
      <x:c r="D634" s="43" t="str">
        <x:f>IF(C634&gt;=85,"A",IF(C634&gt;=65,"B","C"))</x:f>
        <x:v>C</x:v>
      </x:c>
      <x:c r="E634" s="43" t="str">
        <x:v>Emmanuel School</x:v>
      </x:c>
      <x:c r="F634" s="43" t="str">
        <x:v>Walsall</x:v>
      </x:c>
      <x:c r="G634" s="43" t="str">
        <x:v>West Midlands</x:v>
      </x:c>
      <x:c r="H634" s="43" t="str">
        <x:v>WS2 8PR</x:v>
      </x:c>
      <x:c r="I634" s="43" t="n">
        <x:v>3</x:v>
      </x:c>
      <x:c r="J634" s="43" t="n">
        <x:v>18</x:v>
      </x:c>
      <x:c r="K634" s="43" t="str">
        <x:v>No boarders</x:v>
      </x:c>
      <x:c r="L634" s="43" t="str">
        <x:v>Has a sixth form</x:v>
      </x:c>
      <x:c r="M634" s="43" t="n">
        <x:v>77</x:v>
      </x:c>
      <x:c r="N634" s="43" t="str">
        <x:v>https://www.emmanuel-walsall.co.uk</x:v>
      </x:c>
      <x:c r="O634" s="43" t="str">
        <x:v>01922635810</x:v>
      </x:c>
      <x:c r="P634" s="43" t="str"/>
      <x:c r="Q634" s="43" t="str"/>
      <x:c r="R634" s="43" t="str">
        <x:v>Queued for contact research</x:v>
      </x:c>
      <x:c r="S634" s="43" t="str">
        <x:v>Not reviewed</x:v>
      </x:c>
      <x:c r="T634" s="43" t="str">
        <x:v>Hold</x:v>
      </x:c>
      <x:c r="U634" s="43" t="str">
        <x:v>No</x:v>
      </x:c>
      <x:c r="V634" s="44"/>
      <x:c r="W634" s="43" t="str"/>
      <x:c r="X634" s="43" t="str"/>
      <x:c r="Y634" s="43" t="str"/>
      <x:c r="Z634" s="43" t="str">
        <x:v>https://www.get-information-schools.service.gov.uk/Downloads</x:v>
      </x:c>
    </x:row>
    <x:row r="635">
      <x:c r="A635" s="43" t="str">
        <x:v>UK independent</x:v>
      </x:c>
      <x:c r="B635" s="43" t="str">
        <x:v>135849</x:v>
      </x:c>
      <x:c r="C635" s="43" t="n">
        <x:f>IF(K635="Boarding school",30,0)+IF(J635&gt;=18,20,0)+IF(I635&lt;=11,10,0)+IF(L635="Has a sixth form",15,0)+IF(M635&gt;=200,10,0)+IF(N635&lt;&gt;"",10,0)</x:f>
        <x:v>55</x:v>
      </x:c>
      <x:c r="D635" s="43" t="str">
        <x:f>IF(C635&gt;=85,"A",IF(C635&gt;=65,"B","C"))</x:f>
        <x:v>C</x:v>
      </x:c>
      <x:c r="E635" s="43" t="str">
        <x:v>Oneschool Global Uk Plymouth Campus</x:v>
      </x:c>
      <x:c r="F635" s="43" t="str">
        <x:v>Plymouth</x:v>
      </x:c>
      <x:c r="G635" s="43" t="str">
        <x:v>Devon</x:v>
      </x:c>
      <x:c r="H635" s="43" t="str">
        <x:v>PL5 1HL</x:v>
      </x:c>
      <x:c r="I635" s="43" t="n">
        <x:v>7</x:v>
      </x:c>
      <x:c r="J635" s="43" t="n">
        <x:v>18</x:v>
      </x:c>
      <x:c r="K635" s="43" t="str">
        <x:v>No boarders</x:v>
      </x:c>
      <x:c r="L635" s="43" t="str">
        <x:v>Has a sixth form</x:v>
      </x:c>
      <x:c r="M635" s="43" t="n">
        <x:v>74</x:v>
      </x:c>
      <x:c r="N635" s="43" t="str">
        <x:v>https://www.oneschoolglobal.com/campus/united-kingdom/plymouth/</x:v>
      </x:c>
      <x:c r="O635" s="43" t="str">
        <x:v>01752363290</x:v>
      </x:c>
      <x:c r="P635" s="43" t="str"/>
      <x:c r="Q635" s="43" t="str"/>
      <x:c r="R635" s="43" t="str">
        <x:v>Queued for contact research</x:v>
      </x:c>
      <x:c r="S635" s="43" t="str">
        <x:v>Not reviewed</x:v>
      </x:c>
      <x:c r="T635" s="43" t="str">
        <x:v>Hold</x:v>
      </x:c>
      <x:c r="U635" s="43" t="str">
        <x:v>No</x:v>
      </x:c>
      <x:c r="V635" s="44"/>
      <x:c r="W635" s="43" t="str"/>
      <x:c r="X635" s="43" t="str"/>
      <x:c r="Y635" s="43" t="str"/>
      <x:c r="Z635" s="43" t="str">
        <x:v>https://www.get-information-schools.service.gov.uk/Downloads</x:v>
      </x:c>
    </x:row>
    <x:row r="636">
      <x:c r="A636" s="43" t="str">
        <x:v>UK independent</x:v>
      </x:c>
      <x:c r="B636" s="43" t="str">
        <x:v>113619</x:v>
      </x:c>
      <x:c r="C636" s="43" t="n">
        <x:f>IF(K636="Boarding school",30,0)+IF(J636&gt;=18,20,0)+IF(I636&lt;=11,10,0)+IF(L636="Has a sixth form",15,0)+IF(M636&gt;=200,10,0)+IF(N636&lt;&gt;"",10,0)</x:f>
        <x:v>55</x:v>
      </x:c>
      <x:c r="D636" s="43" t="str">
        <x:f>IF(C636&gt;=85,"A",IF(C636&gt;=65,"B","C"))</x:f>
        <x:v>C</x:v>
      </x:c>
      <x:c r="E636" s="43" t="str">
        <x:v>Sands School</x:v>
      </x:c>
      <x:c r="F636" s="43" t="str">
        <x:v>Newton Abbot</x:v>
      </x:c>
      <x:c r="G636" s="43" t="str">
        <x:v>Devon</x:v>
      </x:c>
      <x:c r="H636" s="43" t="str">
        <x:v>TQ13 7AX</x:v>
      </x:c>
      <x:c r="I636" s="43" t="n">
        <x:v>11</x:v>
      </x:c>
      <x:c r="J636" s="43" t="n">
        <x:v>18</x:v>
      </x:c>
      <x:c r="K636" s="43" t="str">
        <x:v>No boarders</x:v>
      </x:c>
      <x:c r="L636" s="43" t="str">
        <x:v>Has a sixth form</x:v>
      </x:c>
      <x:c r="M636" s="43" t="n">
        <x:v>67</x:v>
      </x:c>
      <x:c r="N636" s="43" t="str">
        <x:v>http://www.sands-school.co.uk</x:v>
      </x:c>
      <x:c r="O636" s="43" t="str">
        <x:v>01364653666</x:v>
      </x:c>
      <x:c r="P636" s="43" t="str"/>
      <x:c r="Q636" s="43" t="str"/>
      <x:c r="R636" s="43" t="str">
        <x:v>Queued for contact research</x:v>
      </x:c>
      <x:c r="S636" s="43" t="str">
        <x:v>Not reviewed</x:v>
      </x:c>
      <x:c r="T636" s="43" t="str">
        <x:v>Hold</x:v>
      </x:c>
      <x:c r="U636" s="43" t="str">
        <x:v>No</x:v>
      </x:c>
      <x:c r="V636" s="44"/>
      <x:c r="W636" s="43" t="str"/>
      <x:c r="X636" s="43" t="str"/>
      <x:c r="Y636" s="43" t="str"/>
      <x:c r="Z636" s="43" t="str">
        <x:v>https://www.get-information-schools.service.gov.uk/Downloads</x:v>
      </x:c>
    </x:row>
    <x:row r="637">
      <x:c r="A637" s="43" t="str">
        <x:v>UK independent</x:v>
      </x:c>
      <x:c r="B637" s="43" t="str">
        <x:v>148243</x:v>
      </x:c>
      <x:c r="C637" s="43" t="n">
        <x:f>IF(K637="Boarding school",30,0)+IF(J637&gt;=18,20,0)+IF(I637&lt;=11,10,0)+IF(L637="Has a sixth form",15,0)+IF(M637&gt;=200,10,0)+IF(N637&lt;&gt;"",10,0)</x:f>
        <x:v>55</x:v>
      </x:c>
      <x:c r="D637" s="43" t="str">
        <x:f>IF(C637&gt;=85,"A",IF(C637&gt;=65,"B","C"))</x:f>
        <x:v>C</x:v>
      </x:c>
      <x:c r="E637" s="43" t="str">
        <x:v>THE SECRET GARDEN SCHOOL</x:v>
      </x:c>
      <x:c r="F637" s="43" t="str">
        <x:v>Shustoke</x:v>
      </x:c>
      <x:c r="G637" s="43" t="str"/>
      <x:c r="H637" s="43" t="str">
        <x:v>B46 2RJ</x:v>
      </x:c>
      <x:c r="I637" s="43" t="n">
        <x:v>6</x:v>
      </x:c>
      <x:c r="J637" s="43" t="n">
        <x:v>19</x:v>
      </x:c>
      <x:c r="K637" s="43" t="str">
        <x:v>No boarders</x:v>
      </x:c>
      <x:c r="L637" s="43" t="str">
        <x:v>Has a sixth form</x:v>
      </x:c>
      <x:c r="M637" s="43" t="n">
        <x:v>66</x:v>
      </x:c>
      <x:c r="N637" s="43" t="str">
        <x:v>https://www.witherslackgroup.co.uk/our-locations/our-schools/the-secret-garden-school/</x:v>
      </x:c>
      <x:c r="O637" s="43" t="str">
        <x:v>01675488825</x:v>
      </x:c>
      <x:c r="P637" s="43" t="str"/>
      <x:c r="Q637" s="43" t="str"/>
      <x:c r="R637" s="43" t="str">
        <x:v>Queued for contact research</x:v>
      </x:c>
      <x:c r="S637" s="43" t="str">
        <x:v>Not reviewed</x:v>
      </x:c>
      <x:c r="T637" s="43" t="str">
        <x:v>Hold</x:v>
      </x:c>
      <x:c r="U637" s="43" t="str">
        <x:v>No</x:v>
      </x:c>
      <x:c r="V637" s="44"/>
      <x:c r="W637" s="43" t="str"/>
      <x:c r="X637" s="43" t="str"/>
      <x:c r="Y637" s="43" t="str"/>
      <x:c r="Z637" s="43" t="str">
        <x:v>https://www.get-information-schools.service.gov.uk/Downloads</x:v>
      </x:c>
    </x:row>
    <x:row r="638">
      <x:c r="A638" s="43" t="str">
        <x:v>UK independent</x:v>
      </x:c>
      <x:c r="B638" s="43" t="str">
        <x:v>119819</x:v>
      </x:c>
      <x:c r="C638" s="43" t="n">
        <x:f>IF(K638="Boarding school",30,0)+IF(J638&gt;=18,20,0)+IF(I638&lt;=11,10,0)+IF(L638="Has a sixth form",15,0)+IF(M638&gt;=200,10,0)+IF(N638&lt;&gt;"",10,0)</x:f>
        <x:v>55</x:v>
      </x:c>
      <x:c r="D638" s="43" t="str">
        <x:f>IF(C638&gt;=85,"A",IF(C638&gt;=65,"B","C"))</x:f>
        <x:v>C</x:v>
      </x:c>
      <x:c r="E638" s="43" t="str">
        <x:v>St Anne's College Grammar School</x:v>
      </x:c>
      <x:c r="F638" s="43" t="str">
        <x:v>Lytham St Annes</x:v>
      </x:c>
      <x:c r="G638" s="43" t="str">
        <x:v>Lancashire</x:v>
      </x:c>
      <x:c r="H638" s="43" t="str">
        <x:v>FY8 1HN</x:v>
      </x:c>
      <x:c r="I638" s="43" t="n">
        <x:v>2</x:v>
      </x:c>
      <x:c r="J638" s="43" t="n">
        <x:v>19</x:v>
      </x:c>
      <x:c r="K638" s="43" t="str">
        <x:v>No boarders</x:v>
      </x:c>
      <x:c r="L638" s="43" t="str">
        <x:v>Has a sixth form</x:v>
      </x:c>
      <x:c r="M638" s="43" t="n">
        <x:v>61</x:v>
      </x:c>
      <x:c r="N638" s="43" t="str">
        <x:v>http://www.sacgs.co.uk/</x:v>
      </x:c>
      <x:c r="O638" s="43" t="str">
        <x:v>01253725815</x:v>
      </x:c>
      <x:c r="P638" s="43" t="str"/>
      <x:c r="Q638" s="43" t="str"/>
      <x:c r="R638" s="43" t="str">
        <x:v>Queued for contact research</x:v>
      </x:c>
      <x:c r="S638" s="43" t="str">
        <x:v>Not reviewed</x:v>
      </x:c>
      <x:c r="T638" s="43" t="str">
        <x:v>Hold</x:v>
      </x:c>
      <x:c r="U638" s="43" t="str">
        <x:v>No</x:v>
      </x:c>
      <x:c r="V638" s="44"/>
      <x:c r="W638" s="43" t="str"/>
      <x:c r="X638" s="43" t="str"/>
      <x:c r="Y638" s="43" t="str"/>
      <x:c r="Z638" s="43" t="str">
        <x:v>https://www.get-information-schools.service.gov.uk/Downloads</x:v>
      </x:c>
    </x:row>
    <x:row r="639">
      <x:c r="A639" s="43" t="str">
        <x:v>UK independent</x:v>
      </x:c>
      <x:c r="B639" s="43" t="str">
        <x:v>126536</x:v>
      </x:c>
      <x:c r="C639" s="43" t="n">
        <x:f>IF(K639="Boarding school",30,0)+IF(J639&gt;=18,20,0)+IF(I639&lt;=11,10,0)+IF(L639="Has a sixth form",15,0)+IF(M639&gt;=200,10,0)+IF(N639&lt;&gt;"",10,0)</x:f>
        <x:v>55</x:v>
      </x:c>
      <x:c r="D639" s="43" t="str">
        <x:f>IF(C639&gt;=85,"A",IF(C639&gt;=65,"B","C"))</x:f>
        <x:v>C</x:v>
      </x:c>
      <x:c r="E639" s="43" t="str">
        <x:v>Maranatha Christian School</x:v>
      </x:c>
      <x:c r="F639" s="43" t="str"/>
      <x:c r="G639" s="43" t="str"/>
      <x:c r="H639" s="43" t="str">
        <x:v>SN6 7SQ</x:v>
      </x:c>
      <x:c r="I639" s="43" t="n">
        <x:v>3</x:v>
      </x:c>
      <x:c r="J639" s="43" t="n">
        <x:v>19</x:v>
      </x:c>
      <x:c r="K639" s="43" t="str">
        <x:v>No boarders</x:v>
      </x:c>
      <x:c r="L639" s="43" t="str">
        <x:v>Has a sixth form</x:v>
      </x:c>
      <x:c r="M639" s="43" t="n">
        <x:v>60</x:v>
      </x:c>
      <x:c r="N639" s="43" t="str">
        <x:v>https://www.maranathaschool.org</x:v>
      </x:c>
      <x:c r="O639" s="43" t="str">
        <x:v>01793762075</x:v>
      </x:c>
      <x:c r="P639" s="43" t="str"/>
      <x:c r="Q639" s="43" t="str"/>
      <x:c r="R639" s="43" t="str">
        <x:v>Queued for contact research</x:v>
      </x:c>
      <x:c r="S639" s="43" t="str">
        <x:v>Not reviewed</x:v>
      </x:c>
      <x:c r="T639" s="43" t="str">
        <x:v>Hold</x:v>
      </x:c>
      <x:c r="U639" s="43" t="str">
        <x:v>No</x:v>
      </x:c>
      <x:c r="V639" s="44"/>
      <x:c r="W639" s="43" t="str"/>
      <x:c r="X639" s="43" t="str"/>
      <x:c r="Y639" s="43" t="str"/>
      <x:c r="Z639" s="43" t="str">
        <x:v>https://www.get-information-schools.service.gov.uk/Downloads</x:v>
      </x:c>
    </x:row>
    <x:row r="640">
      <x:c r="A640" s="43" t="str">
        <x:v>UK independent</x:v>
      </x:c>
      <x:c r="B640" s="43" t="str">
        <x:v>143429</x:v>
      </x:c>
      <x:c r="C640" s="43" t="n">
        <x:f>IF(K640="Boarding school",30,0)+IF(J640&gt;=18,20,0)+IF(I640&lt;=11,10,0)+IF(L640="Has a sixth form",15,0)+IF(M640&gt;=200,10,0)+IF(N640&lt;&gt;"",10,0)</x:f>
        <x:v>55</x:v>
      </x:c>
      <x:c r="D640" s="43" t="str">
        <x:f>IF(C640&gt;=85,"A",IF(C640&gt;=65,"B","C"))</x:f>
        <x:v>C</x:v>
      </x:c>
      <x:c r="E640" s="43" t="str">
        <x:v>Old Farm School</x:v>
      </x:c>
      <x:c r="F640" s="43" t="str">
        <x:v>Brotton</x:v>
      </x:c>
      <x:c r="G640" s="43" t="str"/>
      <x:c r="H640" s="43" t="str">
        <x:v>TS12 2TZ</x:v>
      </x:c>
      <x:c r="I640" s="43" t="n">
        <x:v>5</x:v>
      </x:c>
      <x:c r="J640" s="43" t="n">
        <x:v>19</x:v>
      </x:c>
      <x:c r="K640" s="43" t="str">
        <x:v>No boarders</x:v>
      </x:c>
      <x:c r="L640" s="43" t="str">
        <x:v>Has a sixth form</x:v>
      </x:c>
      <x:c r="M640" s="43" t="n">
        <x:v>56</x:v>
      </x:c>
      <x:c r="N640" s="43" t="str">
        <x:v>https://halcyon-ne.com</x:v>
      </x:c>
      <x:c r="O640" s="43" t="str">
        <x:v>01287677178</x:v>
      </x:c>
      <x:c r="P640" s="43" t="str"/>
      <x:c r="Q640" s="43" t="str"/>
      <x:c r="R640" s="43" t="str">
        <x:v>Queued for contact research</x:v>
      </x:c>
      <x:c r="S640" s="43" t="str">
        <x:v>Not reviewed</x:v>
      </x:c>
      <x:c r="T640" s="43" t="str">
        <x:v>Hold</x:v>
      </x:c>
      <x:c r="U640" s="43" t="str">
        <x:v>No</x:v>
      </x:c>
      <x:c r="V640" s="44"/>
      <x:c r="W640" s="43" t="str"/>
      <x:c r="X640" s="43" t="str"/>
      <x:c r="Y640" s="43" t="str"/>
      <x:c r="Z640" s="43" t="str">
        <x:v>https://www.get-information-schools.service.gov.uk/Downloads</x:v>
      </x:c>
    </x:row>
    <x:row r="641">
      <x:c r="A641" s="43" t="str">
        <x:v>UK independent</x:v>
      </x:c>
      <x:c r="B641" s="43" t="str">
        <x:v>135839</x:v>
      </x:c>
      <x:c r="C641" s="43" t="n">
        <x:f>IF(K641="Boarding school",30,0)+IF(J641&gt;=18,20,0)+IF(I641&lt;=11,10,0)+IF(L641="Has a sixth form",15,0)+IF(M641&gt;=200,10,0)+IF(N641&lt;&gt;"",10,0)</x:f>
        <x:v>55</x:v>
      </x:c>
      <x:c r="D641" s="43" t="str">
        <x:f>IF(C641&gt;=85,"A",IF(C641&gt;=65,"B","C"))</x:f>
        <x:v>C</x:v>
      </x:c>
      <x:c r="E641" s="43" t="str">
        <x:v>Freshsteps Independent school</x:v>
      </x:c>
      <x:c r="F641" s="43" t="str">
        <x:v>Brimsdown</x:v>
      </x:c>
      <x:c r="G641" s="43" t="str"/>
      <x:c r="H641" s="43" t="str">
        <x:v>EN3 7XH</x:v>
      </x:c>
      <x:c r="I641" s="43" t="n">
        <x:v>5</x:v>
      </x:c>
      <x:c r="J641" s="43" t="n">
        <x:v>18</x:v>
      </x:c>
      <x:c r="K641" s="43" t="str">
        <x:v>No boarders</x:v>
      </x:c>
      <x:c r="L641" s="43" t="str">
        <x:v>Has a sixth form</x:v>
      </x:c>
      <x:c r="M641" s="43" t="n">
        <x:v>55</x:v>
      </x:c>
      <x:c r="N641" s="43" t="str">
        <x:v>https://www.freshstepseducationcentre.org.uk</x:v>
      </x:c>
      <x:c r="O641" s="43" t="str">
        <x:v>02088035827</x:v>
      </x:c>
      <x:c r="P641" s="43" t="str"/>
      <x:c r="Q641" s="43" t="str"/>
      <x:c r="R641" s="43" t="str">
        <x:v>Queued for contact research</x:v>
      </x:c>
      <x:c r="S641" s="43" t="str">
        <x:v>Not reviewed</x:v>
      </x:c>
      <x:c r="T641" s="43" t="str">
        <x:v>Hold</x:v>
      </x:c>
      <x:c r="U641" s="43" t="str">
        <x:v>No</x:v>
      </x:c>
      <x:c r="V641" s="44"/>
      <x:c r="W641" s="43" t="str"/>
      <x:c r="X641" s="43" t="str"/>
      <x:c r="Y641" s="43" t="str"/>
      <x:c r="Z641" s="43" t="str">
        <x:v>https://www.get-information-schools.service.gov.uk/Downloads</x:v>
      </x:c>
    </x:row>
    <x:row r="642">
      <x:c r="A642" s="43" t="str">
        <x:v>UK independent</x:v>
      </x:c>
      <x:c r="B642" s="43" t="str">
        <x:v>148175</x:v>
      </x:c>
      <x:c r="C642" s="43" t="n">
        <x:f>IF(K642="Boarding school",30,0)+IF(J642&gt;=18,20,0)+IF(I642&lt;=11,10,0)+IF(L642="Has a sixth form",15,0)+IF(M642&gt;=200,10,0)+IF(N642&lt;&gt;"",10,0)</x:f>
        <x:v>55</x:v>
      </x:c>
      <x:c r="D642" s="43" t="str">
        <x:f>IF(C642&gt;=85,"A",IF(C642&gt;=65,"B","C"))</x:f>
        <x:v>C</x:v>
      </x:c>
      <x:c r="E642" s="43" t="str">
        <x:v>ES Independent School Kirklees</x:v>
      </x:c>
      <x:c r="F642" s="43" t="str"/>
      <x:c r="G642" s="43" t="str"/>
      <x:c r="H642" s="43" t="str">
        <x:v>HD1 4EN</x:v>
      </x:c>
      <x:c r="I642" s="43" t="n">
        <x:v>11</x:v>
      </x:c>
      <x:c r="J642" s="43" t="n">
        <x:v>19</x:v>
      </x:c>
      <x:c r="K642" s="43" t="str">
        <x:v>No boarders</x:v>
      </x:c>
      <x:c r="L642" s="43" t="str">
        <x:v>Has a sixth form</x:v>
      </x:c>
      <x:c r="M642" s="43" t="n">
        <x:v>52</x:v>
      </x:c>
      <x:c r="N642" s="43" t="str">
        <x:v>https://www.employabilitysolutions.com</x:v>
      </x:c>
      <x:c r="O642" s="43" t="str">
        <x:v>01484506307</x:v>
      </x:c>
      <x:c r="P642" s="43" t="str"/>
      <x:c r="Q642" s="43" t="str"/>
      <x:c r="R642" s="43" t="str">
        <x:v>Queued for contact research</x:v>
      </x:c>
      <x:c r="S642" s="43" t="str">
        <x:v>Not reviewed</x:v>
      </x:c>
      <x:c r="T642" s="43" t="str">
        <x:v>Hold</x:v>
      </x:c>
      <x:c r="U642" s="43" t="str">
        <x:v>No</x:v>
      </x:c>
      <x:c r="V642" s="44"/>
      <x:c r="W642" s="43" t="str"/>
      <x:c r="X642" s="43" t="str"/>
      <x:c r="Y642" s="43" t="str"/>
      <x:c r="Z642" s="43" t="str">
        <x:v>https://www.get-information-schools.service.gov.uk/Downloads</x:v>
      </x:c>
    </x:row>
    <x:row r="643">
      <x:c r="A643" s="43" t="str">
        <x:v>UK independent</x:v>
      </x:c>
      <x:c r="B643" s="43" t="str">
        <x:v>135065</x:v>
      </x:c>
      <x:c r="C643" s="43" t="n">
        <x:f>IF(K643="Boarding school",30,0)+IF(J643&gt;=18,20,0)+IF(I643&lt;=11,10,0)+IF(L643="Has a sixth form",15,0)+IF(M643&gt;=200,10,0)+IF(N643&lt;&gt;"",10,0)</x:f>
        <x:v>55</x:v>
      </x:c>
      <x:c r="D643" s="43" t="str">
        <x:f>IF(C643&gt;=85,"A",IF(C643&gt;=65,"B","C"))</x:f>
        <x:v>C</x:v>
      </x:c>
      <x:c r="E643" s="43" t="str">
        <x:v>The Acres Independent School</x:v>
      </x:c>
      <x:c r="F643" s="43" t="str">
        <x:v>Scunthorpe</x:v>
      </x:c>
      <x:c r="G643" s="43" t="str">
        <x:v>Lincolnshire</x:v>
      </x:c>
      <x:c r="H643" s="43" t="str">
        <x:v>DN17 2TX</x:v>
      </x:c>
      <x:c r="I643" s="43" t="n">
        <x:v>11</x:v>
      </x:c>
      <x:c r="J643" s="43" t="n">
        <x:v>19</x:v>
      </x:c>
      <x:c r="K643" s="43" t="str">
        <x:v>No boarders</x:v>
      </x:c>
      <x:c r="L643" s="43" t="str">
        <x:v>Has a sixth form</x:v>
      </x:c>
      <x:c r="M643" s="43" t="n">
        <x:v>49</x:v>
      </x:c>
      <x:c r="N643" s="43" t="str">
        <x:v>https://www.keys-group.co.uk</x:v>
      </x:c>
      <x:c r="O643" s="43" t="str">
        <x:v>01724291509</x:v>
      </x:c>
      <x:c r="P643" s="43" t="str"/>
      <x:c r="Q643" s="43" t="str"/>
      <x:c r="R643" s="43" t="str">
        <x:v>Queued for contact research</x:v>
      </x:c>
      <x:c r="S643" s="43" t="str">
        <x:v>Not reviewed</x:v>
      </x:c>
      <x:c r="T643" s="43" t="str">
        <x:v>Hold</x:v>
      </x:c>
      <x:c r="U643" s="43" t="str">
        <x:v>No</x:v>
      </x:c>
      <x:c r="V643" s="44"/>
      <x:c r="W643" s="43" t="str"/>
      <x:c r="X643" s="43" t="str"/>
      <x:c r="Y643" s="43" t="str"/>
      <x:c r="Z643" s="43" t="str">
        <x:v>https://www.get-information-schools.service.gov.uk/Downloads</x:v>
      </x:c>
    </x:row>
    <x:row r="644">
      <x:c r="A644" s="43" t="str">
        <x:v>UK independent</x:v>
      </x:c>
      <x:c r="B644" s="43" t="str">
        <x:v>145417</x:v>
      </x:c>
      <x:c r="C644" s="43" t="n">
        <x:f>IF(K644="Boarding school",30,0)+IF(J644&gt;=18,20,0)+IF(I644&lt;=11,10,0)+IF(L644="Has a sixth form",15,0)+IF(M644&gt;=200,10,0)+IF(N644&lt;&gt;"",10,0)</x:f>
        <x:v>55</x:v>
      </x:c>
      <x:c r="D644" s="43" t="str">
        <x:f>IF(C644&gt;=85,"A",IF(C644&gt;=65,"B","C"))</x:f>
        <x:v>C</x:v>
      </x:c>
      <x:c r="E644" s="43" t="str">
        <x:v>New Ways School</x:v>
      </x:c>
      <x:c r="F644" s="43" t="str"/>
      <x:c r="G644" s="43" t="str">
        <x:v>West Midlands</x:v>
      </x:c>
      <x:c r="H644" s="43" t="str">
        <x:v>B38 9EL</x:v>
      </x:c>
      <x:c r="I644" s="43" t="n">
        <x:v>11</x:v>
      </x:c>
      <x:c r="J644" s="43" t="n">
        <x:v>19</x:v>
      </x:c>
      <x:c r="K644" s="43" t="str">
        <x:v>No boarders</x:v>
      </x:c>
      <x:c r="L644" s="43" t="str">
        <x:v>Has a sixth form</x:v>
      </x:c>
      <x:c r="M644" s="43" t="n">
        <x:v>44</x:v>
      </x:c>
      <x:c r="N644" s="43" t="str">
        <x:v>https://www.keyschildren.co.uk/schools/new-ways-school-college</x:v>
      </x:c>
      <x:c r="O644" s="43" t="str">
        <x:v>01214512055</x:v>
      </x:c>
      <x:c r="P644" s="43" t="str"/>
      <x:c r="Q644" s="43" t="str"/>
      <x:c r="R644" s="43" t="str">
        <x:v>Queued for contact research</x:v>
      </x:c>
      <x:c r="S644" s="43" t="str">
        <x:v>Not reviewed</x:v>
      </x:c>
      <x:c r="T644" s="43" t="str">
        <x:v>Hold</x:v>
      </x:c>
      <x:c r="U644" s="43" t="str">
        <x:v>No</x:v>
      </x:c>
      <x:c r="V644" s="44"/>
      <x:c r="W644" s="43" t="str"/>
      <x:c r="X644" s="43" t="str"/>
      <x:c r="Y644" s="43" t="str"/>
      <x:c r="Z644" s="43" t="str">
        <x:v>https://www.get-information-schools.service.gov.uk/Downloads</x:v>
      </x:c>
    </x:row>
    <x:row r="645">
      <x:c r="A645" s="43" t="str">
        <x:v>UK independent</x:v>
      </x:c>
      <x:c r="B645" s="43" t="str">
        <x:v>136259</x:v>
      </x:c>
      <x:c r="C645" s="43" t="n">
        <x:f>IF(K645="Boarding school",30,0)+IF(J645&gt;=18,20,0)+IF(I645&lt;=11,10,0)+IF(L645="Has a sixth form",15,0)+IF(M645&gt;=200,10,0)+IF(N645&lt;&gt;"",10,0)</x:f>
        <x:v>55</x:v>
      </x:c>
      <x:c r="D645" s="43" t="str">
        <x:f>IF(C645&gt;=85,"A",IF(C645&gt;=65,"B","C"))</x:f>
        <x:v>C</x:v>
      </x:c>
      <x:c r="E645" s="43" t="str">
        <x:v>Tees Valley College</x:v>
      </x:c>
      <x:c r="F645" s="43" t="str">
        <x:v>Middlesbrough</x:v>
      </x:c>
      <x:c r="G645" s="43" t="str">
        <x:v>North Yorkshire</x:v>
      </x:c>
      <x:c r="H645" s="43" t="str">
        <x:v>TS3 8BT</x:v>
      </x:c>
      <x:c r="I645" s="43" t="n">
        <x:v>11</x:v>
      </x:c>
      <x:c r="J645" s="43" t="n">
        <x:v>19</x:v>
      </x:c>
      <x:c r="K645" s="43" t="str">
        <x:v>No boarders</x:v>
      </x:c>
      <x:c r="L645" s="43" t="str">
        <x:v>Has a sixth form</x:v>
      </x:c>
      <x:c r="M645" s="43" t="n">
        <x:v>44</x:v>
      </x:c>
      <x:c r="N645" s="43" t="str">
        <x:v>https://education.keys-group.co.uk/school/tees-valley-school/</x:v>
      </x:c>
      <x:c r="O645" s="43" t="str">
        <x:v>01642218776</x:v>
      </x:c>
      <x:c r="P645" s="43" t="str"/>
      <x:c r="Q645" s="43" t="str"/>
      <x:c r="R645" s="43" t="str">
        <x:v>Queued for contact research</x:v>
      </x:c>
      <x:c r="S645" s="43" t="str">
        <x:v>Not reviewed</x:v>
      </x:c>
      <x:c r="T645" s="43" t="str">
        <x:v>Hold</x:v>
      </x:c>
      <x:c r="U645" s="43" t="str">
        <x:v>No</x:v>
      </x:c>
      <x:c r="V645" s="44"/>
      <x:c r="W645" s="43" t="str"/>
      <x:c r="X645" s="43" t="str"/>
      <x:c r="Y645" s="43" t="str"/>
      <x:c r="Z645" s="43" t="str">
        <x:v>https://www.get-information-schools.service.gov.uk/Downloads</x:v>
      </x:c>
    </x:row>
    <x:row r="646">
      <x:c r="A646" s="43" t="str">
        <x:v>UK independent</x:v>
      </x:c>
      <x:c r="B646" s="43" t="str">
        <x:v>145463</x:v>
      </x:c>
      <x:c r="C646" s="43" t="n">
        <x:f>IF(K646="Boarding school",30,0)+IF(J646&gt;=18,20,0)+IF(I646&lt;=11,10,0)+IF(L646="Has a sixth form",15,0)+IF(M646&gt;=200,10,0)+IF(N646&lt;&gt;"",10,0)</x:f>
        <x:v>55</x:v>
      </x:c>
      <x:c r="D646" s="43" t="str">
        <x:f>IF(C646&gt;=85,"A",IF(C646&gt;=65,"B","C"))</x:f>
        <x:v>C</x:v>
      </x:c>
      <x:c r="E646" s="43" t="str">
        <x:v>ES Independent School</x:v>
      </x:c>
      <x:c r="F646" s="43" t="str">
        <x:v>Merseyside</x:v>
      </x:c>
      <x:c r="G646" s="43" t="str"/>
      <x:c r="H646" s="43" t="str">
        <x:v>L19 2LX</x:v>
      </x:c>
      <x:c r="I646" s="43" t="n">
        <x:v>11</x:v>
      </x:c>
      <x:c r="J646" s="43" t="n">
        <x:v>19</x:v>
      </x:c>
      <x:c r="K646" s="43" t="str">
        <x:v>No boarders</x:v>
      </x:c>
      <x:c r="L646" s="43" t="str">
        <x:v>Has a sixth form</x:v>
      </x:c>
      <x:c r="M646" s="43" t="n">
        <x:v>43</x:v>
      </x:c>
      <x:c r="N646" s="43" t="str">
        <x:v>https://www.employabilitysolutions.com</x:v>
      </x:c>
      <x:c r="O646" s="43" t="str">
        <x:v>01514274193</x:v>
      </x:c>
      <x:c r="P646" s="43" t="str"/>
      <x:c r="Q646" s="43" t="str"/>
      <x:c r="R646" s="43" t="str">
        <x:v>Queued for contact research</x:v>
      </x:c>
      <x:c r="S646" s="43" t="str">
        <x:v>Not reviewed</x:v>
      </x:c>
      <x:c r="T646" s="43" t="str">
        <x:v>Hold</x:v>
      </x:c>
      <x:c r="U646" s="43" t="str">
        <x:v>No</x:v>
      </x:c>
      <x:c r="V646" s="44"/>
      <x:c r="W646" s="43" t="str"/>
      <x:c r="X646" s="43" t="str"/>
      <x:c r="Y646" s="43" t="str"/>
      <x:c r="Z646" s="43" t="str">
        <x:v>https://www.get-information-schools.service.gov.uk/Downloads</x:v>
      </x:c>
    </x:row>
    <x:row r="647">
      <x:c r="A647" s="43" t="str">
        <x:v>UK independent</x:v>
      </x:c>
      <x:c r="B647" s="43" t="str">
        <x:v>144808</x:v>
      </x:c>
      <x:c r="C647" s="43" t="n">
        <x:f>IF(K647="Boarding school",30,0)+IF(J647&gt;=18,20,0)+IF(I647&lt;=11,10,0)+IF(L647="Has a sixth form",15,0)+IF(M647&gt;=200,10,0)+IF(N647&lt;&gt;"",10,0)</x:f>
        <x:v>55</x:v>
      </x:c>
      <x:c r="D647" s="43" t="str">
        <x:f>IF(C647&gt;=85,"A",IF(C647&gt;=65,"B","C"))</x:f>
        <x:v>C</x:v>
      </x:c>
      <x:c r="E647" s="43" t="str">
        <x:v>Releasing Potential School</x:v>
      </x:c>
      <x:c r="F647" s="43" t="str"/>
      <x:c r="G647" s="43" t="str"/>
      <x:c r="H647" s="43" t="str">
        <x:v>PO9 1LS</x:v>
      </x:c>
      <x:c r="I647" s="43" t="n">
        <x:v>11</x:v>
      </x:c>
      <x:c r="J647" s="43" t="n">
        <x:v>18</x:v>
      </x:c>
      <x:c r="K647" s="43" t="str">
        <x:v>No boarders</x:v>
      </x:c>
      <x:c r="L647" s="43" t="str">
        <x:v>Has a sixth form</x:v>
      </x:c>
      <x:c r="M647" s="43" t="n">
        <x:v>41</x:v>
      </x:c>
      <x:c r="N647" s="43" t="str">
        <x:v>https://www.releasingpotential.com/school</x:v>
      </x:c>
      <x:c r="O647" s="43" t="str">
        <x:v>02392479762</x:v>
      </x:c>
      <x:c r="P647" s="43" t="str"/>
      <x:c r="Q647" s="43" t="str"/>
      <x:c r="R647" s="43" t="str">
        <x:v>Queued for contact research</x:v>
      </x:c>
      <x:c r="S647" s="43" t="str">
        <x:v>Not reviewed</x:v>
      </x:c>
      <x:c r="T647" s="43" t="str">
        <x:v>Hold</x:v>
      </x:c>
      <x:c r="U647" s="43" t="str">
        <x:v>No</x:v>
      </x:c>
      <x:c r="V647" s="44"/>
      <x:c r="W647" s="43" t="str"/>
      <x:c r="X647" s="43" t="str"/>
      <x:c r="Y647" s="43" t="str"/>
      <x:c r="Z647" s="43" t="str">
        <x:v>https://www.get-information-schools.service.gov.uk/Downloads</x:v>
      </x:c>
    </x:row>
    <x:row r="648">
      <x:c r="A648" s="43" t="str">
        <x:v>UK independent</x:v>
      </x:c>
      <x:c r="B648" s="43" t="str">
        <x:v>131330</x:v>
      </x:c>
      <x:c r="C648" s="43" t="n">
        <x:f>IF(K648="Boarding school",30,0)+IF(J648&gt;=18,20,0)+IF(I648&lt;=11,10,0)+IF(L648="Has a sixth form",15,0)+IF(M648&gt;=200,10,0)+IF(N648&lt;&gt;"",10,0)</x:f>
        <x:v>55</x:v>
      </x:c>
      <x:c r="D648" s="43" t="str">
        <x:f>IF(C648&gt;=85,"A",IF(C648&gt;=65,"B","C"))</x:f>
        <x:v>C</x:v>
      </x:c>
      <x:c r="E648" s="43" t="str">
        <x:v>Red Balloon Learner Centre - Cambridge</x:v>
      </x:c>
      <x:c r="F648" s="43" t="str">
        <x:v>Cambridge</x:v>
      </x:c>
      <x:c r="G648" s="43" t="str">
        <x:v>Cambridgeshire</x:v>
      </x:c>
      <x:c r="H648" s="43" t="str">
        <x:v>CB24 6DF</x:v>
      </x:c>
      <x:c r="I648" s="43" t="n">
        <x:v>11</x:v>
      </x:c>
      <x:c r="J648" s="43" t="n">
        <x:v>19</x:v>
      </x:c>
      <x:c r="K648" s="43" t="str">
        <x:v>No boarders</x:v>
      </x:c>
      <x:c r="L648" s="43" t="str">
        <x:v>Has a sixth form</x:v>
      </x:c>
      <x:c r="M648" s="43" t="n">
        <x:v>40</x:v>
      </x:c>
      <x:c r="N648" s="43" t="str">
        <x:v>https://www.redballoonlearner.org/locations/red-balloon-cambridge/</x:v>
      </x:c>
      <x:c r="O648" s="43" t="str">
        <x:v>01223357714</x:v>
      </x:c>
      <x:c r="P648" s="43" t="str"/>
      <x:c r="Q648" s="43" t="str"/>
      <x:c r="R648" s="43" t="str">
        <x:v>Queued for contact research</x:v>
      </x:c>
      <x:c r="S648" s="43" t="str">
        <x:v>Not reviewed</x:v>
      </x:c>
      <x:c r="T648" s="43" t="str">
        <x:v>Hold</x:v>
      </x:c>
      <x:c r="U648" s="43" t="str">
        <x:v>No</x:v>
      </x:c>
      <x:c r="V648" s="44"/>
      <x:c r="W648" s="43" t="str"/>
      <x:c r="X648" s="43" t="str"/>
      <x:c r="Y648" s="43" t="str"/>
      <x:c r="Z648" s="43" t="str">
        <x:v>https://www.get-information-schools.service.gov.uk/Downloads</x:v>
      </x:c>
    </x:row>
    <x:row r="649">
      <x:c r="A649" s="43" t="str">
        <x:v>UK independent</x:v>
      </x:c>
      <x:c r="B649" s="43" t="str">
        <x:v>143038</x:v>
      </x:c>
      <x:c r="C649" s="43" t="n">
        <x:f>IF(K649="Boarding school",30,0)+IF(J649&gt;=18,20,0)+IF(I649&lt;=11,10,0)+IF(L649="Has a sixth form",15,0)+IF(M649&gt;=200,10,0)+IF(N649&lt;&gt;"",10,0)</x:f>
        <x:v>55</x:v>
      </x:c>
      <x:c r="D649" s="43" t="str">
        <x:f>IF(C649&gt;=85,"A",IF(C649&gt;=65,"B","C"))</x:f>
        <x:v>C</x:v>
      </x:c>
      <x:c r="E649" s="43" t="str">
        <x:v>Sandwell Valley School</x:v>
      </x:c>
      <x:c r="F649" s="43" t="str">
        <x:v>West Bromwich</x:v>
      </x:c>
      <x:c r="G649" s="43" t="str"/>
      <x:c r="H649" s="43" t="str">
        <x:v>B70 6QT</x:v>
      </x:c>
      <x:c r="I649" s="43" t="n">
        <x:v>11</x:v>
      </x:c>
      <x:c r="J649" s="43" t="n">
        <x:v>19</x:v>
      </x:c>
      <x:c r="K649" s="43" t="str">
        <x:v>No boarders</x:v>
      </x:c>
      <x:c r="L649" s="43" t="str">
        <x:v>Has a sixth form</x:v>
      </x:c>
      <x:c r="M649" s="43" t="n">
        <x:v>40</x:v>
      </x:c>
      <x:c r="N649" s="43" t="str">
        <x:v>https://www.sandwellvalleyschool.com</x:v>
      </x:c>
      <x:c r="O649" s="43" t="str">
        <x:v>01216797522</x:v>
      </x:c>
      <x:c r="P649" s="43" t="str"/>
      <x:c r="Q649" s="43" t="str"/>
      <x:c r="R649" s="43" t="str">
        <x:v>Queued for contact research</x:v>
      </x:c>
      <x:c r="S649" s="43" t="str">
        <x:v>Not reviewed</x:v>
      </x:c>
      <x:c r="T649" s="43" t="str">
        <x:v>Hold</x:v>
      </x:c>
      <x:c r="U649" s="43" t="str">
        <x:v>No</x:v>
      </x:c>
      <x:c r="V649" s="44"/>
      <x:c r="W649" s="43" t="str"/>
      <x:c r="X649" s="43" t="str"/>
      <x:c r="Y649" s="43" t="str"/>
      <x:c r="Z649" s="43" t="str">
        <x:v>https://www.get-information-schools.service.gov.uk/Downloads</x:v>
      </x:c>
    </x:row>
    <x:row r="650">
      <x:c r="A650" s="43" t="str">
        <x:v>UK independent</x:v>
      </x:c>
      <x:c r="B650" s="43" t="str">
        <x:v>147702</x:v>
      </x:c>
      <x:c r="C650" s="43" t="n">
        <x:f>IF(K650="Boarding school",30,0)+IF(J650&gt;=18,20,0)+IF(I650&lt;=11,10,0)+IF(L650="Has a sixth form",15,0)+IF(M650&gt;=200,10,0)+IF(N650&lt;&gt;"",10,0)</x:f>
        <x:v>55</x:v>
      </x:c>
      <x:c r="D650" s="43" t="str">
        <x:f>IF(C650&gt;=85,"A",IF(C650&gt;=65,"B","C"))</x:f>
        <x:v>C</x:v>
      </x:c>
      <x:c r="E650" s="43" t="str">
        <x:v>V.A.S.E Academy</x:v>
      </x:c>
      <x:c r="F650" s="43" t="str">
        <x:v>Birmingham</x:v>
      </x:c>
      <x:c r="G650" s="43" t="str"/>
      <x:c r="H650" s="43" t="str">
        <x:v>B21 8LE</x:v>
      </x:c>
      <x:c r="I650" s="43" t="n">
        <x:v>10</x:v>
      </x:c>
      <x:c r="J650" s="43" t="n">
        <x:v>18</x:v>
      </x:c>
      <x:c r="K650" s="43" t="str">
        <x:v>No boarders</x:v>
      </x:c>
      <x:c r="L650" s="43" t="str">
        <x:v>Has a sixth form</x:v>
      </x:c>
      <x:c r="M650" s="43" t="n">
        <x:v>39</x:v>
      </x:c>
      <x:c r="N650" s="43" t="str">
        <x:v>https://www.vaseacademy.co.uk</x:v>
      </x:c>
      <x:c r="O650" s="43" t="str">
        <x:v>01215514882</x:v>
      </x:c>
      <x:c r="P650" s="43" t="str"/>
      <x:c r="Q650" s="43" t="str"/>
      <x:c r="R650" s="43" t="str">
        <x:v>Queued for contact research</x:v>
      </x:c>
      <x:c r="S650" s="43" t="str">
        <x:v>Not reviewed</x:v>
      </x:c>
      <x:c r="T650" s="43" t="str">
        <x:v>Hold</x:v>
      </x:c>
      <x:c r="U650" s="43" t="str">
        <x:v>No</x:v>
      </x:c>
      <x:c r="V650" s="44"/>
      <x:c r="W650" s="43" t="str"/>
      <x:c r="X650" s="43" t="str"/>
      <x:c r="Y650" s="43" t="str"/>
      <x:c r="Z650" s="43" t="str">
        <x:v>https://www.get-information-schools.service.gov.uk/Downloads</x:v>
      </x:c>
    </x:row>
    <x:row r="651">
      <x:c r="A651" s="43" t="str">
        <x:v>UK independent</x:v>
      </x:c>
      <x:c r="B651" s="43" t="str">
        <x:v>136510</x:v>
      </x:c>
      <x:c r="C651" s="43" t="n">
        <x:f>IF(K651="Boarding school",30,0)+IF(J651&gt;=18,20,0)+IF(I651&lt;=11,10,0)+IF(L651="Has a sixth form",15,0)+IF(M651&gt;=200,10,0)+IF(N651&lt;&gt;"",10,0)</x:f>
        <x:v>55</x:v>
      </x:c>
      <x:c r="D651" s="43" t="str">
        <x:f>IF(C651&gt;=85,"A",IF(C651&gt;=65,"B","C"))</x:f>
        <x:v>C</x:v>
      </x:c>
      <x:c r="E651" s="43" t="str">
        <x:v>Northleigh House School</x:v>
      </x:c>
      <x:c r="F651" s="43" t="str">
        <x:v>Warwick</x:v>
      </x:c>
      <x:c r="G651" s="43" t="str">
        <x:v>Warwickshire</x:v>
      </x:c>
      <x:c r="H651" s="43" t="str">
        <x:v>CV35 7HZ</x:v>
      </x:c>
      <x:c r="I651" s="43" t="n">
        <x:v>4</x:v>
      </x:c>
      <x:c r="J651" s="43" t="n">
        <x:v>19</x:v>
      </x:c>
      <x:c r="K651" s="43" t="str">
        <x:v>Not applicable</x:v>
      </x:c>
      <x:c r="L651" s="43" t="str">
        <x:v>Has a sixth form</x:v>
      </x:c>
      <x:c r="M651" s="43" t="n">
        <x:v>36</x:v>
      </x:c>
      <x:c r="N651" s="43" t="str">
        <x:v>https://www.northleigh.co.uk</x:v>
      </x:c>
      <x:c r="O651" s="43" t="str">
        <x:v>01926958227</x:v>
      </x:c>
      <x:c r="P651" s="43" t="str"/>
      <x:c r="Q651" s="43" t="str"/>
      <x:c r="R651" s="43" t="str">
        <x:v>Queued for contact research</x:v>
      </x:c>
      <x:c r="S651" s="43" t="str">
        <x:v>Not reviewed</x:v>
      </x:c>
      <x:c r="T651" s="43" t="str">
        <x:v>Hold</x:v>
      </x:c>
      <x:c r="U651" s="43" t="str">
        <x:v>No</x:v>
      </x:c>
      <x:c r="V651" s="44"/>
      <x:c r="W651" s="43" t="str"/>
      <x:c r="X651" s="43" t="str"/>
      <x:c r="Y651" s="43" t="str"/>
      <x:c r="Z651" s="43" t="str">
        <x:v>https://www.get-information-schools.service.gov.uk/Downloads</x:v>
      </x:c>
    </x:row>
    <x:row r="652">
      <x:c r="A652" s="43" t="str">
        <x:v>UK independent</x:v>
      </x:c>
      <x:c r="B652" s="43" t="str">
        <x:v>139831</x:v>
      </x:c>
      <x:c r="C652" s="43" t="n">
        <x:f>IF(K652="Boarding school",30,0)+IF(J652&gt;=18,20,0)+IF(I652&lt;=11,10,0)+IF(L652="Has a sixth form",15,0)+IF(M652&gt;=200,10,0)+IF(N652&lt;&gt;"",10,0)</x:f>
        <x:v>55</x:v>
      </x:c>
      <x:c r="D652" s="43" t="str">
        <x:f>IF(C652&gt;=85,"A",IF(C652&gt;=65,"B","C"))</x:f>
        <x:v>C</x:v>
      </x:c>
      <x:c r="E652" s="43" t="str">
        <x:v>Sol Christian Academy</x:v>
      </x:c>
      <x:c r="F652" s="43" t="str"/>
      <x:c r="G652" s="43" t="str"/>
      <x:c r="H652" s="43" t="str">
        <x:v>M12 6EL</x:v>
      </x:c>
      <x:c r="I652" s="43" t="n">
        <x:v>2</x:v>
      </x:c>
      <x:c r="J652" s="43" t="n">
        <x:v>18</x:v>
      </x:c>
      <x:c r="K652" s="43" t="str">
        <x:v>No boarders</x:v>
      </x:c>
      <x:c r="L652" s="43" t="str">
        <x:v>Has a sixth form</x:v>
      </x:c>
      <x:c r="M652" s="43" t="n">
        <x:v>34</x:v>
      </x:c>
      <x:c r="N652" s="43" t="str">
        <x:v>https://www.solacademy.org.uk</x:v>
      </x:c>
      <x:c r="O652" s="43" t="str">
        <x:v>01616372944</x:v>
      </x:c>
      <x:c r="P652" s="43" t="str"/>
      <x:c r="Q652" s="43" t="str"/>
      <x:c r="R652" s="43" t="str">
        <x:v>Queued for contact research</x:v>
      </x:c>
      <x:c r="S652" s="43" t="str">
        <x:v>Not reviewed</x:v>
      </x:c>
      <x:c r="T652" s="43" t="str">
        <x:v>Hold</x:v>
      </x:c>
      <x:c r="U652" s="43" t="str">
        <x:v>No</x:v>
      </x:c>
      <x:c r="V652" s="44"/>
      <x:c r="W652" s="43" t="str"/>
      <x:c r="X652" s="43" t="str"/>
      <x:c r="Y652" s="43" t="str"/>
      <x:c r="Z652" s="43" t="str">
        <x:v>https://www.get-information-schools.service.gov.uk/Downloads</x:v>
      </x:c>
    </x:row>
    <x:row r="653">
      <x:c r="A653" s="43" t="str">
        <x:v>UK independent</x:v>
      </x:c>
      <x:c r="B653" s="43" t="str">
        <x:v>134770</x:v>
      </x:c>
      <x:c r="C653" s="43" t="n">
        <x:f>IF(K653="Boarding school",30,0)+IF(J653&gt;=18,20,0)+IF(I653&lt;=11,10,0)+IF(L653="Has a sixth form",15,0)+IF(M653&gt;=200,10,0)+IF(N653&lt;&gt;"",10,0)</x:f>
        <x:v>55</x:v>
      </x:c>
      <x:c r="D653" s="43" t="str">
        <x:f>IF(C653&gt;=85,"A",IF(C653&gt;=65,"B","C"))</x:f>
        <x:v>C</x:v>
      </x:c>
      <x:c r="E653" s="43" t="str">
        <x:v>Oneschool Global Uk Lancaster Campus</x:v>
      </x:c>
      <x:c r="F653" s="43" t="str">
        <x:v>Lancaster</x:v>
      </x:c>
      <x:c r="G653" s="43" t="str">
        <x:v>Lancashire</x:v>
      </x:c>
      <x:c r="H653" s="43" t="str">
        <x:v>LA2 8LH</x:v>
      </x:c>
      <x:c r="I653" s="43" t="n">
        <x:v>7</x:v>
      </x:c>
      <x:c r="J653" s="43" t="n">
        <x:v>18</x:v>
      </x:c>
      <x:c r="K653" s="43" t="str">
        <x:v>No boarders</x:v>
      </x:c>
      <x:c r="L653" s="43" t="str">
        <x:v>Has a sixth form</x:v>
      </x:c>
      <x:c r="M653" s="43" t="n">
        <x:v>32</x:v>
      </x:c>
      <x:c r="N653" s="43" t="str">
        <x:v>https://www.oneschoolglobal.com/campus/united-kingdom/lancaster/</x:v>
      </x:c>
      <x:c r="O653" s="43" t="str">
        <x:v>01524222159</x:v>
      </x:c>
      <x:c r="P653" s="43" t="str"/>
      <x:c r="Q653" s="43" t="str"/>
      <x:c r="R653" s="43" t="str">
        <x:v>Queued for contact research</x:v>
      </x:c>
      <x:c r="S653" s="43" t="str">
        <x:v>Not reviewed</x:v>
      </x:c>
      <x:c r="T653" s="43" t="str">
        <x:v>Hold</x:v>
      </x:c>
      <x:c r="U653" s="43" t="str">
        <x:v>No</x:v>
      </x:c>
      <x:c r="V653" s="44"/>
      <x:c r="W653" s="43" t="str"/>
      <x:c r="X653" s="43" t="str"/>
      <x:c r="Y653" s="43" t="str"/>
      <x:c r="Z653" s="43" t="str">
        <x:v>https://www.get-information-schools.service.gov.uk/Downloads</x:v>
      </x:c>
    </x:row>
    <x:row r="654">
      <x:c r="A654" s="43" t="str">
        <x:v>UK independent</x:v>
      </x:c>
      <x:c r="B654" s="43" t="str">
        <x:v>101964</x:v>
      </x:c>
      <x:c r="C654" s="43" t="n">
        <x:f>IF(K654="Boarding school",30,0)+IF(J654&gt;=18,20,0)+IF(I654&lt;=11,10,0)+IF(L654="Has a sixth form",15,0)+IF(M654&gt;=200,10,0)+IF(N654&lt;&gt;"",10,0)</x:f>
        <x:v>55</x:v>
      </x:c>
      <x:c r="D654" s="43" t="str">
        <x:f>IF(C654&gt;=85,"A",IF(C654&gt;=65,"B","C"))</x:f>
        <x:v>C</x:v>
      </x:c>
      <x:c r="E654" s="43" t="str">
        <x:v>Eden Park Academy</x:v>
      </x:c>
      <x:c r="F654" s="43" t="str">
        <x:v>London</x:v>
      </x:c>
      <x:c r="G654" s="43" t="str"/>
      <x:c r="H654" s="43" t="str">
        <x:v>W3 8JY</x:v>
      </x:c>
      <x:c r="I654" s="43" t="n">
        <x:v>2</x:v>
      </x:c>
      <x:c r="J654" s="43" t="n">
        <x:v>18</x:v>
      </x:c>
      <x:c r="K654" s="43" t="str">
        <x:v>No boarders</x:v>
      </x:c>
      <x:c r="L654" s="43" t="str">
        <x:v>Has a sixth form</x:v>
      </x:c>
      <x:c r="M654" s="43" t="n">
        <x:v>30</x:v>
      </x:c>
      <x:c r="N654" s="43" t="str">
        <x:v>https://www.edenparkacademy.co.uk</x:v>
      </x:c>
      <x:c r="O654" s="43" t="str">
        <x:v>02036275556</x:v>
      </x:c>
      <x:c r="P654" s="43" t="str"/>
      <x:c r="Q654" s="43" t="str"/>
      <x:c r="R654" s="43" t="str">
        <x:v>Queued for contact research</x:v>
      </x:c>
      <x:c r="S654" s="43" t="str">
        <x:v>Not reviewed</x:v>
      </x:c>
      <x:c r="T654" s="43" t="str">
        <x:v>Hold</x:v>
      </x:c>
      <x:c r="U654" s="43" t="str">
        <x:v>No</x:v>
      </x:c>
      <x:c r="V654" s="44"/>
      <x:c r="W654" s="43" t="str"/>
      <x:c r="X654" s="43" t="str"/>
      <x:c r="Y654" s="43" t="str"/>
      <x:c r="Z654" s="43" t="str">
        <x:v>https://www.get-information-schools.service.gov.uk/Downloads</x:v>
      </x:c>
    </x:row>
    <x:row r="655">
      <x:c r="A655" s="43" t="str">
        <x:v>UK independent</x:v>
      </x:c>
      <x:c r="B655" s="43" t="str">
        <x:v>105596</x:v>
      </x:c>
      <x:c r="C655" s="43" t="n">
        <x:f>IF(K655="Boarding school",30,0)+IF(J655&gt;=18,20,0)+IF(I655&lt;=11,10,0)+IF(L655="Has a sixth form",15,0)+IF(M655&gt;=200,10,0)+IF(N655&lt;&gt;"",10,0)</x:f>
        <x:v>55</x:v>
      </x:c>
      <x:c r="D655" s="43" t="str">
        <x:f>IF(C655&gt;=85,"A",IF(C655&gt;=65,"B","C"))</x:f>
        <x:v>C</x:v>
      </x:c>
      <x:c r="E655" s="43" t="str">
        <x:v>King of Kings</x:v>
      </x:c>
      <x:c r="F655" s="43" t="str">
        <x:v>Salford</x:v>
      </x:c>
      <x:c r="G655" s="43" t="str"/>
      <x:c r="H655" s="43" t="str">
        <x:v>M6 5YD</x:v>
      </x:c>
      <x:c r="I655" s="43" t="n">
        <x:v>3</x:v>
      </x:c>
      <x:c r="J655" s="43" t="n">
        <x:v>18</x:v>
      </x:c>
      <x:c r="K655" s="43" t="str">
        <x:v>No boarders</x:v>
      </x:c>
      <x:c r="L655" s="43" t="str">
        <x:v>Has a sixth form</x:v>
      </x:c>
      <x:c r="M655" s="43" t="n">
        <x:v>28</x:v>
      </x:c>
      <x:c r="N655" s="43" t="str">
        <x:v>https://www.kingofkingsschool.org.uk</x:v>
      </x:c>
      <x:c r="O655" s="43" t="str">
        <x:v>07786228508</x:v>
      </x:c>
      <x:c r="P655" s="43" t="str"/>
      <x:c r="Q655" s="43" t="str"/>
      <x:c r="R655" s="43" t="str">
        <x:v>Queued for contact research</x:v>
      </x:c>
      <x:c r="S655" s="43" t="str">
        <x:v>Not reviewed</x:v>
      </x:c>
      <x:c r="T655" s="43" t="str">
        <x:v>Hold</x:v>
      </x:c>
      <x:c r="U655" s="43" t="str">
        <x:v>No</x:v>
      </x:c>
      <x:c r="V655" s="44"/>
      <x:c r="W655" s="43" t="str"/>
      <x:c r="X655" s="43" t="str"/>
      <x:c r="Y655" s="43" t="str"/>
      <x:c r="Z655" s="43" t="str">
        <x:v>https://www.get-information-schools.service.gov.uk/Downloads</x:v>
      </x:c>
    </x:row>
    <x:row r="656">
      <x:c r="A656" s="43" t="str">
        <x:v>UK independent</x:v>
      </x:c>
      <x:c r="B656" s="43" t="str">
        <x:v>150750</x:v>
      </x:c>
      <x:c r="C656" s="43" t="n">
        <x:f>IF(K656="Boarding school",30,0)+IF(J656&gt;=18,20,0)+IF(I656&lt;=11,10,0)+IF(L656="Has a sixth form",15,0)+IF(M656&gt;=200,10,0)+IF(N656&lt;&gt;"",10,0)</x:f>
        <x:v>55</x:v>
      </x:c>
      <x:c r="D656" s="43" t="str">
        <x:f>IF(C656&gt;=85,"A",IF(C656&gt;=65,"B","C"))</x:f>
        <x:v>C</x:v>
      </x:c>
      <x:c r="E656" s="43" t="str">
        <x:v>OMG Education</x:v>
      </x:c>
      <x:c r="F656" s="43" t="str">
        <x:v>London</x:v>
      </x:c>
      <x:c r="G656" s="43" t="str"/>
      <x:c r="H656" s="43" t="str">
        <x:v>E1 6BG</x:v>
      </x:c>
      <x:c r="I656" s="43" t="n">
        <x:v>11</x:v>
      </x:c>
      <x:c r="J656" s="43" t="n">
        <x:v>18</x:v>
      </x:c>
      <x:c r="K656" s="43" t="str">
        <x:v>No boarders</x:v>
      </x:c>
      <x:c r="L656" s="43" t="str">
        <x:v>Has a sixth form</x:v>
      </x:c>
      <x:c r="M656" s="43" t="n">
        <x:v>26</x:v>
      </x:c>
      <x:c r="N656" s="43" t="str">
        <x:v>http://omg.school/</x:v>
      </x:c>
      <x:c r="O656" s="43" t="str">
        <x:v>02081593838</x:v>
      </x:c>
      <x:c r="P656" s="43" t="str"/>
      <x:c r="Q656" s="43" t="str"/>
      <x:c r="R656" s="43" t="str">
        <x:v>Queued for contact research</x:v>
      </x:c>
      <x:c r="S656" s="43" t="str">
        <x:v>Not reviewed</x:v>
      </x:c>
      <x:c r="T656" s="43" t="str">
        <x:v>Hold</x:v>
      </x:c>
      <x:c r="U656" s="43" t="str">
        <x:v>No</x:v>
      </x:c>
      <x:c r="V656" s="44"/>
      <x:c r="W656" s="43" t="str"/>
      <x:c r="X656" s="43" t="str"/>
      <x:c r="Y656" s="43" t="str"/>
      <x:c r="Z656" s="43" t="str">
        <x:v>https://www.get-information-schools.service.gov.uk/Downloads</x:v>
      </x:c>
    </x:row>
    <x:row r="657">
      <x:c r="A657" s="43" t="str">
        <x:v>UK independent</x:v>
      </x:c>
      <x:c r="B657" s="43" t="str">
        <x:v>134424</x:v>
      </x:c>
      <x:c r="C657" s="43" t="n">
        <x:f>IF(K657="Boarding school",30,0)+IF(J657&gt;=18,20,0)+IF(I657&lt;=11,10,0)+IF(L657="Has a sixth form",15,0)+IF(M657&gt;=200,10,0)+IF(N657&lt;&gt;"",10,0)</x:f>
        <x:v>55</x:v>
      </x:c>
      <x:c r="D657" s="43" t="str">
        <x:f>IF(C657&gt;=85,"A",IF(C657&gt;=65,"B","C"))</x:f>
        <x:v>C</x:v>
      </x:c>
      <x:c r="E657" s="43" t="str">
        <x:v>The Vine Christian School</x:v>
      </x:c>
      <x:c r="F657" s="43" t="str">
        <x:v>Reading</x:v>
      </x:c>
      <x:c r="G657" s="43" t="str">
        <x:v>Berkshire</x:v>
      </x:c>
      <x:c r="H657" s="43" t="str">
        <x:v>RG7 1HF</x:v>
      </x:c>
      <x:c r="I657" s="43" t="n">
        <x:v>3</x:v>
      </x:c>
      <x:c r="J657" s="43" t="n">
        <x:v>18</x:v>
      </x:c>
      <x:c r="K657" s="43" t="str">
        <x:v>No boarders</x:v>
      </x:c>
      <x:c r="L657" s="43" t="str">
        <x:v>Has a sixth form</x:v>
      </x:c>
      <x:c r="M657" s="43" t="n">
        <x:v>24</x:v>
      </x:c>
      <x:c r="N657" s="43" t="str">
        <x:v>https://www.vinechristianschool.org.uk</x:v>
      </x:c>
      <x:c r="O657" s="43" t="str">
        <x:v>01189886464</x:v>
      </x:c>
      <x:c r="P657" s="43" t="str"/>
      <x:c r="Q657" s="43" t="str"/>
      <x:c r="R657" s="43" t="str">
        <x:v>Queued for contact research</x:v>
      </x:c>
      <x:c r="S657" s="43" t="str">
        <x:v>Not reviewed</x:v>
      </x:c>
      <x:c r="T657" s="43" t="str">
        <x:v>Hold</x:v>
      </x:c>
      <x:c r="U657" s="43" t="str">
        <x:v>No</x:v>
      </x:c>
      <x:c r="V657" s="44"/>
      <x:c r="W657" s="43" t="str"/>
      <x:c r="X657" s="43" t="str"/>
      <x:c r="Y657" s="43" t="str"/>
      <x:c r="Z657" s="43" t="str">
        <x:v>https://www.get-information-schools.service.gov.uk/Downloads</x:v>
      </x:c>
    </x:row>
    <x:row r="658">
      <x:c r="A658" s="43" t="str">
        <x:v>UK independent</x:v>
      </x:c>
      <x:c r="B658" s="43" t="str">
        <x:v>105269</x:v>
      </x:c>
      <x:c r="C658" s="43" t="n">
        <x:f>IF(K658="Boarding school",30,0)+IF(J658&gt;=18,20,0)+IF(I658&lt;=11,10,0)+IF(L658="Has a sixth form",15,0)+IF(M658&gt;=200,10,0)+IF(N658&lt;&gt;"",10,0)</x:f>
        <x:v>55</x:v>
      </x:c>
      <x:c r="D658" s="43" t="str">
        <x:f>IF(C658&gt;=85,"A",IF(C658&gt;=65,"B","C"))</x:f>
        <x:v>C</x:v>
      </x:c>
      <x:c r="E658" s="43" t="str">
        <x:v>Lord's School</x:v>
      </x:c>
      <x:c r="F658" s="43" t="str">
        <x:v>Bolton</x:v>
      </x:c>
      <x:c r="G658" s="43" t="str">
        <x:v>Lancashire</x:v>
      </x:c>
      <x:c r="H658" s="43" t="str">
        <x:v>BL3 2EF</x:v>
      </x:c>
      <x:c r="I658" s="43" t="n">
        <x:v>11</x:v>
      </x:c>
      <x:c r="J658" s="43" t="n">
        <x:v>18</x:v>
      </x:c>
      <x:c r="K658" s="43" t="str">
        <x:v>No boarders</x:v>
      </x:c>
      <x:c r="L658" s="43" t="str">
        <x:v>Has a sixth form</x:v>
      </x:c>
      <x:c r="M658" s="43" t="n">
        <x:v>23</x:v>
      </x:c>
      <x:c r="N658" s="43" t="str">
        <x:v>https://www.lordsschool.net</x:v>
      </x:c>
      <x:c r="O658" s="43" t="str">
        <x:v>01204523731</x:v>
      </x:c>
      <x:c r="P658" s="43" t="str"/>
      <x:c r="Q658" s="43" t="str"/>
      <x:c r="R658" s="43" t="str">
        <x:v>Queued for contact research</x:v>
      </x:c>
      <x:c r="S658" s="43" t="str">
        <x:v>Not reviewed</x:v>
      </x:c>
      <x:c r="T658" s="43" t="str">
        <x:v>Hold</x:v>
      </x:c>
      <x:c r="U658" s="43" t="str">
        <x:v>No</x:v>
      </x:c>
      <x:c r="V658" s="44"/>
      <x:c r="W658" s="43" t="str"/>
      <x:c r="X658" s="43" t="str"/>
      <x:c r="Y658" s="43" t="str"/>
      <x:c r="Z658" s="43" t="str">
        <x:v>https://www.get-information-schools.service.gov.uk/Downloads</x:v>
      </x:c>
    </x:row>
    <x:row r="659">
      <x:c r="A659" s="43" t="str">
        <x:v>UK independent</x:v>
      </x:c>
      <x:c r="B659" s="43" t="str">
        <x:v>142832</x:v>
      </x:c>
      <x:c r="C659" s="43" t="n">
        <x:f>IF(K659="Boarding school",30,0)+IF(J659&gt;=18,20,0)+IF(I659&lt;=11,10,0)+IF(L659="Has a sixth form",15,0)+IF(M659&gt;=200,10,0)+IF(N659&lt;&gt;"",10,0)</x:f>
        <x:v>55</x:v>
      </x:c>
      <x:c r="D659" s="43" t="str">
        <x:f>IF(C659&gt;=85,"A",IF(C659&gt;=65,"B","C"))</x:f>
        <x:v>C</x:v>
      </x:c>
      <x:c r="E659" s="43" t="str">
        <x:v>New Level Academy</x:v>
      </x:c>
      <x:c r="F659" s="43" t="str">
        <x:v>London</x:v>
      </x:c>
      <x:c r="G659" s="43" t="str">
        <x:v>Middlesex</x:v>
      </x:c>
      <x:c r="H659" s="43" t="str">
        <x:v>W7 2BB</x:v>
      </x:c>
      <x:c r="I659" s="43" t="n">
        <x:v>11</x:v>
      </x:c>
      <x:c r="J659" s="43" t="n">
        <x:v>19</x:v>
      </x:c>
      <x:c r="K659" s="43" t="str">
        <x:v>No boarders</x:v>
      </x:c>
      <x:c r="L659" s="43" t="str">
        <x:v>Has a sixth form</x:v>
      </x:c>
      <x:c r="M659" s="43" t="n">
        <x:v>20</x:v>
      </x:c>
      <x:c r="N659" s="43" t="str">
        <x:v>http://newlevel.brent.sch.uk/</x:v>
      </x:c>
      <x:c r="O659" s="43" t="str">
        <x:v>02088383529</x:v>
      </x:c>
      <x:c r="P659" s="43" t="str"/>
      <x:c r="Q659" s="43" t="str"/>
      <x:c r="R659" s="43" t="str">
        <x:v>Queued for contact research</x:v>
      </x:c>
      <x:c r="S659" s="43" t="str">
        <x:v>Not reviewed</x:v>
      </x:c>
      <x:c r="T659" s="43" t="str">
        <x:v>Hold</x:v>
      </x:c>
      <x:c r="U659" s="43" t="str">
        <x:v>No</x:v>
      </x:c>
      <x:c r="V659" s="44"/>
      <x:c r="W659" s="43" t="str"/>
      <x:c r="X659" s="43" t="str"/>
      <x:c r="Y659" s="43" t="str"/>
      <x:c r="Z659" s="43" t="str">
        <x:v>https://www.get-information-schools.service.gov.uk/Downloads</x:v>
      </x:c>
    </x:row>
    <x:row r="660">
      <x:c r="A660" s="43" t="str">
        <x:v>UK independent</x:v>
      </x:c>
      <x:c r="B660" s="43" t="str">
        <x:v>136122</x:v>
      </x:c>
      <x:c r="C660" s="43" t="n">
        <x:f>IF(K660="Boarding school",30,0)+IF(J660&gt;=18,20,0)+IF(I660&lt;=11,10,0)+IF(L660="Has a sixth form",15,0)+IF(M660&gt;=200,10,0)+IF(N660&lt;&gt;"",10,0)</x:f>
        <x:v>55</x:v>
      </x:c>
      <x:c r="D660" s="43" t="str">
        <x:f>IF(C660&gt;=85,"A",IF(C660&gt;=65,"B","C"))</x:f>
        <x:v>C</x:v>
      </x:c>
      <x:c r="E660" s="43" t="str">
        <x:v>KWS School</x:v>
      </x:c>
      <x:c r="F660" s="43" t="str">
        <x:v>Bedford</x:v>
      </x:c>
      <x:c r="G660" s="43" t="str">
        <x:v>Bedfordshire</x:v>
      </x:c>
      <x:c r="H660" s="43" t="str">
        <x:v>MK41 9TJ</x:v>
      </x:c>
      <x:c r="I660" s="43" t="n">
        <x:v>11</x:v>
      </x:c>
      <x:c r="J660" s="43" t="n">
        <x:v>18</x:v>
      </x:c>
      <x:c r="K660" s="43" t="str">
        <x:v>No boarders</x:v>
      </x:c>
      <x:c r="L660" s="43" t="str">
        <x:v>Has a sixth form</x:v>
      </x:c>
      <x:c r="M660" s="43" t="n">
        <x:v>18</x:v>
      </x:c>
      <x:c r="N660" s="43" t="str">
        <x:v>https://www.kwseducational.co.uk</x:v>
      </x:c>
      <x:c r="O660" s="43" t="str">
        <x:v>01234358638</x:v>
      </x:c>
      <x:c r="P660" s="43" t="str"/>
      <x:c r="Q660" s="43" t="str"/>
      <x:c r="R660" s="43" t="str">
        <x:v>Queued for contact research</x:v>
      </x:c>
      <x:c r="S660" s="43" t="str">
        <x:v>Not reviewed</x:v>
      </x:c>
      <x:c r="T660" s="43" t="str">
        <x:v>Hold</x:v>
      </x:c>
      <x:c r="U660" s="43" t="str">
        <x:v>No</x:v>
      </x:c>
      <x:c r="V660" s="44"/>
      <x:c r="W660" s="43" t="str"/>
      <x:c r="X660" s="43" t="str"/>
      <x:c r="Y660" s="43" t="str"/>
      <x:c r="Z660" s="43" t="str">
        <x:v>https://www.get-information-schools.service.gov.uk/Downloads</x:v>
      </x:c>
    </x:row>
    <x:row r="661">
      <x:c r="A661" s="43" t="str">
        <x:v>UK independent</x:v>
      </x:c>
      <x:c r="B661" s="43" t="str">
        <x:v>143174</x:v>
      </x:c>
      <x:c r="C661" s="43" t="n">
        <x:f>IF(K661="Boarding school",30,0)+IF(J661&gt;=18,20,0)+IF(I661&lt;=11,10,0)+IF(L661="Has a sixth form",15,0)+IF(M661&gt;=200,10,0)+IF(N661&lt;&gt;"",10,0)</x:f>
        <x:v>55</x:v>
      </x:c>
      <x:c r="D661" s="43" t="str">
        <x:f>IF(C661&gt;=85,"A",IF(C661&gt;=65,"B","C"))</x:f>
        <x:v>C</x:v>
      </x:c>
      <x:c r="E661" s="43" t="str">
        <x:v>Newbury Independent School</x:v>
      </x:c>
      <x:c r="F661" s="43" t="str">
        <x:v>Birmingham</x:v>
      </x:c>
      <x:c r="G661" s="43" t="str">
        <x:v>West Midlands</x:v>
      </x:c>
      <x:c r="H661" s="43" t="str">
        <x:v>B6 7SS</x:v>
      </x:c>
      <x:c r="I661" s="43" t="n">
        <x:v>11</x:v>
      </x:c>
      <x:c r="J661" s="43" t="n">
        <x:v>19</x:v>
      </x:c>
      <x:c r="K661" s="43" t="str">
        <x:v>No boarders</x:v>
      </x:c>
      <x:c r="L661" s="43" t="str">
        <x:v>Has a sixth form</x:v>
      </x:c>
      <x:c r="M661" s="43" t="n">
        <x:v>18</x:v>
      </x:c>
      <x:c r="N661" s="43" t="str">
        <x:v>https://www.newburyschool.co.uk</x:v>
      </x:c>
      <x:c r="O661" s="43" t="str">
        <x:v>01218030831</x:v>
      </x:c>
      <x:c r="P661" s="43" t="str"/>
      <x:c r="Q661" s="43" t="str"/>
      <x:c r="R661" s="43" t="str">
        <x:v>Queued for contact research</x:v>
      </x:c>
      <x:c r="S661" s="43" t="str">
        <x:v>Not reviewed</x:v>
      </x:c>
      <x:c r="T661" s="43" t="str">
        <x:v>Hold</x:v>
      </x:c>
      <x:c r="U661" s="43" t="str">
        <x:v>No</x:v>
      </x:c>
      <x:c r="V661" s="44"/>
      <x:c r="W661" s="43" t="str"/>
      <x:c r="X661" s="43" t="str"/>
      <x:c r="Y661" s="43" t="str"/>
      <x:c r="Z661" s="43" t="str">
        <x:v>https://www.get-information-schools.service.gov.uk/Downloads</x:v>
      </x:c>
    </x:row>
    <x:row r="662">
      <x:c r="A662" s="43" t="str">
        <x:v>UK independent</x:v>
      </x:c>
      <x:c r="B662" s="43" t="str">
        <x:v>135526</x:v>
      </x:c>
      <x:c r="C662" s="43" t="n">
        <x:f>IF(K662="Boarding school",30,0)+IF(J662&gt;=18,20,0)+IF(I662&lt;=11,10,0)+IF(L662="Has a sixth form",15,0)+IF(M662&gt;=200,10,0)+IF(N662&lt;&gt;"",10,0)</x:f>
        <x:v>55</x:v>
      </x:c>
      <x:c r="D662" s="43" t="str">
        <x:f>IF(C662&gt;=85,"A",IF(C662&gt;=65,"B","C"))</x:f>
        <x:v>C</x:v>
      </x:c>
      <x:c r="E662" s="43" t="str">
        <x:v>Penarth Group School</x:v>
      </x:c>
      <x:c r="F662" s="43" t="str">
        <x:v>Cheshire</x:v>
      </x:c>
      <x:c r="G662" s="43" t="str">
        <x:v>Cheshire</x:v>
      </x:c>
      <x:c r="H662" s="43" t="str">
        <x:v>SK5 7JG</x:v>
      </x:c>
      <x:c r="I662" s="43" t="n">
        <x:v>11</x:v>
      </x:c>
      <x:c r="J662" s="43" t="n">
        <x:v>18</x:v>
      </x:c>
      <x:c r="K662" s="43" t="str">
        <x:v>No boarders</x:v>
      </x:c>
      <x:c r="L662" s="43" t="str">
        <x:v>Has a sixth form</x:v>
      </x:c>
      <x:c r="M662" s="43" t="n">
        <x:v>18</x:v>
      </x:c>
      <x:c r="N662" s="43" t="str">
        <x:v>https://www.penarthgroupschool.co.uk</x:v>
      </x:c>
      <x:c r="O662" s="43" t="str">
        <x:v>01614831212</x:v>
      </x:c>
      <x:c r="P662" s="43" t="str"/>
      <x:c r="Q662" s="43" t="str"/>
      <x:c r="R662" s="43" t="str">
        <x:v>Queued for contact research</x:v>
      </x:c>
      <x:c r="S662" s="43" t="str">
        <x:v>Not reviewed</x:v>
      </x:c>
      <x:c r="T662" s="43" t="str">
        <x:v>Hold</x:v>
      </x:c>
      <x:c r="U662" s="43" t="str">
        <x:v>No</x:v>
      </x:c>
      <x:c r="V662" s="44"/>
      <x:c r="W662" s="43" t="str"/>
      <x:c r="X662" s="43" t="str"/>
      <x:c r="Y662" s="43" t="str"/>
      <x:c r="Z662" s="43" t="str">
        <x:v>https://www.get-information-schools.service.gov.uk/Downloads</x:v>
      </x:c>
    </x:row>
    <x:row r="663">
      <x:c r="A663" s="43" t="str">
        <x:v>UK independent</x:v>
      </x:c>
      <x:c r="B663" s="43" t="str">
        <x:v>107795</x:v>
      </x:c>
      <x:c r="C663" s="43" t="n">
        <x:f>IF(K663="Boarding school",30,0)+IF(J663&gt;=18,20,0)+IF(I663&lt;=11,10,0)+IF(L663="Has a sixth form",15,0)+IF(M663&gt;=200,10,0)+IF(N663&lt;&gt;"",10,0)</x:f>
        <x:v>55</x:v>
      </x:c>
      <x:c r="D663" s="43" t="str">
        <x:f>IF(C663&gt;=85,"A",IF(C663&gt;=65,"B","C"))</x:f>
        <x:v>C</x:v>
      </x:c>
      <x:c r="E663" s="43" t="str">
        <x:v>The Branch Christian School</x:v>
      </x:c>
      <x:c r="F663" s="43" t="str">
        <x:v>Dewsbury</x:v>
      </x:c>
      <x:c r="G663" s="43" t="str">
        <x:v>West Yorkshire</x:v>
      </x:c>
      <x:c r="H663" s="43" t="str">
        <x:v>WF13 4LA</x:v>
      </x:c>
      <x:c r="I663" s="43" t="n">
        <x:v>3</x:v>
      </x:c>
      <x:c r="J663" s="43" t="n">
        <x:v>18</x:v>
      </x:c>
      <x:c r="K663" s="43" t="str">
        <x:v>No boarders</x:v>
      </x:c>
      <x:c r="L663" s="43" t="str">
        <x:v>Has a sixth form</x:v>
      </x:c>
      <x:c r="M663" s="43" t="n">
        <x:v>17</x:v>
      </x:c>
      <x:c r="N663" s="43" t="str">
        <x:v>https://www.branchchristianschool.org.uk</x:v>
      </x:c>
      <x:c r="O663" s="43" t="str">
        <x:v>01924452511</x:v>
      </x:c>
      <x:c r="P663" s="43" t="str"/>
      <x:c r="Q663" s="43" t="str"/>
      <x:c r="R663" s="43" t="str">
        <x:v>Queued for contact research</x:v>
      </x:c>
      <x:c r="S663" s="43" t="str">
        <x:v>Not reviewed</x:v>
      </x:c>
      <x:c r="T663" s="43" t="str">
        <x:v>Hold</x:v>
      </x:c>
      <x:c r="U663" s="43" t="str">
        <x:v>No</x:v>
      </x:c>
      <x:c r="V663" s="44"/>
      <x:c r="W663" s="43" t="str"/>
      <x:c r="X663" s="43" t="str"/>
      <x:c r="Y663" s="43" t="str"/>
      <x:c r="Z663" s="43" t="str">
        <x:v>https://www.get-information-schools.service.gov.uk/Downloads</x:v>
      </x:c>
    </x:row>
    <x:row r="664">
      <x:c r="A664" s="43" t="str">
        <x:v>UK independent</x:v>
      </x:c>
      <x:c r="B664" s="43" t="str">
        <x:v>135975</x:v>
      </x:c>
      <x:c r="C664" s="43" t="n">
        <x:f>IF(K664="Boarding school",30,0)+IF(J664&gt;=18,20,0)+IF(I664&lt;=11,10,0)+IF(L664="Has a sixth form",15,0)+IF(M664&gt;=200,10,0)+IF(N664&lt;&gt;"",10,0)</x:f>
        <x:v>55</x:v>
      </x:c>
      <x:c r="D664" s="43" t="str">
        <x:f>IF(C664&gt;=85,"A",IF(C664&gt;=65,"B","C"))</x:f>
        <x:v>C</x:v>
      </x:c>
      <x:c r="E664" s="43" t="str">
        <x:v>Ashlea House School</x:v>
      </x:c>
      <x:c r="F664" s="43" t="str">
        <x:v>Manchester</x:v>
      </x:c>
      <x:c r="G664" s="43" t="str">
        <x:v>Greater Manchester</x:v>
      </x:c>
      <x:c r="H664" s="43" t="str">
        <x:v>M34 6ET</x:v>
      </x:c>
      <x:c r="I664" s="43" t="n">
        <x:v>11</x:v>
      </x:c>
      <x:c r="J664" s="43" t="n">
        <x:v>18</x:v>
      </x:c>
      <x:c r="K664" s="43" t="str">
        <x:v>No boarders</x:v>
      </x:c>
      <x:c r="L664" s="43" t="str">
        <x:v>Has a sixth form</x:v>
      </x:c>
      <x:c r="M664" s="43" t="n">
        <x:v>13</x:v>
      </x:c>
      <x:c r="N664" s="43" t="str">
        <x:v>https://www.fullcirclecare.co.uk</x:v>
      </x:c>
      <x:c r="O664" s="43" t="str">
        <x:v>01613360664</x:v>
      </x:c>
      <x:c r="P664" s="43" t="str"/>
      <x:c r="Q664" s="43" t="str"/>
      <x:c r="R664" s="43" t="str">
        <x:v>Queued for contact research</x:v>
      </x:c>
      <x:c r="S664" s="43" t="str">
        <x:v>Not reviewed</x:v>
      </x:c>
      <x:c r="T664" s="43" t="str">
        <x:v>Hold</x:v>
      </x:c>
      <x:c r="U664" s="43" t="str">
        <x:v>No</x:v>
      </x:c>
      <x:c r="V664" s="44"/>
      <x:c r="W664" s="43" t="str"/>
      <x:c r="X664" s="43" t="str"/>
      <x:c r="Y664" s="43" t="str"/>
      <x:c r="Z664" s="43" t="str">
        <x:v>https://www.get-information-schools.service.gov.uk/Downloads</x:v>
      </x:c>
    </x:row>
    <x:row r="665">
      <x:c r="A665" s="43" t="str">
        <x:v>UK independent</x:v>
      </x:c>
      <x:c r="B665" s="43" t="str">
        <x:v>141315</x:v>
      </x:c>
      <x:c r="C665" s="43" t="n">
        <x:f>IF(K665="Boarding school",30,0)+IF(J665&gt;=18,20,0)+IF(I665&lt;=11,10,0)+IF(L665="Has a sixth form",15,0)+IF(M665&gt;=200,10,0)+IF(N665&lt;&gt;"",10,0)</x:f>
        <x:v>55</x:v>
      </x:c>
      <x:c r="D665" s="43" t="str">
        <x:f>IF(C665&gt;=85,"A",IF(C665&gt;=65,"B","C"))</x:f>
        <x:v>C</x:v>
      </x:c>
      <x:c r="E665" s="43" t="str">
        <x:v>Pulse and Water College</x:v>
      </x:c>
      <x:c r="F665" s="43" t="str">
        <x:v>Greenwich</x:v>
      </x:c>
      <x:c r="G665" s="43" t="str"/>
      <x:c r="H665" s="43" t="str">
        <x:v>SE2 9PT</x:v>
      </x:c>
      <x:c r="I665" s="43" t="n">
        <x:v>11</x:v>
      </x:c>
      <x:c r="J665" s="43" t="n">
        <x:v>18</x:v>
      </x:c>
      <x:c r="K665" s="43" t="str">
        <x:v>No boarders</x:v>
      </x:c>
      <x:c r="L665" s="43" t="str">
        <x:v>Has a sixth form</x:v>
      </x:c>
      <x:c r="M665" s="43" t="n">
        <x:v>13</x:v>
      </x:c>
      <x:c r="N665" s="43" t="str">
        <x:v>https://www.pulseandwater.co.uk</x:v>
      </x:c>
      <x:c r="O665" s="43" t="str">
        <x:v>02083172639</x:v>
      </x:c>
      <x:c r="P665" s="43" t="str"/>
      <x:c r="Q665" s="43" t="str"/>
      <x:c r="R665" s="43" t="str">
        <x:v>Queued for contact research</x:v>
      </x:c>
      <x:c r="S665" s="43" t="str">
        <x:v>Not reviewed</x:v>
      </x:c>
      <x:c r="T665" s="43" t="str">
        <x:v>Hold</x:v>
      </x:c>
      <x:c r="U665" s="43" t="str">
        <x:v>No</x:v>
      </x:c>
      <x:c r="V665" s="44"/>
      <x:c r="W665" s="43" t="str"/>
      <x:c r="X665" s="43" t="str"/>
      <x:c r="Y665" s="43" t="str"/>
      <x:c r="Z665" s="43" t="str">
        <x:v>https://www.get-information-schools.service.gov.uk/Downloads</x:v>
      </x:c>
    </x:row>
    <x:row r="666">
      <x:c r="A666" s="43" t="str">
        <x:v>UK independent</x:v>
      </x:c>
      <x:c r="B666" s="43" t="str">
        <x:v>136100</x:v>
      </x:c>
      <x:c r="C666" s="43" t="n">
        <x:f>IF(K666="Boarding school",30,0)+IF(J666&gt;=18,20,0)+IF(I666&lt;=11,10,0)+IF(L666="Has a sixth form",15,0)+IF(M666&gt;=200,10,0)+IF(N666&lt;&gt;"",10,0)</x:f>
        <x:v>55</x:v>
      </x:c>
      <x:c r="D666" s="43" t="str">
        <x:f>IF(C666&gt;=85,"A",IF(C666&gt;=65,"B","C"))</x:f>
        <x:v>C</x:v>
      </x:c>
      <x:c r="E666" s="43" t="str">
        <x:v>StreetVibes Media Academy</x:v>
      </x:c>
      <x:c r="F666" s="43" t="str">
        <x:v>London</x:v>
      </x:c>
      <x:c r="G666" s="43" t="str"/>
      <x:c r="H666" s="43" t="str">
        <x:v>SE9 1DA</x:v>
      </x:c>
      <x:c r="I666" s="43" t="n">
        <x:v>11</x:v>
      </x:c>
      <x:c r="J666" s="43" t="n">
        <x:v>19</x:v>
      </x:c>
      <x:c r="K666" s="43" t="str">
        <x:v>No boarders</x:v>
      </x:c>
      <x:c r="L666" s="43" t="str">
        <x:v>Has a sixth form</x:v>
      </x:c>
      <x:c r="M666" s="43" t="n">
        <x:v>13</x:v>
      </x:c>
      <x:c r="N666" s="43" t="str">
        <x:v>https://www.sv-academy.com</x:v>
      </x:c>
      <x:c r="O666" s="43" t="str">
        <x:v>02030318240</x:v>
      </x:c>
      <x:c r="P666" s="43" t="str"/>
      <x:c r="Q666" s="43" t="str"/>
      <x:c r="R666" s="43" t="str">
        <x:v>Queued for contact research</x:v>
      </x:c>
      <x:c r="S666" s="43" t="str">
        <x:v>Not reviewed</x:v>
      </x:c>
      <x:c r="T666" s="43" t="str">
        <x:v>Hold</x:v>
      </x:c>
      <x:c r="U666" s="43" t="str">
        <x:v>No</x:v>
      </x:c>
      <x:c r="V666" s="44"/>
      <x:c r="W666" s="43" t="str"/>
      <x:c r="X666" s="43" t="str"/>
      <x:c r="Y666" s="43" t="str"/>
      <x:c r="Z666" s="43" t="str">
        <x:v>https://www.get-information-schools.service.gov.uk/Downloads</x:v>
      </x:c>
    </x:row>
    <x:row r="667">
      <x:c r="A667" s="43" t="str">
        <x:v>UK independent</x:v>
      </x:c>
      <x:c r="B667" s="43" t="str">
        <x:v>145465</x:v>
      </x:c>
      <x:c r="C667" s="43" t="n">
        <x:f>IF(K667="Boarding school",30,0)+IF(J667&gt;=18,20,0)+IF(I667&lt;=11,10,0)+IF(L667="Has a sixth form",15,0)+IF(M667&gt;=200,10,0)+IF(N667&lt;&gt;"",10,0)</x:f>
        <x:v>55</x:v>
      </x:c>
      <x:c r="D667" s="43" t="str">
        <x:f>IF(C667&gt;=85,"A",IF(C667&gt;=65,"B","C"))</x:f>
        <x:v>C</x:v>
      </x:c>
      <x:c r="E667" s="43" t="str">
        <x:v>Moorfield Learning Centre</x:v>
      </x:c>
      <x:c r="F667" s="43" t="str"/>
      <x:c r="G667" s="43" t="str">
        <x:v>Cumbria</x:v>
      </x:c>
      <x:c r="H667" s="43" t="str">
        <x:v>LA13 9RS</x:v>
      </x:c>
      <x:c r="I667" s="43" t="n">
        <x:v>5</x:v>
      </x:c>
      <x:c r="J667" s="43" t="n">
        <x:v>18</x:v>
      </x:c>
      <x:c r="K667" s="43" t="str">
        <x:v>No boarders</x:v>
      </x:c>
      <x:c r="L667" s="43" t="str">
        <x:v>Has a sixth form</x:v>
      </x:c>
      <x:c r="M667" s="43" t="n">
        <x:v>12</x:v>
      </x:c>
      <x:c r="N667" s="43" t="str">
        <x:v>https://cascbarrow.co.uk</x:v>
      </x:c>
      <x:c r="O667" s="43" t="str">
        <x:v>01229837258</x:v>
      </x:c>
      <x:c r="P667" s="43" t="str"/>
      <x:c r="Q667" s="43" t="str"/>
      <x:c r="R667" s="43" t="str">
        <x:v>Queued for contact research</x:v>
      </x:c>
      <x:c r="S667" s="43" t="str">
        <x:v>Not reviewed</x:v>
      </x:c>
      <x:c r="T667" s="43" t="str">
        <x:v>Hold</x:v>
      </x:c>
      <x:c r="U667" s="43" t="str">
        <x:v>No</x:v>
      </x:c>
      <x:c r="V667" s="44"/>
      <x:c r="W667" s="43" t="str"/>
      <x:c r="X667" s="43" t="str"/>
      <x:c r="Y667" s="43" t="str"/>
      <x:c r="Z667" s="43" t="str">
        <x:v>https://www.get-information-schools.service.gov.uk/Downloads</x:v>
      </x:c>
    </x:row>
    <x:row r="668">
      <x:c r="A668" s="43" t="str">
        <x:v>UK independent</x:v>
      </x:c>
      <x:c r="B668" s="43" t="str">
        <x:v>146999</x:v>
      </x:c>
      <x:c r="C668" s="43" t="n">
        <x:f>IF(K668="Boarding school",30,0)+IF(J668&gt;=18,20,0)+IF(I668&lt;=11,10,0)+IF(L668="Has a sixth form",15,0)+IF(M668&gt;=200,10,0)+IF(N668&lt;&gt;"",10,0)</x:f>
        <x:v>55</x:v>
      </x:c>
      <x:c r="D668" s="43" t="str">
        <x:f>IF(C668&gt;=85,"A",IF(C668&gt;=65,"B","C"))</x:f>
        <x:v>C</x:v>
      </x:c>
      <x:c r="E668" s="43" t="str">
        <x:v>Camp Hill Education</x:v>
      </x:c>
      <x:c r="F668" s="43" t="str">
        <x:v>Birmingham</x:v>
      </x:c>
      <x:c r="G668" s="43" t="str">
        <x:v>West Midlands</x:v>
      </x:c>
      <x:c r="H668" s="43" t="str">
        <x:v>B11 1AR</x:v>
      </x:c>
      <x:c r="I668" s="43" t="n">
        <x:v>11</x:v>
      </x:c>
      <x:c r="J668" s="43" t="n">
        <x:v>19</x:v>
      </x:c>
      <x:c r="K668" s="43" t="str">
        <x:v>No boarders</x:v>
      </x:c>
      <x:c r="L668" s="43" t="str">
        <x:v>Has a sixth form</x:v>
      </x:c>
      <x:c r="M668" s="43" t="n">
        <x:v>10</x:v>
      </x:c>
      <x:c r="N668" s="43" t="str">
        <x:v>https://camphilleducation.co.uk</x:v>
      </x:c>
      <x:c r="O668" s="43" t="str">
        <x:v>07305309583</x:v>
      </x:c>
      <x:c r="P668" s="43" t="str"/>
      <x:c r="Q668" s="43" t="str"/>
      <x:c r="R668" s="43" t="str">
        <x:v>Queued for contact research</x:v>
      </x:c>
      <x:c r="S668" s="43" t="str">
        <x:v>Not reviewed</x:v>
      </x:c>
      <x:c r="T668" s="43" t="str">
        <x:v>Hold</x:v>
      </x:c>
      <x:c r="U668" s="43" t="str">
        <x:v>No</x:v>
      </x:c>
      <x:c r="V668" s="44"/>
      <x:c r="W668" s="43" t="str"/>
      <x:c r="X668" s="43" t="str"/>
      <x:c r="Y668" s="43" t="str"/>
      <x:c r="Z668" s="43" t="str">
        <x:v>https://www.get-information-schools.service.gov.uk/Downloads</x:v>
      </x:c>
    </x:row>
    <x:row r="669">
      <x:c r="A669" s="43" t="str">
        <x:v>UK independent</x:v>
      </x:c>
      <x:c r="B669" s="43" t="str">
        <x:v>144717</x:v>
      </x:c>
      <x:c r="C669" s="43" t="n">
        <x:f>IF(K669="Boarding school",30,0)+IF(J669&gt;=18,20,0)+IF(I669&lt;=11,10,0)+IF(L669="Has a sixth form",15,0)+IF(M669&gt;=200,10,0)+IF(N669&lt;&gt;"",10,0)</x:f>
        <x:v>55</x:v>
      </x:c>
      <x:c r="D669" s="43" t="str">
        <x:f>IF(C669&gt;=85,"A",IF(C669&gt;=65,"B","C"))</x:f>
        <x:v>C</x:v>
      </x:c>
      <x:c r="E669" s="43" t="str">
        <x:v>Hidelow Grange School</x:v>
      </x:c>
      <x:c r="F669" s="43" t="str">
        <x:v>Acton Beauchamp</x:v>
      </x:c>
      <x:c r="G669" s="43" t="str">
        <x:v>Herefordshire</x:v>
      </x:c>
      <x:c r="H669" s="43" t="str">
        <x:v>WR6 5AH</x:v>
      </x:c>
      <x:c r="I669" s="43" t="n">
        <x:v>11</x:v>
      </x:c>
      <x:c r="J669" s="43" t="n">
        <x:v>18</x:v>
      </x:c>
      <x:c r="K669" s="43" t="str">
        <x:v>No boarders</x:v>
      </x:c>
      <x:c r="L669" s="43" t="str">
        <x:v>Has a sixth form</x:v>
      </x:c>
      <x:c r="M669" s="43" t="n">
        <x:v>7</x:v>
      </x:c>
      <x:c r="N669" s="43" t="str">
        <x:v>https://branas.co.uk/education/hidelow-grange-school/</x:v>
      </x:c>
      <x:c r="O669" s="43" t="str">
        <x:v>01886884832</x:v>
      </x:c>
      <x:c r="P669" s="43" t="str"/>
      <x:c r="Q669" s="43" t="str"/>
      <x:c r="R669" s="43" t="str">
        <x:v>Queued for contact research</x:v>
      </x:c>
      <x:c r="S669" s="43" t="str">
        <x:v>Not reviewed</x:v>
      </x:c>
      <x:c r="T669" s="43" t="str">
        <x:v>Hold</x:v>
      </x:c>
      <x:c r="U669" s="43" t="str">
        <x:v>No</x:v>
      </x:c>
      <x:c r="V669" s="44"/>
      <x:c r="W669" s="43" t="str"/>
      <x:c r="X669" s="43" t="str"/>
      <x:c r="Y669" s="43" t="str"/>
      <x:c r="Z669" s="43" t="str">
        <x:v>https://www.get-information-schools.service.gov.uk/Downloads</x:v>
      </x:c>
    </x:row>
    <x:row r="670">
      <x:c r="A670" s="43" t="str">
        <x:v>UK independent</x:v>
      </x:c>
      <x:c r="B670" s="43" t="str">
        <x:v>147735</x:v>
      </x:c>
      <x:c r="C670" s="43" t="n">
        <x:f>IF(K670="Boarding school",30,0)+IF(J670&gt;=18,20,0)+IF(I670&lt;=11,10,0)+IF(L670="Has a sixth form",15,0)+IF(M670&gt;=200,10,0)+IF(N670&lt;&gt;"",10,0)</x:f>
        <x:v>55</x:v>
      </x:c>
      <x:c r="D670" s="43" t="str">
        <x:f>IF(C670&gt;=85,"A",IF(C670&gt;=65,"B","C"))</x:f>
        <x:v>C</x:v>
      </x:c>
      <x:c r="E670" s="43" t="str">
        <x:v>Springfield House School</x:v>
      </x:c>
      <x:c r="F670" s="43" t="str">
        <x:v>Preston</x:v>
      </x:c>
      <x:c r="G670" s="43" t="str">
        <x:v>Lancashire</x:v>
      </x:c>
      <x:c r="H670" s="43" t="str">
        <x:v>PR3 6HL</x:v>
      </x:c>
      <x:c r="I670" s="43" t="n">
        <x:v>11</x:v>
      </x:c>
      <x:c r="J670" s="43" t="n">
        <x:v>18</x:v>
      </x:c>
      <x:c r="K670" s="43" t="str">
        <x:v>No boarders</x:v>
      </x:c>
      <x:c r="L670" s="43" t="str">
        <x:v>Has a sixth form</x:v>
      </x:c>
      <x:c r="M670" s="43" t="n">
        <x:v>6</x:v>
      </x:c>
      <x:c r="N670" s="43" t="str">
        <x:v>https://www.educ8.org.uk</x:v>
      </x:c>
      <x:c r="O670" s="43" t="str">
        <x:v>01614831505</x:v>
      </x:c>
      <x:c r="P670" s="43" t="str"/>
      <x:c r="Q670" s="43" t="str"/>
      <x:c r="R670" s="43" t="str">
        <x:v>Queued for contact research</x:v>
      </x:c>
      <x:c r="S670" s="43" t="str">
        <x:v>Not reviewed</x:v>
      </x:c>
      <x:c r="T670" s="43" t="str">
        <x:v>Hold</x:v>
      </x:c>
      <x:c r="U670" s="43" t="str">
        <x:v>No</x:v>
      </x:c>
      <x:c r="V670" s="44"/>
      <x:c r="W670" s="43" t="str"/>
      <x:c r="X670" s="43" t="str"/>
      <x:c r="Y670" s="43" t="str"/>
      <x:c r="Z670" s="43" t="str">
        <x:v>https://www.get-information-schools.service.gov.uk/Downloads</x:v>
      </x:c>
    </x:row>
    <x:row r="671">
      <x:c r="A671" s="43" t="str">
        <x:v>UK independent</x:v>
      </x:c>
      <x:c r="B671" s="43" t="str">
        <x:v>145169</x:v>
      </x:c>
      <x:c r="C671" s="43" t="n">
        <x:f>IF(K671="Boarding school",30,0)+IF(J671&gt;=18,20,0)+IF(I671&lt;=11,10,0)+IF(L671="Has a sixth form",15,0)+IF(M671&gt;=200,10,0)+IF(N671&lt;&gt;"",10,0)</x:f>
        <x:v>55</x:v>
      </x:c>
      <x:c r="D671" s="43" t="str">
        <x:f>IF(C671&gt;=85,"A",IF(C671&gt;=65,"B","C"))</x:f>
        <x:v>C</x:v>
      </x:c>
      <x:c r="E671" s="43" t="str">
        <x:v>The Beech House School</x:v>
      </x:c>
      <x:c r="F671" s="43" t="str"/>
      <x:c r="G671" s="43" t="str">
        <x:v>Surrey</x:v>
      </x:c>
      <x:c r="H671" s="43" t="str">
        <x:v>KT8 2EJ</x:v>
      </x:c>
      <x:c r="I671" s="43" t="n">
        <x:v>10</x:v>
      </x:c>
      <x:c r="J671" s="43" t="n">
        <x:v>18</x:v>
      </x:c>
      <x:c r="K671" s="43" t="str">
        <x:v>No boarders</x:v>
      </x:c>
      <x:c r="L671" s="43" t="str">
        <x:v>Has a sixth form</x:v>
      </x:c>
      <x:c r="M671" s="43" t="n">
        <x:v>6</x:v>
      </x:c>
      <x:c r="N671" s="43" t="str">
        <x:v>https://cameronandco.org/the-beech-house-school/</x:v>
      </x:c>
      <x:c r="O671" s="43" t="str">
        <x:v>02082247467</x:v>
      </x:c>
      <x:c r="P671" s="43" t="str"/>
      <x:c r="Q671" s="43" t="str"/>
      <x:c r="R671" s="43" t="str">
        <x:v>Queued for contact research</x:v>
      </x:c>
      <x:c r="S671" s="43" t="str">
        <x:v>Not reviewed</x:v>
      </x:c>
      <x:c r="T671" s="43" t="str">
        <x:v>Hold</x:v>
      </x:c>
      <x:c r="U671" s="43" t="str">
        <x:v>No</x:v>
      </x:c>
      <x:c r="V671" s="44"/>
      <x:c r="W671" s="43" t="str"/>
      <x:c r="X671" s="43" t="str"/>
      <x:c r="Y671" s="43" t="str"/>
      <x:c r="Z671" s="43" t="str">
        <x:v>https://www.get-information-schools.service.gov.uk/Downloads</x:v>
      </x:c>
    </x:row>
    <x:row r="672">
      <x:c r="A672" s="43" t="str">
        <x:v>UK independent</x:v>
      </x:c>
      <x:c r="B672" s="43" t="str">
        <x:v>142332</x:v>
      </x:c>
      <x:c r="C672" s="43" t="n">
        <x:f>IF(K672="Boarding school",30,0)+IF(J672&gt;=18,20,0)+IF(I672&lt;=11,10,0)+IF(L672="Has a sixth form",15,0)+IF(M672&gt;=200,10,0)+IF(N672&lt;&gt;"",10,0)</x:f>
        <x:v>55</x:v>
      </x:c>
      <x:c r="D672" s="43" t="str">
        <x:f>IF(C672&gt;=85,"A",IF(C672&gt;=65,"B","C"))</x:f>
        <x:v>C</x:v>
      </x:c>
      <x:c r="E672" s="43" t="str">
        <x:v>Jefferson House</x:v>
      </x:c>
      <x:c r="F672" s="43" t="str">
        <x:v>Winsford</x:v>
      </x:c>
      <x:c r="G672" s="43" t="str"/>
      <x:c r="H672" s="43" t="str">
        <x:v>CW7 1JT</x:v>
      </x:c>
      <x:c r="I672" s="43" t="n">
        <x:v>11</x:v>
      </x:c>
      <x:c r="J672" s="43" t="n">
        <x:v>18</x:v>
      </x:c>
      <x:c r="K672" s="43" t="str">
        <x:v>No boarders</x:v>
      </x:c>
      <x:c r="L672" s="43" t="str">
        <x:v>Has a sixth form</x:v>
      </x:c>
      <x:c r="M672" s="43" t="n">
        <x:v>5</x:v>
      </x:c>
      <x:c r="N672" s="43" t="str">
        <x:v>https://www.educ8.org.uk</x:v>
      </x:c>
      <x:c r="O672" s="43" t="str">
        <x:v>01606554153</x:v>
      </x:c>
      <x:c r="P672" s="43" t="str"/>
      <x:c r="Q672" s="43" t="str"/>
      <x:c r="R672" s="43" t="str">
        <x:v>Queued for contact research</x:v>
      </x:c>
      <x:c r="S672" s="43" t="str">
        <x:v>Not reviewed</x:v>
      </x:c>
      <x:c r="T672" s="43" t="str">
        <x:v>Hold</x:v>
      </x:c>
      <x:c r="U672" s="43" t="str">
        <x:v>No</x:v>
      </x:c>
      <x:c r="V672" s="44"/>
      <x:c r="W672" s="43" t="str"/>
      <x:c r="X672" s="43" t="str"/>
      <x:c r="Y672" s="43" t="str"/>
      <x:c r="Z672" s="43" t="str">
        <x:v>https://www.get-information-schools.service.gov.uk/Downloads</x:v>
      </x:c>
    </x:row>
    <x:row r="673">
      <x:c r="A673" s="43" t="str">
        <x:v>UK independent</x:v>
      </x:c>
      <x:c r="B673" s="43" t="str">
        <x:v>143858</x:v>
      </x:c>
      <x:c r="C673" s="43" t="n">
        <x:f>IF(K673="Boarding school",30,0)+IF(J673&gt;=18,20,0)+IF(I673&lt;=11,10,0)+IF(L673="Has a sixth form",15,0)+IF(M673&gt;=200,10,0)+IF(N673&lt;&gt;"",10,0)</x:f>
        <x:v>55</x:v>
      </x:c>
      <x:c r="D673" s="43" t="str">
        <x:f>IF(C673&gt;=85,"A",IF(C673&gt;=65,"B","C"))</x:f>
        <x:v>C</x:v>
      </x:c>
      <x:c r="E673" s="43" t="str">
        <x:v>Lincoln House School</x:v>
      </x:c>
      <x:c r="F673" s="43" t="str">
        <x:v>Burnley</x:v>
      </x:c>
      <x:c r="G673" s="43" t="str">
        <x:v>Lancashire</x:v>
      </x:c>
      <x:c r="H673" s="43" t="str">
        <x:v>BB12 0QZ</x:v>
      </x:c>
      <x:c r="I673" s="43" t="n">
        <x:v>11</x:v>
      </x:c>
      <x:c r="J673" s="43" t="n">
        <x:v>18</x:v>
      </x:c>
      <x:c r="K673" s="43" t="str">
        <x:v>No boarders</x:v>
      </x:c>
      <x:c r="L673" s="43" t="str">
        <x:v>Has a sixth form</x:v>
      </x:c>
      <x:c r="M673" s="43" t="n">
        <x:v>5</x:v>
      </x:c>
      <x:c r="N673" s="43" t="str">
        <x:v>https://www.educ8.org.uk</x:v>
      </x:c>
      <x:c r="O673" s="43" t="str">
        <x:v>01614831505</x:v>
      </x:c>
      <x:c r="P673" s="43" t="str"/>
      <x:c r="Q673" s="43" t="str"/>
      <x:c r="R673" s="43" t="str">
        <x:v>Queued for contact research</x:v>
      </x:c>
      <x:c r="S673" s="43" t="str">
        <x:v>Not reviewed</x:v>
      </x:c>
      <x:c r="T673" s="43" t="str">
        <x:v>Hold</x:v>
      </x:c>
      <x:c r="U673" s="43" t="str">
        <x:v>No</x:v>
      </x:c>
      <x:c r="V673" s="44"/>
      <x:c r="W673" s="43" t="str"/>
      <x:c r="X673" s="43" t="str"/>
      <x:c r="Y673" s="43" t="str"/>
      <x:c r="Z673" s="43" t="str">
        <x:v>https://www.get-information-schools.service.gov.uk/Downloads</x:v>
      </x:c>
    </x:row>
    <x:row r="674">
      <x:c r="A674" s="43" t="str">
        <x:v>UK independent</x:v>
      </x:c>
      <x:c r="B674" s="43" t="str">
        <x:v>145296</x:v>
      </x:c>
      <x:c r="C674" s="43" t="n">
        <x:f>IF(K674="Boarding school",30,0)+IF(J674&gt;=18,20,0)+IF(I674&lt;=11,10,0)+IF(L674="Has a sixth form",15,0)+IF(M674&gt;=200,10,0)+IF(N674&lt;&gt;"",10,0)</x:f>
        <x:v>55</x:v>
      </x:c>
      <x:c r="D674" s="43" t="str">
        <x:f>IF(C674&gt;=85,"A",IF(C674&gt;=65,"B","C"))</x:f>
        <x:v>C</x:v>
      </x:c>
      <x:c r="E674" s="43" t="str">
        <x:v>Rosa House School</x:v>
      </x:c>
      <x:c r="F674" s="43" t="str">
        <x:v>Burnley</x:v>
      </x:c>
      <x:c r="G674" s="43" t="str">
        <x:v>Lancashire</x:v>
      </x:c>
      <x:c r="H674" s="43" t="str">
        <x:v>BB10 3RB</x:v>
      </x:c>
      <x:c r="I674" s="43" t="n">
        <x:v>11</x:v>
      </x:c>
      <x:c r="J674" s="43" t="n">
        <x:v>18</x:v>
      </x:c>
      <x:c r="K674" s="43" t="str">
        <x:v>No boarders</x:v>
      </x:c>
      <x:c r="L674" s="43" t="str">
        <x:v>Has a sixth form</x:v>
      </x:c>
      <x:c r="M674" s="43" t="n">
        <x:v>4</x:v>
      </x:c>
      <x:c r="N674" s="43" t="str">
        <x:v>https://www.educ8.org.uk/</x:v>
      </x:c>
      <x:c r="O674" s="43" t="str">
        <x:v>01615096556</x:v>
      </x:c>
      <x:c r="P674" s="43" t="str"/>
      <x:c r="Q674" s="43" t="str"/>
      <x:c r="R674" s="43" t="str">
        <x:v>Queued for contact research</x:v>
      </x:c>
      <x:c r="S674" s="43" t="str">
        <x:v>Not reviewed</x:v>
      </x:c>
      <x:c r="T674" s="43" t="str">
        <x:v>Hold</x:v>
      </x:c>
      <x:c r="U674" s="43" t="str">
        <x:v>No</x:v>
      </x:c>
      <x:c r="V674" s="44"/>
      <x:c r="W674" s="43" t="str"/>
      <x:c r="X674" s="43" t="str"/>
      <x:c r="Y674" s="43" t="str"/>
      <x:c r="Z674" s="43" t="str">
        <x:v>https://www.get-information-schools.service.gov.uk/Downloads</x:v>
      </x:c>
    </x:row>
    <x:row r="675">
      <x:c r="A675" s="43" t="str">
        <x:v>UK independent</x:v>
      </x:c>
      <x:c r="B675" s="43" t="str">
        <x:v>143041</x:v>
      </x:c>
      <x:c r="C675" s="43" t="n">
        <x:f>IF(K675="Boarding school",30,0)+IF(J675&gt;=18,20,0)+IF(I675&lt;=11,10,0)+IF(L675="Has a sixth form",15,0)+IF(M675&gt;=200,10,0)+IF(N675&lt;&gt;"",10,0)</x:f>
        <x:v>55</x:v>
      </x:c>
      <x:c r="D675" s="43" t="str">
        <x:f>IF(C675&gt;=85,"A",IF(C675&gt;=65,"B","C"))</x:f>
        <x:v>C</x:v>
      </x:c>
      <x:c r="E675" s="43" t="str">
        <x:v>Hope School</x:v>
      </x:c>
      <x:c r="F675" s="43" t="str">
        <x:v>Preston</x:v>
      </x:c>
      <x:c r="G675" s="43" t="str"/>
      <x:c r="H675" s="43" t="str">
        <x:v>PR4 0HP</x:v>
      </x:c>
      <x:c r="I675" s="43" t="n">
        <x:v>11</x:v>
      </x:c>
      <x:c r="J675" s="43" t="n">
        <x:v>18</x:v>
      </x:c>
      <x:c r="K675" s="43" t="str">
        <x:v>No boarders</x:v>
      </x:c>
      <x:c r="L675" s="43" t="str">
        <x:v>Has a sixth form</x:v>
      </x:c>
      <x:c r="M675" s="43" t="n">
        <x:v>3</x:v>
      </x:c>
      <x:c r="N675" s="43" t="str">
        <x:v>https://www.educ8.org.uk</x:v>
      </x:c>
      <x:c r="O675" s="43" t="str">
        <x:v>01772691350</x:v>
      </x:c>
      <x:c r="P675" s="43" t="str"/>
      <x:c r="Q675" s="43" t="str"/>
      <x:c r="R675" s="43" t="str">
        <x:v>Queued for contact research</x:v>
      </x:c>
      <x:c r="S675" s="43" t="str">
        <x:v>Not reviewed</x:v>
      </x:c>
      <x:c r="T675" s="43" t="str">
        <x:v>Hold</x:v>
      </x:c>
      <x:c r="U675" s="43" t="str">
        <x:v>No</x:v>
      </x:c>
      <x:c r="V675" s="44"/>
      <x:c r="W675" s="43" t="str"/>
      <x:c r="X675" s="43" t="str"/>
      <x:c r="Y675" s="43" t="str"/>
      <x:c r="Z675" s="43" t="str">
        <x:v>https://www.get-information-schools.service.gov.uk/Downloads</x:v>
      </x:c>
    </x:row>
    <x:row r="676">
      <x:c r="A676" s="43" t="str">
        <x:v>UK independent</x:v>
      </x:c>
      <x:c r="B676" s="43" t="str">
        <x:v>144404</x:v>
      </x:c>
      <x:c r="C676" s="43" t="n">
        <x:f>IF(K676="Boarding school",30,0)+IF(J676&gt;=18,20,0)+IF(I676&lt;=11,10,0)+IF(L676="Has a sixth form",15,0)+IF(M676&gt;=200,10,0)+IF(N676&lt;&gt;"",10,0)</x:f>
        <x:v>55</x:v>
      </x:c>
      <x:c r="D676" s="43" t="str">
        <x:f>IF(C676&gt;=85,"A",IF(C676&gt;=65,"B","C"))</x:f>
        <x:v>C</x:v>
      </x:c>
      <x:c r="E676" s="43" t="str">
        <x:v>The Retreat</x:v>
      </x:c>
      <x:c r="F676" s="43" t="str"/>
      <x:c r="G676" s="43" t="str"/>
      <x:c r="H676" s="43" t="str">
        <x:v>Tf6 6pn</x:v>
      </x:c>
      <x:c r="I676" s="43" t="n">
        <x:v>11</x:v>
      </x:c>
      <x:c r="J676" s="43" t="n">
        <x:v>18</x:v>
      </x:c>
      <x:c r="K676" s="43" t="str">
        <x:v>No boarders</x:v>
      </x:c>
      <x:c r="L676" s="43" t="str">
        <x:v>Has a sixth form</x:v>
      </x:c>
      <x:c r="M676" s="43" t="n">
        <x:v>3</x:v>
      </x:c>
      <x:c r="N676" s="43" t="str">
        <x:v>https://www.educ8.org.uk/the-retreat-school</x:v>
      </x:c>
      <x:c r="O676" s="43" t="str">
        <x:v>01952541101</x:v>
      </x:c>
      <x:c r="P676" s="43" t="str"/>
      <x:c r="Q676" s="43" t="str"/>
      <x:c r="R676" s="43" t="str">
        <x:v>Queued for contact research</x:v>
      </x:c>
      <x:c r="S676" s="43" t="str">
        <x:v>Not reviewed</x:v>
      </x:c>
      <x:c r="T676" s="43" t="str">
        <x:v>Hold</x:v>
      </x:c>
      <x:c r="U676" s="43" t="str">
        <x:v>No</x:v>
      </x:c>
      <x:c r="V676" s="44"/>
      <x:c r="W676" s="43" t="str"/>
      <x:c r="X676" s="43" t="str"/>
      <x:c r="Y676" s="43" t="str"/>
      <x:c r="Z676" s="43" t="str">
        <x:v>https://www.get-information-schools.service.gov.uk/Downloads</x:v>
      </x:c>
    </x:row>
    <x:row r="677">
      <x:c r="A677" s="43" t="str">
        <x:v>UK independent</x:v>
      </x:c>
      <x:c r="B677" s="43" t="str">
        <x:v>142537</x:v>
      </x:c>
      <x:c r="C677" s="43" t="n">
        <x:f>IF(K677="Boarding school",30,0)+IF(J677&gt;=18,20,0)+IF(I677&lt;=11,10,0)+IF(L677="Has a sixth form",15,0)+IF(M677&gt;=200,10,0)+IF(N677&lt;&gt;"",10,0)</x:f>
        <x:v>55</x:v>
      </x:c>
      <x:c r="D677" s="43" t="str">
        <x:f>IF(C677&gt;=85,"A",IF(C677&gt;=65,"B","C"))</x:f>
        <x:v>C</x:v>
      </x:c>
      <x:c r="E677" s="43" t="str">
        <x:v>Chelmsford Hospital School</x:v>
      </x:c>
      <x:c r="F677" s="43" t="str">
        <x:v>Chelmsford</x:v>
      </x:c>
      <x:c r="G677" s="43" t="str">
        <x:v>Essex</x:v>
      </x:c>
      <x:c r="H677" s="43" t="str">
        <x:v>CM1 7SJ</x:v>
      </x:c>
      <x:c r="I677" s="43" t="n">
        <x:v>11</x:v>
      </x:c>
      <x:c r="J677" s="43" t="n">
        <x:v>18</x:v>
      </x:c>
      <x:c r="K677" s="43" t="str">
        <x:v>No boarders</x:v>
      </x:c>
      <x:c r="L677" s="43" t="str">
        <x:v>Has a sixth form</x:v>
      </x:c>
      <x:c r="M677" s="43" t="n">
        <x:v>1</x:v>
      </x:c>
      <x:c r="N677" s="43" t="str">
        <x:v>https://www.priorygroup.com</x:v>
      </x:c>
      <x:c r="O677" s="43" t="str">
        <x:v>01245244711</x:v>
      </x:c>
      <x:c r="P677" s="43" t="str"/>
      <x:c r="Q677" s="43" t="str"/>
      <x:c r="R677" s="43" t="str">
        <x:v>Queued for contact research</x:v>
      </x:c>
      <x:c r="S677" s="43" t="str">
        <x:v>Not reviewed</x:v>
      </x:c>
      <x:c r="T677" s="43" t="str">
        <x:v>Hold</x:v>
      </x:c>
      <x:c r="U677" s="43" t="str">
        <x:v>No</x:v>
      </x:c>
      <x:c r="V677" s="44"/>
      <x:c r="W677" s="43" t="str"/>
      <x:c r="X677" s="43" t="str"/>
      <x:c r="Y677" s="43" t="str"/>
      <x:c r="Z677" s="43" t="str">
        <x:v>https://www.get-information-schools.service.gov.uk/Downloads</x:v>
      </x:c>
    </x:row>
    <x:row r="678">
      <x:c r="A678" s="43" t="str">
        <x:v>UK independent</x:v>
      </x:c>
      <x:c r="B678" s="43" t="str">
        <x:v>148043</x:v>
      </x:c>
      <x:c r="C678" s="43" t="n">
        <x:f>IF(K678="Boarding school",30,0)+IF(J678&gt;=18,20,0)+IF(I678&lt;=11,10,0)+IF(L678="Has a sixth form",15,0)+IF(M678&gt;=200,10,0)+IF(N678&lt;&gt;"",10,0)</x:f>
        <x:v>55</x:v>
      </x:c>
      <x:c r="D678" s="43" t="str">
        <x:f>IF(C678&gt;=85,"A",IF(C678&gt;=65,"B","C"))</x:f>
        <x:v>C</x:v>
      </x:c>
      <x:c r="E678" s="43" t="str">
        <x:v>Aya College (Educational Provision)</x:v>
      </x:c>
      <x:c r="F678" s="43" t="str">
        <x:v>London</x:v>
      </x:c>
      <x:c r="G678" s="43" t="str"/>
      <x:c r="H678" s="43" t="str">
        <x:v>SE25 5PQ</x:v>
      </x:c>
      <x:c r="I678" s="43" t="n">
        <x:v>10</x:v>
      </x:c>
      <x:c r="J678" s="43" t="n">
        <x:v>18</x:v>
      </x:c>
      <x:c r="K678" s="43" t="str">
        <x:v>No boarders</x:v>
      </x:c>
      <x:c r="L678" s="43" t="str">
        <x:v>Has a sixth form</x:v>
      </x:c>
      <x:c r="M678" s="43" t="n">
        <x:v>0</x:v>
      </x:c>
      <x:c r="N678" s="43" t="str">
        <x:v>https://www.sankofacare.co.uk</x:v>
      </x:c>
      <x:c r="O678" s="43" t="str">
        <x:v>02085445102</x:v>
      </x:c>
      <x:c r="P678" s="43" t="str"/>
      <x:c r="Q678" s="43" t="str"/>
      <x:c r="R678" s="43" t="str">
        <x:v>Queued for contact research</x:v>
      </x:c>
      <x:c r="S678" s="43" t="str">
        <x:v>Not reviewed</x:v>
      </x:c>
      <x:c r="T678" s="43" t="str">
        <x:v>Hold</x:v>
      </x:c>
      <x:c r="U678" s="43" t="str">
        <x:v>No</x:v>
      </x:c>
      <x:c r="V678" s="44"/>
      <x:c r="W678" s="43" t="str"/>
      <x:c r="X678" s="43" t="str"/>
      <x:c r="Y678" s="43" t="str"/>
      <x:c r="Z678" s="43" t="str">
        <x:v>https://www.get-information-schools.service.gov.uk/Downloads</x:v>
      </x:c>
    </x:row>
    <x:row r="679">
      <x:c r="A679" s="43" t="str">
        <x:v>UK independent</x:v>
      </x:c>
      <x:c r="B679" s="43" t="str">
        <x:v>123288</x:v>
      </x:c>
      <x:c r="C679" s="43" t="n">
        <x:f>IF(K679="Boarding school",30,0)+IF(J679&gt;=18,20,0)+IF(I679&lt;=11,10,0)+IF(L679="Has a sixth form",15,0)+IF(M679&gt;=200,10,0)+IF(N679&lt;&gt;"",10,0)</x:f>
        <x:v>50</x:v>
      </x:c>
      <x:c r="D679" s="43" t="str">
        <x:f>IF(C679&gt;=85,"A",IF(C679&gt;=65,"B","C"))</x:f>
        <x:v>C</x:v>
      </x:c>
      <x:c r="E679" s="43" t="str">
        <x:v>Dragon School</x:v>
      </x:c>
      <x:c r="F679" s="43" t="str">
        <x:v>Oxford</x:v>
      </x:c>
      <x:c r="G679" s="43" t="str">
        <x:v>Oxfordshire</x:v>
      </x:c>
      <x:c r="H679" s="43" t="str">
        <x:v>OX2 6SS</x:v>
      </x:c>
      <x:c r="I679" s="43" t="n">
        <x:v>4</x:v>
      </x:c>
      <x:c r="J679" s="43" t="n">
        <x:v>14</x:v>
      </x:c>
      <x:c r="K679" s="43" t="str">
        <x:v>Boarding school</x:v>
      </x:c>
      <x:c r="L679" s="43" t="str">
        <x:v>Does not have a sixth form</x:v>
      </x:c>
      <x:c r="M679" s="43" t="n">
        <x:v>759</x:v>
      </x:c>
      <x:c r="N679" s="43" t="str"/>
      <x:c r="O679" s="43" t="str">
        <x:v>01865315400</x:v>
      </x:c>
      <x:c r="P679" s="43" t="str"/>
      <x:c r="Q679" s="43" t="str"/>
      <x:c r="R679" s="43" t="str">
        <x:v>Queued for contact research</x:v>
      </x:c>
      <x:c r="S679" s="43" t="str">
        <x:v>Not reviewed</x:v>
      </x:c>
      <x:c r="T679" s="43" t="str">
        <x:v>Hold</x:v>
      </x:c>
      <x:c r="U679" s="43" t="str">
        <x:v>No</x:v>
      </x:c>
      <x:c r="V679" s="44"/>
      <x:c r="W679" s="43" t="str"/>
      <x:c r="X679" s="43" t="str"/>
      <x:c r="Y679" s="43" t="str"/>
      <x:c r="Z679" s="43" t="str">
        <x:v>https://www.get-information-schools.service.gov.uk/Downloads</x:v>
      </x:c>
    </x:row>
    <x:row r="680">
      <x:c r="A680" s="43" t="str">
        <x:v>UK independent</x:v>
      </x:c>
      <x:c r="B680" s="43" t="str">
        <x:v>115796</x:v>
      </x:c>
      <x:c r="C680" s="43" t="n">
        <x:f>IF(K680="Boarding school",30,0)+IF(J680&gt;=18,20,0)+IF(I680&lt;=11,10,0)+IF(L680="Has a sixth form",15,0)+IF(M680&gt;=200,10,0)+IF(N680&lt;&gt;"",10,0)</x:f>
        <x:v>50</x:v>
      </x:c>
      <x:c r="D680" s="43" t="str">
        <x:f>IF(C680&gt;=85,"A",IF(C680&gt;=65,"B","C"))</x:f>
        <x:v>C</x:v>
      </x:c>
      <x:c r="E680" s="43" t="str">
        <x:v>Dean Close Preparatory School</x:v>
      </x:c>
      <x:c r="F680" s="43" t="str">
        <x:v>Cheltenham</x:v>
      </x:c>
      <x:c r="G680" s="43" t="str">
        <x:v>Gloucestershire</x:v>
      </x:c>
      <x:c r="H680" s="43" t="str">
        <x:v>GL51 6QS</x:v>
      </x:c>
      <x:c r="I680" s="43" t="n">
        <x:v>2</x:v>
      </x:c>
      <x:c r="J680" s="43" t="n">
        <x:v>14</x:v>
      </x:c>
      <x:c r="K680" s="43" t="str">
        <x:v>Boarding school</x:v>
      </x:c>
      <x:c r="L680" s="43" t="str">
        <x:v>Does not have a sixth form</x:v>
      </x:c>
      <x:c r="M680" s="43" t="n">
        <x:v>436</x:v>
      </x:c>
      <x:c r="N680" s="43" t="str"/>
      <x:c r="O680" s="43" t="str">
        <x:v>01242258000</x:v>
      </x:c>
      <x:c r="P680" s="43" t="str"/>
      <x:c r="Q680" s="43" t="str"/>
      <x:c r="R680" s="43" t="str">
        <x:v>Queued for contact research</x:v>
      </x:c>
      <x:c r="S680" s="43" t="str">
        <x:v>Not reviewed</x:v>
      </x:c>
      <x:c r="T680" s="43" t="str">
        <x:v>Hold</x:v>
      </x:c>
      <x:c r="U680" s="43" t="str">
        <x:v>No</x:v>
      </x:c>
      <x:c r="V680" s="44"/>
      <x:c r="W680" s="43" t="str"/>
      <x:c r="X680" s="43" t="str"/>
      <x:c r="Y680" s="43" t="str"/>
      <x:c r="Z680" s="43" t="str">
        <x:v>https://www.get-information-schools.service.gov.uk/Downloads</x:v>
      </x:c>
    </x:row>
    <x:row r="681">
      <x:c r="A681" s="43" t="str">
        <x:v>UK independent</x:v>
      </x:c>
      <x:c r="B681" s="43" t="str">
        <x:v>126151</x:v>
      </x:c>
      <x:c r="C681" s="43" t="n">
        <x:f>IF(K681="Boarding school",30,0)+IF(J681&gt;=18,20,0)+IF(I681&lt;=11,10,0)+IF(L681="Has a sixth form",15,0)+IF(M681&gt;=200,10,0)+IF(N681&lt;&gt;"",10,0)</x:f>
        <x:v>50</x:v>
      </x:c>
      <x:c r="D681" s="43" t="str">
        <x:f>IF(C681&gt;=85,"A",IF(C681&gt;=65,"B","C"))</x:f>
        <x:v>C</x:v>
      </x:c>
      <x:c r="E681" s="43" t="str">
        <x:v>Highfield and Brookham School</x:v>
      </x:c>
      <x:c r="F681" s="43" t="str"/>
      <x:c r="G681" s="43" t="str"/>
      <x:c r="H681" s="43" t="str">
        <x:v>GU30 7LQ</x:v>
      </x:c>
      <x:c r="I681" s="43" t="n">
        <x:v>2</x:v>
      </x:c>
      <x:c r="J681" s="43" t="n">
        <x:v>13</x:v>
      </x:c>
      <x:c r="K681" s="43" t="str">
        <x:v>Boarding school</x:v>
      </x:c>
      <x:c r="L681" s="43" t="str">
        <x:v>Does not have a sixth form</x:v>
      </x:c>
      <x:c r="M681" s="43" t="n">
        <x:v>415</x:v>
      </x:c>
      <x:c r="N681" s="43" t="str"/>
      <x:c r="O681" s="43" t="str">
        <x:v>01428728000</x:v>
      </x:c>
      <x:c r="P681" s="43" t="str"/>
      <x:c r="Q681" s="43" t="str"/>
      <x:c r="R681" s="43" t="str">
        <x:v>Queued for contact research</x:v>
      </x:c>
      <x:c r="S681" s="43" t="str">
        <x:v>Not reviewed</x:v>
      </x:c>
      <x:c r="T681" s="43" t="str">
        <x:v>Hold</x:v>
      </x:c>
      <x:c r="U681" s="43" t="str">
        <x:v>No</x:v>
      </x:c>
      <x:c r="V681" s="44"/>
      <x:c r="W681" s="43" t="str"/>
      <x:c r="X681" s="43" t="str"/>
      <x:c r="Y681" s="43" t="str"/>
      <x:c r="Z681" s="43" t="str">
        <x:v>https://www.get-information-schools.service.gov.uk/Downloads</x:v>
      </x:c>
    </x:row>
    <x:row r="682">
      <x:c r="A682" s="43" t="str">
        <x:v>UK independent</x:v>
      </x:c>
      <x:c r="B682" s="43" t="str">
        <x:v>123301</x:v>
      </x:c>
      <x:c r="C682" s="43" t="n">
        <x:f>IF(K682="Boarding school",30,0)+IF(J682&gt;=18,20,0)+IF(I682&lt;=11,10,0)+IF(L682="Has a sixth form",15,0)+IF(M682&gt;=200,10,0)+IF(N682&lt;&gt;"",10,0)</x:f>
        <x:v>50</x:v>
      </x:c>
      <x:c r="D682" s="43" t="str">
        <x:f>IF(C682&gt;=85,"A",IF(C682&gt;=65,"B","C"))</x:f>
        <x:v>C</x:v>
      </x:c>
      <x:c r="E682" s="43" t="str">
        <x:v>Pinewood School</x:v>
      </x:c>
      <x:c r="F682" s="43" t="str">
        <x:v>Swindon</x:v>
      </x:c>
      <x:c r="G682" s="43" t="str">
        <x:v>Wiltshire</x:v>
      </x:c>
      <x:c r="H682" s="43" t="str">
        <x:v>SN6 8HZ</x:v>
      </x:c>
      <x:c r="I682" s="43" t="n">
        <x:v>2</x:v>
      </x:c>
      <x:c r="J682" s="43" t="n">
        <x:v>13</x:v>
      </x:c>
      <x:c r="K682" s="43" t="str">
        <x:v>Boarding school</x:v>
      </x:c>
      <x:c r="L682" s="43" t="str">
        <x:v>Does not have a sixth form</x:v>
      </x:c>
      <x:c r="M682" s="43" t="n">
        <x:v>392</x:v>
      </x:c>
      <x:c r="N682" s="43" t="str"/>
      <x:c r="O682" s="43" t="str">
        <x:v>01793782205</x:v>
      </x:c>
      <x:c r="P682" s="43" t="str"/>
      <x:c r="Q682" s="43" t="str"/>
      <x:c r="R682" s="43" t="str">
        <x:v>Queued for contact research</x:v>
      </x:c>
      <x:c r="S682" s="43" t="str">
        <x:v>Not reviewed</x:v>
      </x:c>
      <x:c r="T682" s="43" t="str">
        <x:v>Hold</x:v>
      </x:c>
      <x:c r="U682" s="43" t="str">
        <x:v>No</x:v>
      </x:c>
      <x:c r="V682" s="44"/>
      <x:c r="W682" s="43" t="str"/>
      <x:c r="X682" s="43" t="str"/>
      <x:c r="Y682" s="43" t="str"/>
      <x:c r="Z682" s="43" t="str">
        <x:v>https://www.get-information-schools.service.gov.uk/Downloads</x:v>
      </x:c>
    </x:row>
    <x:row r="683">
      <x:c r="A683" s="43" t="str">
        <x:v>UK independent</x:v>
      </x:c>
      <x:c r="B683" s="43" t="str">
        <x:v>123934</x:v>
      </x:c>
      <x:c r="C683" s="43" t="n">
        <x:f>IF(K683="Boarding school",30,0)+IF(J683&gt;=18,20,0)+IF(I683&lt;=11,10,0)+IF(L683="Has a sixth form",15,0)+IF(M683&gt;=200,10,0)+IF(N683&lt;&gt;"",10,0)</x:f>
        <x:v>50</x:v>
      </x:c>
      <x:c r="D683" s="43" t="str">
        <x:f>IF(C683&gt;=85,"A",IF(C683&gt;=65,"B","C"))</x:f>
        <x:v>C</x:v>
      </x:c>
      <x:c r="E683" s="43" t="str">
        <x:v>King's College Prep</x:v>
      </x:c>
      <x:c r="F683" s="43" t="str">
        <x:v>Taunton</x:v>
      </x:c>
      <x:c r="G683" s="43" t="str">
        <x:v>Somerset</x:v>
      </x:c>
      <x:c r="H683" s="43" t="str">
        <x:v>TA2 8AA</x:v>
      </x:c>
      <x:c r="I683" s="43" t="n">
        <x:v>2</x:v>
      </x:c>
      <x:c r="J683" s="43" t="n">
        <x:v>13</x:v>
      </x:c>
      <x:c r="K683" s="43" t="str">
        <x:v>Boarding school</x:v>
      </x:c>
      <x:c r="L683" s="43" t="str">
        <x:v>Does not have a sixth form</x:v>
      </x:c>
      <x:c r="M683" s="43" t="n">
        <x:v>260</x:v>
      </x:c>
      <x:c r="N683" s="43" t="str"/>
      <x:c r="O683" s="43" t="str">
        <x:v>01823285920</x:v>
      </x:c>
      <x:c r="P683" s="43" t="str"/>
      <x:c r="Q683" s="43" t="str"/>
      <x:c r="R683" s="43" t="str">
        <x:v>Queued for contact research</x:v>
      </x:c>
      <x:c r="S683" s="43" t="str">
        <x:v>Not reviewed</x:v>
      </x:c>
      <x:c r="T683" s="43" t="str">
        <x:v>Hold</x:v>
      </x:c>
      <x:c r="U683" s="43" t="str">
        <x:v>No</x:v>
      </x:c>
      <x:c r="V683" s="44"/>
      <x:c r="W683" s="43" t="str"/>
      <x:c r="X683" s="43" t="str"/>
      <x:c r="Y683" s="43" t="str"/>
      <x:c r="Z683" s="43" t="str">
        <x:v>https://www.get-information-schools.service.gov.uk/Downloads</x:v>
      </x:c>
    </x:row>
    <x:row r="684">
      <x:c r="A684" s="43" t="str">
        <x:v>UK independent</x:v>
      </x:c>
      <x:c r="B684" s="43" t="str">
        <x:v>121738</x:v>
      </x:c>
      <x:c r="C684" s="43" t="n">
        <x:f>IF(K684="Boarding school",30,0)+IF(J684&gt;=18,20,0)+IF(I684&lt;=11,10,0)+IF(L684="Has a sixth form",15,0)+IF(M684&gt;=200,10,0)+IF(N684&lt;&gt;"",10,0)</x:f>
        <x:v>50</x:v>
      </x:c>
      <x:c r="D684" s="43" t="str">
        <x:f>IF(C684&gt;=85,"A",IF(C684&gt;=65,"B","C"))</x:f>
        <x:v>C</x:v>
      </x:c>
      <x:c r="E684" s="43" t="str">
        <x:v>Aysgarth School</x:v>
      </x:c>
      <x:c r="F684" s="43" t="str">
        <x:v>Bedale</x:v>
      </x:c>
      <x:c r="G684" s="43" t="str">
        <x:v>North Yorkshire</x:v>
      </x:c>
      <x:c r="H684" s="43" t="str">
        <x:v>DL8 1TF</x:v>
      </x:c>
      <x:c r="I684" s="43" t="n">
        <x:v>2</x:v>
      </x:c>
      <x:c r="J684" s="43" t="n">
        <x:v>14</x:v>
      </x:c>
      <x:c r="K684" s="43" t="str">
        <x:v>Boarding school</x:v>
      </x:c>
      <x:c r="L684" s="43" t="str">
        <x:v>Does not have a sixth form</x:v>
      </x:c>
      <x:c r="M684" s="43" t="n">
        <x:v>229</x:v>
      </x:c>
      <x:c r="N684" s="43" t="str"/>
      <x:c r="O684" s="43" t="str">
        <x:v>01677450240</x:v>
      </x:c>
      <x:c r="P684" s="43" t="str"/>
      <x:c r="Q684" s="43" t="str"/>
      <x:c r="R684" s="43" t="str">
        <x:v>Queued for contact research</x:v>
      </x:c>
      <x:c r="S684" s="43" t="str">
        <x:v>Not reviewed</x:v>
      </x:c>
      <x:c r="T684" s="43" t="str">
        <x:v>Hold</x:v>
      </x:c>
      <x:c r="U684" s="43" t="str">
        <x:v>No</x:v>
      </x:c>
      <x:c r="V684" s="44"/>
      <x:c r="W684" s="43" t="str"/>
      <x:c r="X684" s="43" t="str"/>
      <x:c r="Y684" s="43" t="str"/>
      <x:c r="Z684" s="43" t="str">
        <x:v>https://www.get-information-schools.service.gov.uk/Downloads</x:v>
      </x:c>
    </x:row>
    <x:row r="685">
      <x:c r="A685" s="43" t="str">
        <x:v>UK independent</x:v>
      </x:c>
      <x:c r="B685" s="43" t="str">
        <x:v>124873</x:v>
      </x:c>
      <x:c r="C685" s="43" t="n">
        <x:f>IF(K685="Boarding school",30,0)+IF(J685&gt;=18,20,0)+IF(I685&lt;=11,10,0)+IF(L685="Has a sixth form",15,0)+IF(M685&gt;=200,10,0)+IF(N685&lt;&gt;"",10,0)</x:f>
        <x:v>50</x:v>
      </x:c>
      <x:c r="D685" s="43" t="str">
        <x:f>IF(C685&gt;=85,"A",IF(C685&gt;=65,"B","C"))</x:f>
        <x:v>C</x:v>
      </x:c>
      <x:c r="E685" s="43" t="str">
        <x:v>Old Buckenham Hall School</x:v>
      </x:c>
      <x:c r="F685" s="43" t="str">
        <x:v>Ipswich</x:v>
      </x:c>
      <x:c r="G685" s="43" t="str">
        <x:v>Suffolk</x:v>
      </x:c>
      <x:c r="H685" s="43" t="str">
        <x:v>IP7 7PH</x:v>
      </x:c>
      <x:c r="I685" s="43" t="n">
        <x:v>2</x:v>
      </x:c>
      <x:c r="J685" s="43" t="n">
        <x:v>13</x:v>
      </x:c>
      <x:c r="K685" s="43" t="str">
        <x:v>Boarding school</x:v>
      </x:c>
      <x:c r="L685" s="43" t="str">
        <x:v>Does not have a sixth form</x:v>
      </x:c>
      <x:c r="M685" s="43" t="n">
        <x:v>199</x:v>
      </x:c>
      <x:c r="N685" s="43" t="str">
        <x:v>https://www.obh.co.uk</x:v>
      </x:c>
      <x:c r="O685" s="43" t="str">
        <x:v>01449740252</x:v>
      </x:c>
      <x:c r="P685" s="43" t="str"/>
      <x:c r="Q685" s="43" t="str"/>
      <x:c r="R685" s="43" t="str">
        <x:v>Queued for contact research</x:v>
      </x:c>
      <x:c r="S685" s="43" t="str">
        <x:v>Not reviewed</x:v>
      </x:c>
      <x:c r="T685" s="43" t="str">
        <x:v>Hold</x:v>
      </x:c>
      <x:c r="U685" s="43" t="str">
        <x:v>No</x:v>
      </x:c>
      <x:c r="V685" s="44"/>
      <x:c r="W685" s="43" t="str"/>
      <x:c r="X685" s="43" t="str"/>
      <x:c r="Y685" s="43" t="str"/>
      <x:c r="Z685" s="43" t="str">
        <x:v>https://www.get-information-schools.service.gov.uk/Downloads</x:v>
      </x:c>
    </x:row>
    <x:row r="686">
      <x:c r="A686" s="43" t="str">
        <x:v>UK independent</x:v>
      </x:c>
      <x:c r="B686" s="43" t="str">
        <x:v>116519</x:v>
      </x:c>
      <x:c r="C686" s="43" t="n">
        <x:f>IF(K686="Boarding school",30,0)+IF(J686&gt;=18,20,0)+IF(I686&lt;=11,10,0)+IF(L686="Has a sixth form",15,0)+IF(M686&gt;=200,10,0)+IF(N686&lt;&gt;"",10,0)</x:f>
        <x:v>50</x:v>
      </x:c>
      <x:c r="D686" s="43" t="str">
        <x:f>IF(C686&gt;=85,"A",IF(C686&gt;=65,"B","C"))</x:f>
        <x:v>C</x:v>
      </x:c>
      <x:c r="E686" s="43" t="str">
        <x:v>Forres Sandle Manor School</x:v>
      </x:c>
      <x:c r="F686" s="43" t="str">
        <x:v>Fordingbridge</x:v>
      </x:c>
      <x:c r="G686" s="43" t="str">
        <x:v>Hampshire</x:v>
      </x:c>
      <x:c r="H686" s="43" t="str">
        <x:v>SP6 1NS</x:v>
      </x:c>
      <x:c r="I686" s="43" t="n">
        <x:v>2</x:v>
      </x:c>
      <x:c r="J686" s="43" t="n">
        <x:v>16</x:v>
      </x:c>
      <x:c r="K686" s="43" t="str">
        <x:v>Boarding school</x:v>
      </x:c>
      <x:c r="L686" s="43" t="str">
        <x:v>Does not have a sixth form</x:v>
      </x:c>
      <x:c r="M686" s="43" t="n">
        <x:v>197</x:v>
      </x:c>
      <x:c r="N686" s="43" t="str">
        <x:v>https://www.fsmschool.com</x:v>
      </x:c>
      <x:c r="O686" s="43" t="str">
        <x:v>01425653181</x:v>
      </x:c>
      <x:c r="P686" s="43" t="str"/>
      <x:c r="Q686" s="43" t="str"/>
      <x:c r="R686" s="43" t="str">
        <x:v>Queued for contact research</x:v>
      </x:c>
      <x:c r="S686" s="43" t="str">
        <x:v>Not reviewed</x:v>
      </x:c>
      <x:c r="T686" s="43" t="str">
        <x:v>Hold</x:v>
      </x:c>
      <x:c r="U686" s="43" t="str">
        <x:v>No</x:v>
      </x:c>
      <x:c r="V686" s="44"/>
      <x:c r="W686" s="43" t="str"/>
      <x:c r="X686" s="43" t="str"/>
      <x:c r="Y686" s="43" t="str"/>
      <x:c r="Z686" s="43" t="str">
        <x:v>https://www.get-information-schools.service.gov.uk/Downloads</x:v>
      </x:c>
    </x:row>
    <x:row r="687">
      <x:c r="A687" s="43" t="str">
        <x:v>UK independent</x:v>
      </x:c>
      <x:c r="B687" s="43" t="str">
        <x:v>116551</x:v>
      </x:c>
      <x:c r="C687" s="43" t="n">
        <x:f>IF(K687="Boarding school",30,0)+IF(J687&gt;=18,20,0)+IF(I687&lt;=11,10,0)+IF(L687="Has a sixth form",15,0)+IF(M687&gt;=200,10,0)+IF(N687&lt;&gt;"",10,0)</x:f>
        <x:v>50</x:v>
      </x:c>
      <x:c r="D687" s="43" t="str">
        <x:f>IF(C687&gt;=85,"A",IF(C687&gt;=65,"B","C"))</x:f>
        <x:v>C</x:v>
      </x:c>
      <x:c r="E687" s="43" t="str">
        <x:v>West Hill Park School</x:v>
      </x:c>
      <x:c r="F687" s="43" t="str">
        <x:v>Fareham</x:v>
      </x:c>
      <x:c r="G687" s="43" t="str">
        <x:v>Hampshire</x:v>
      </x:c>
      <x:c r="H687" s="43" t="str">
        <x:v>PO14 4BS</x:v>
      </x:c>
      <x:c r="I687" s="43" t="n">
        <x:v>2</x:v>
      </x:c>
      <x:c r="J687" s="43" t="n">
        <x:v>13</x:v>
      </x:c>
      <x:c r="K687" s="43" t="str">
        <x:v>Boarding school</x:v>
      </x:c>
      <x:c r="L687" s="43" t="str">
        <x:v>Does not have a sixth form</x:v>
      </x:c>
      <x:c r="M687" s="43" t="n">
        <x:v>188</x:v>
      </x:c>
      <x:c r="N687" s="43" t="str">
        <x:v>https://www.westhillpark.com</x:v>
      </x:c>
      <x:c r="O687" s="43" t="str">
        <x:v>01329842356</x:v>
      </x:c>
      <x:c r="P687" s="43" t="str"/>
      <x:c r="Q687" s="43" t="str"/>
      <x:c r="R687" s="43" t="str">
        <x:v>Queued for contact research</x:v>
      </x:c>
      <x:c r="S687" s="43" t="str">
        <x:v>Not reviewed</x:v>
      </x:c>
      <x:c r="T687" s="43" t="str">
        <x:v>Hold</x:v>
      </x:c>
      <x:c r="U687" s="43" t="str">
        <x:v>No</x:v>
      </x:c>
      <x:c r="V687" s="44"/>
      <x:c r="W687" s="43" t="str"/>
      <x:c r="X687" s="43" t="str"/>
      <x:c r="Y687" s="43" t="str"/>
      <x:c r="Z687" s="43" t="str">
        <x:v>https://www.get-information-schools.service.gov.uk/Downloads</x:v>
      </x:c>
    </x:row>
    <x:row r="688">
      <x:c r="A688" s="43" t="str">
        <x:v>UK independent</x:v>
      </x:c>
      <x:c r="B688" s="43" t="str">
        <x:v>123605</x:v>
      </x:c>
      <x:c r="C688" s="43" t="n">
        <x:f>IF(K688="Boarding school",30,0)+IF(J688&gt;=18,20,0)+IF(I688&lt;=11,10,0)+IF(L688="Has a sixth form",15,0)+IF(M688&gt;=200,10,0)+IF(N688&lt;&gt;"",10,0)</x:f>
        <x:v>50</x:v>
      </x:c>
      <x:c r="D688" s="43" t="str">
        <x:f>IF(C688&gt;=85,"A",IF(C688&gt;=65,"B","C"))</x:f>
        <x:v>C</x:v>
      </x:c>
      <x:c r="E688" s="43" t="str">
        <x:v>Packwood Haugh School</x:v>
      </x:c>
      <x:c r="F688" s="43" t="str">
        <x:v>Shrewsbury</x:v>
      </x:c>
      <x:c r="G688" s="43" t="str">
        <x:v>Shropshire</x:v>
      </x:c>
      <x:c r="H688" s="43" t="str">
        <x:v>SY4 1HX</x:v>
      </x:c>
      <x:c r="I688" s="43" t="n">
        <x:v>4</x:v>
      </x:c>
      <x:c r="J688" s="43" t="n">
        <x:v>13</x:v>
      </x:c>
      <x:c r="K688" s="43" t="str">
        <x:v>Boarding school</x:v>
      </x:c>
      <x:c r="L688" s="43" t="str">
        <x:v>Does not have a sixth form</x:v>
      </x:c>
      <x:c r="M688" s="43" t="n">
        <x:v>185</x:v>
      </x:c>
      <x:c r="N688" s="43" t="str">
        <x:v>http://www.packwood-haugh.co.uk</x:v>
      </x:c>
      <x:c r="O688" s="43" t="str">
        <x:v>01939260217</x:v>
      </x:c>
      <x:c r="P688" s="43" t="str"/>
      <x:c r="Q688" s="43" t="str"/>
      <x:c r="R688" s="43" t="str">
        <x:v>Queued for contact research</x:v>
      </x:c>
      <x:c r="S688" s="43" t="str">
        <x:v>Not reviewed</x:v>
      </x:c>
      <x:c r="T688" s="43" t="str">
        <x:v>Hold</x:v>
      </x:c>
      <x:c r="U688" s="43" t="str">
        <x:v>No</x:v>
      </x:c>
      <x:c r="V688" s="44"/>
      <x:c r="W688" s="43" t="str"/>
      <x:c r="X688" s="43" t="str"/>
      <x:c r="Y688" s="43" t="str"/>
      <x:c r="Z688" s="43" t="str">
        <x:v>https://www.get-information-schools.service.gov.uk/Downloads</x:v>
      </x:c>
    </x:row>
    <x:row r="689">
      <x:c r="A689" s="43" t="str">
        <x:v>UK independent</x:v>
      </x:c>
      <x:c r="B689" s="43" t="str">
        <x:v>120732</x:v>
      </x:c>
      <x:c r="C689" s="43" t="n">
        <x:f>IF(K689="Boarding school",30,0)+IF(J689&gt;=18,20,0)+IF(I689&lt;=11,10,0)+IF(L689="Has a sixth form",15,0)+IF(M689&gt;=200,10,0)+IF(N689&lt;&gt;"",10,0)</x:f>
        <x:v>50</x:v>
      </x:c>
      <x:c r="D689" s="43" t="str">
        <x:f>IF(C689&gt;=85,"A",IF(C689&gt;=65,"B","C"))</x:f>
        <x:v>C</x:v>
      </x:c>
      <x:c r="E689" s="43" t="str">
        <x:v>St Hugh's School</x:v>
      </x:c>
      <x:c r="F689" s="43" t="str">
        <x:v>Woodhall Spa</x:v>
      </x:c>
      <x:c r="G689" s="43" t="str">
        <x:v>Lincolnshire</x:v>
      </x:c>
      <x:c r="H689" s="43" t="str">
        <x:v>LN10 6TQ</x:v>
      </x:c>
      <x:c r="I689" s="43" t="n">
        <x:v>2</x:v>
      </x:c>
      <x:c r="J689" s="43" t="n">
        <x:v>13</x:v>
      </x:c>
      <x:c r="K689" s="43" t="str">
        <x:v>Boarding school</x:v>
      </x:c>
      <x:c r="L689" s="43" t="str">
        <x:v>Does not have a sixth form</x:v>
      </x:c>
      <x:c r="M689" s="43" t="n">
        <x:v>180</x:v>
      </x:c>
      <x:c r="N689" s="43" t="str">
        <x:v>http://www.st-hughs.lincs.sch.uk/</x:v>
      </x:c>
      <x:c r="O689" s="43" t="str">
        <x:v>01526352169</x:v>
      </x:c>
      <x:c r="P689" s="43" t="str"/>
      <x:c r="Q689" s="43" t="str"/>
      <x:c r="R689" s="43" t="str">
        <x:v>Queued for contact research</x:v>
      </x:c>
      <x:c r="S689" s="43" t="str">
        <x:v>Not reviewed</x:v>
      </x:c>
      <x:c r="T689" s="43" t="str">
        <x:v>Hold</x:v>
      </x:c>
      <x:c r="U689" s="43" t="str">
        <x:v>No</x:v>
      </x:c>
      <x:c r="V689" s="44"/>
      <x:c r="W689" s="43" t="str"/>
      <x:c r="X689" s="43" t="str"/>
      <x:c r="Y689" s="43" t="str"/>
      <x:c r="Z689" s="43" t="str">
        <x:v>https://www.get-information-schools.service.gov.uk/Downloads</x:v>
      </x:c>
    </x:row>
    <x:row r="690">
      <x:c r="A690" s="43" t="str">
        <x:v>UK independent</x:v>
      </x:c>
      <x:c r="B690" s="43" t="str">
        <x:v>112445</x:v>
      </x:c>
      <x:c r="C690" s="43" t="n">
        <x:f>IF(K690="Boarding school",30,0)+IF(J690&gt;=18,20,0)+IF(I690&lt;=11,10,0)+IF(L690="Has a sixth form",15,0)+IF(M690&gt;=200,10,0)+IF(N690&lt;&gt;"",10,0)</x:f>
        <x:v>50</x:v>
      </x:c>
      <x:c r="D690" s="43" t="str">
        <x:f>IF(C690&gt;=85,"A",IF(C690&gt;=65,"B","C"))</x:f>
        <x:v>C</x:v>
      </x:c>
      <x:c r="E690" s="43" t="str">
        <x:v>Casterton, Sedbergh Preparatory School</x:v>
      </x:c>
      <x:c r="F690" s="43" t="str"/>
      <x:c r="G690" s="43" t="str">
        <x:v>Cumbria</x:v>
      </x:c>
      <x:c r="H690" s="43" t="str">
        <x:v>LA6 2SG</x:v>
      </x:c>
      <x:c r="I690" s="43" t="n">
        <x:v>2</x:v>
      </x:c>
      <x:c r="J690" s="43" t="n">
        <x:v>13</x:v>
      </x:c>
      <x:c r="K690" s="43" t="str">
        <x:v>Boarding school</x:v>
      </x:c>
      <x:c r="L690" s="43" t="str">
        <x:v>Does not have a sixth form</x:v>
      </x:c>
      <x:c r="M690" s="43" t="n">
        <x:v>178</x:v>
      </x:c>
      <x:c r="N690" s="43" t="str">
        <x:v>http://www.sedberghprep.org</x:v>
      </x:c>
      <x:c r="O690" s="43" t="str">
        <x:v>01524279200</x:v>
      </x:c>
      <x:c r="P690" s="43" t="str"/>
      <x:c r="Q690" s="43" t="str"/>
      <x:c r="R690" s="43" t="str">
        <x:v>Queued for contact research</x:v>
      </x:c>
      <x:c r="S690" s="43" t="str">
        <x:v>Not reviewed</x:v>
      </x:c>
      <x:c r="T690" s="43" t="str">
        <x:v>Hold</x:v>
      </x:c>
      <x:c r="U690" s="43" t="str">
        <x:v>No</x:v>
      </x:c>
      <x:c r="V690" s="44"/>
      <x:c r="W690" s="43" t="str"/>
      <x:c r="X690" s="43" t="str"/>
      <x:c r="Y690" s="43" t="str"/>
      <x:c r="Z690" s="43" t="str">
        <x:v>https://www.get-information-schools.service.gov.uk/Downloads</x:v>
      </x:c>
    </x:row>
    <x:row r="691">
      <x:c r="A691" s="43" t="str">
        <x:v>UK independent</x:v>
      </x:c>
      <x:c r="B691" s="43" t="str">
        <x:v>125404</x:v>
      </x:c>
      <x:c r="C691" s="43" t="n">
        <x:f>IF(K691="Boarding school",30,0)+IF(J691&gt;=18,20,0)+IF(I691&lt;=11,10,0)+IF(L691="Has a sixth form",15,0)+IF(M691&gt;=200,10,0)+IF(N691&lt;&gt;"",10,0)</x:f>
        <x:v>50</x:v>
      </x:c>
      <x:c r="D691" s="43" t="str">
        <x:f>IF(C691&gt;=85,"A",IF(C691&gt;=65,"B","C"))</x:f>
        <x:v>C</x:v>
      </x:c>
      <x:c r="E691" s="43" t="str">
        <x:v>St Johns Beaumont</x:v>
      </x:c>
      <x:c r="F691" s="43" t="str"/>
      <x:c r="G691" s="43" t="str"/>
      <x:c r="H691" s="43" t="str">
        <x:v>SL4 2JN</x:v>
      </x:c>
      <x:c r="I691" s="43" t="n">
        <x:v>3</x:v>
      </x:c>
      <x:c r="J691" s="43" t="n">
        <x:v>13</x:v>
      </x:c>
      <x:c r="K691" s="43" t="str">
        <x:v>Boarding school</x:v>
      </x:c>
      <x:c r="L691" s="43" t="str">
        <x:v>Does not have a sixth form</x:v>
      </x:c>
      <x:c r="M691" s="43" t="n">
        <x:v>178</x:v>
      </x:c>
      <x:c r="N691" s="43" t="str">
        <x:v>http://www.sjbwindsor.uk</x:v>
      </x:c>
      <x:c r="O691" s="43" t="str">
        <x:v>01784432428</x:v>
      </x:c>
      <x:c r="P691" s="43" t="str"/>
      <x:c r="Q691" s="43" t="str"/>
      <x:c r="R691" s="43" t="str">
        <x:v>Queued for contact research</x:v>
      </x:c>
      <x:c r="S691" s="43" t="str">
        <x:v>Not reviewed</x:v>
      </x:c>
      <x:c r="T691" s="43" t="str">
        <x:v>Hold</x:v>
      </x:c>
      <x:c r="U691" s="43" t="str">
        <x:v>No</x:v>
      </x:c>
      <x:c r="V691" s="44"/>
      <x:c r="W691" s="43" t="str"/>
      <x:c r="X691" s="43" t="str"/>
      <x:c r="Y691" s="43" t="str"/>
      <x:c r="Z691" s="43" t="str">
        <x:v>https://www.get-information-schools.service.gov.uk/Downloads</x:v>
      </x:c>
    </x:row>
    <x:row r="692">
      <x:c r="A692" s="43" t="str">
        <x:v>UK independent</x:v>
      </x:c>
      <x:c r="B692" s="43" t="str">
        <x:v>124866</x:v>
      </x:c>
      <x:c r="C692" s="43" t="n">
        <x:f>IF(K692="Boarding school",30,0)+IF(J692&gt;=18,20,0)+IF(I692&lt;=11,10,0)+IF(L692="Has a sixth form",15,0)+IF(M692&gt;=200,10,0)+IF(N692&lt;&gt;"",10,0)</x:f>
        <x:v>50</x:v>
      </x:c>
      <x:c r="D692" s="43" t="str">
        <x:f>IF(C692&gt;=85,"A",IF(C692&gt;=65,"B","C"))</x:f>
        <x:v>C</x:v>
      </x:c>
      <x:c r="E692" s="43" t="str">
        <x:v>Orwell Park School</x:v>
      </x:c>
      <x:c r="F692" s="43" t="str">
        <x:v>Ipswich</x:v>
      </x:c>
      <x:c r="G692" s="43" t="str">
        <x:v>Suffolk</x:v>
      </x:c>
      <x:c r="H692" s="43" t="str">
        <x:v>IP10 0ER</x:v>
      </x:c>
      <x:c r="I692" s="43" t="n">
        <x:v>2</x:v>
      </x:c>
      <x:c r="J692" s="43" t="n">
        <x:v>14</x:v>
      </x:c>
      <x:c r="K692" s="43" t="str">
        <x:v>Boarding school</x:v>
      </x:c>
      <x:c r="L692" s="43" t="str">
        <x:v>Does not have a sixth form</x:v>
      </x:c>
      <x:c r="M692" s="43" t="n">
        <x:v>167</x:v>
      </x:c>
      <x:c r="N692" s="43" t="str">
        <x:v>http://www.orwellpark.co.uk/</x:v>
      </x:c>
      <x:c r="O692" s="43" t="str">
        <x:v>01473659225</x:v>
      </x:c>
      <x:c r="P692" s="43" t="str"/>
      <x:c r="Q692" s="43" t="str"/>
      <x:c r="R692" s="43" t="str">
        <x:v>Queued for contact research</x:v>
      </x:c>
      <x:c r="S692" s="43" t="str">
        <x:v>Not reviewed</x:v>
      </x:c>
      <x:c r="T692" s="43" t="str">
        <x:v>Hold</x:v>
      </x:c>
      <x:c r="U692" s="43" t="str">
        <x:v>No</x:v>
      </x:c>
      <x:c r="V692" s="44"/>
      <x:c r="W692" s="43" t="str"/>
      <x:c r="X692" s="43" t="str"/>
      <x:c r="Y692" s="43" t="str"/>
      <x:c r="Z692" s="43" t="str">
        <x:v>https://www.get-information-schools.service.gov.uk/Downloads</x:v>
      </x:c>
    </x:row>
    <x:row r="693">
      <x:c r="A693" s="43" t="str">
        <x:v>UK independent</x:v>
      </x:c>
      <x:c r="B693" s="43" t="str">
        <x:v>117003</x:v>
      </x:c>
      <x:c r="C693" s="43" t="n">
        <x:f>IF(K693="Boarding school",30,0)+IF(J693&gt;=18,20,0)+IF(I693&lt;=11,10,0)+IF(L693="Has a sixth form",15,0)+IF(M693&gt;=200,10,0)+IF(N693&lt;&gt;"",10,0)</x:f>
        <x:v>50</x:v>
      </x:c>
      <x:c r="D693" s="43" t="str">
        <x:f>IF(C693&gt;=85,"A",IF(C693&gt;=65,"B","C"))</x:f>
        <x:v>C</x:v>
      </x:c>
      <x:c r="E693" s="43" t="str">
        <x:v>The Elms School</x:v>
      </x:c>
      <x:c r="F693" s="43" t="str">
        <x:v>Malvern</x:v>
      </x:c>
      <x:c r="G693" s="43" t="str">
        <x:v>Worcestershire</x:v>
      </x:c>
      <x:c r="H693" s="43" t="str">
        <x:v>WR13 6EF</x:v>
      </x:c>
      <x:c r="I693" s="43" t="n">
        <x:v>3</x:v>
      </x:c>
      <x:c r="J693" s="43" t="n">
        <x:v>13</x:v>
      </x:c>
      <x:c r="K693" s="43" t="str">
        <x:v>Boarding school</x:v>
      </x:c>
      <x:c r="L693" s="43" t="str">
        <x:v>Does not have a sixth form</x:v>
      </x:c>
      <x:c r="M693" s="43" t="n">
        <x:v>156</x:v>
      </x:c>
      <x:c r="N693" s="43" t="str">
        <x:v>https://www.elmsschool.co.uk</x:v>
      </x:c>
      <x:c r="O693" s="43" t="str">
        <x:v>01684540344</x:v>
      </x:c>
      <x:c r="P693" s="43" t="str"/>
      <x:c r="Q693" s="43" t="str"/>
      <x:c r="R693" s="43" t="str">
        <x:v>Queued for contact research</x:v>
      </x:c>
      <x:c r="S693" s="43" t="str">
        <x:v>Not reviewed</x:v>
      </x:c>
      <x:c r="T693" s="43" t="str">
        <x:v>Hold</x:v>
      </x:c>
      <x:c r="U693" s="43" t="str">
        <x:v>No</x:v>
      </x:c>
      <x:c r="V693" s="44"/>
      <x:c r="W693" s="43" t="str"/>
      <x:c r="X693" s="43" t="str"/>
      <x:c r="Y693" s="43" t="str"/>
      <x:c r="Z693" s="43" t="str">
        <x:v>https://www.get-information-schools.service.gov.uk/Downloads</x:v>
      </x:c>
    </x:row>
    <x:row r="694">
      <x:c r="A694" s="43" t="str">
        <x:v>UK independent</x:v>
      </x:c>
      <x:c r="B694" s="43" t="str">
        <x:v>123297</x:v>
      </x:c>
      <x:c r="C694" s="43" t="n">
        <x:f>IF(K694="Boarding school",30,0)+IF(J694&gt;=18,20,0)+IF(I694&lt;=11,10,0)+IF(L694="Has a sixth form",15,0)+IF(M694&gt;=200,10,0)+IF(N694&lt;&gt;"",10,0)</x:f>
        <x:v>50</x:v>
      </x:c>
      <x:c r="D694" s="43" t="str">
        <x:f>IF(C694&gt;=85,"A",IF(C694&gt;=65,"B","C"))</x:f>
        <x:v>C</x:v>
      </x:c>
      <x:c r="E694" s="43" t="str">
        <x:v>Cothill House</x:v>
      </x:c>
      <x:c r="F694" s="43" t="str">
        <x:v>Abingdon</x:v>
      </x:c>
      <x:c r="G694" s="43" t="str">
        <x:v>Oxfordshire</x:v>
      </x:c>
      <x:c r="H694" s="43" t="str">
        <x:v>OX13 6JL</x:v>
      </x:c>
      <x:c r="I694" s="43" t="n">
        <x:v>7</x:v>
      </x:c>
      <x:c r="J694" s="43" t="n">
        <x:v>14</x:v>
      </x:c>
      <x:c r="K694" s="43" t="str">
        <x:v>Boarding school</x:v>
      </x:c>
      <x:c r="L694" s="43" t="str">
        <x:v>Does not have a sixth form</x:v>
      </x:c>
      <x:c r="M694" s="43" t="n">
        <x:v>155</x:v>
      </x:c>
      <x:c r="N694" s="43" t="str">
        <x:v>https://www.cothillpst.org</x:v>
      </x:c>
      <x:c r="O694" s="43" t="str">
        <x:v>01865390800</x:v>
      </x:c>
      <x:c r="P694" s="43" t="str"/>
      <x:c r="Q694" s="43" t="str"/>
      <x:c r="R694" s="43" t="str">
        <x:v>Queued for contact research</x:v>
      </x:c>
      <x:c r="S694" s="43" t="str">
        <x:v>Not reviewed</x:v>
      </x:c>
      <x:c r="T694" s="43" t="str">
        <x:v>Hold</x:v>
      </x:c>
      <x:c r="U694" s="43" t="str">
        <x:v>No</x:v>
      </x:c>
      <x:c r="V694" s="44"/>
      <x:c r="W694" s="43" t="str"/>
      <x:c r="X694" s="43" t="str"/>
      <x:c r="Y694" s="43" t="str"/>
      <x:c r="Z694" s="43" t="str">
        <x:v>https://www.get-information-schools.service.gov.uk/Downloads</x:v>
      </x:c>
    </x:row>
    <x:row r="695">
      <x:c r="A695" s="43" t="str">
        <x:v>UK independent</x:v>
      </x:c>
      <x:c r="B695" s="43" t="str">
        <x:v>118941</x:v>
      </x:c>
      <x:c r="C695" s="43" t="n">
        <x:f>IF(K695="Boarding school",30,0)+IF(J695&gt;=18,20,0)+IF(I695&lt;=11,10,0)+IF(L695="Has a sixth form",15,0)+IF(M695&gt;=200,10,0)+IF(N695&lt;&gt;"",10,0)</x:f>
        <x:v>50</x:v>
      </x:c>
      <x:c r="D695" s="43" t="str">
        <x:f>IF(C695&gt;=85,"A",IF(C695&gt;=65,"B","C"))</x:f>
        <x:v>C</x:v>
      </x:c>
      <x:c r="E695" s="43" t="str">
        <x:v>Northbourne Park School</x:v>
      </x:c>
      <x:c r="F695" s="43" t="str">
        <x:v>DEAL</x:v>
      </x:c>
      <x:c r="G695" s="43" t="str">
        <x:v>Kent</x:v>
      </x:c>
      <x:c r="H695" s="43" t="str">
        <x:v>CT14 0NW</x:v>
      </x:c>
      <x:c r="I695" s="43" t="n">
        <x:v>2</x:v>
      </x:c>
      <x:c r="J695" s="43" t="n">
        <x:v>14</x:v>
      </x:c>
      <x:c r="K695" s="43" t="str">
        <x:v>Boarding school</x:v>
      </x:c>
      <x:c r="L695" s="43" t="str">
        <x:v>Does not have a sixth form</x:v>
      </x:c>
      <x:c r="M695" s="43" t="n">
        <x:v>154</x:v>
      </x:c>
      <x:c r="N695" s="43" t="str">
        <x:v>http://www.northbournepark.com</x:v>
      </x:c>
      <x:c r="O695" s="43" t="str">
        <x:v>01304611215</x:v>
      </x:c>
      <x:c r="P695" s="43" t="str"/>
      <x:c r="Q695" s="43" t="str"/>
      <x:c r="R695" s="43" t="str">
        <x:v>Queued for contact research</x:v>
      </x:c>
      <x:c r="S695" s="43" t="str">
        <x:v>Not reviewed</x:v>
      </x:c>
      <x:c r="T695" s="43" t="str">
        <x:v>Hold</x:v>
      </x:c>
      <x:c r="U695" s="43" t="str">
        <x:v>No</x:v>
      </x:c>
      <x:c r="V695" s="44"/>
      <x:c r="W695" s="43" t="str"/>
      <x:c r="X695" s="43" t="str"/>
      <x:c r="Y695" s="43" t="str"/>
      <x:c r="Z695" s="43" t="str">
        <x:v>https://www.get-information-schools.service.gov.uk/Downloads</x:v>
      </x:c>
    </x:row>
    <x:row r="696">
      <x:c r="A696" s="43" t="str">
        <x:v>UK independent</x:v>
      </x:c>
      <x:c r="B696" s="43" t="str">
        <x:v>117611</x:v>
      </x:c>
      <x:c r="C696" s="43" t="n">
        <x:f>IF(K696="Boarding school",30,0)+IF(J696&gt;=18,20,0)+IF(I696&lt;=11,10,0)+IF(L696="Has a sixth form",15,0)+IF(M696&gt;=200,10,0)+IF(N696&lt;&gt;"",10,0)</x:f>
        <x:v>50</x:v>
      </x:c>
      <x:c r="D696" s="43" t="str">
        <x:f>IF(C696&gt;=85,"A",IF(C696&gt;=65,"B","C"))</x:f>
        <x:v>C</x:v>
      </x:c>
      <x:c r="E696" s="43" t="str">
        <x:v>Lockers Park School</x:v>
      </x:c>
      <x:c r="F696" s="43" t="str">
        <x:v>Hemel Hempstead</x:v>
      </x:c>
      <x:c r="G696" s="43" t="str">
        <x:v>Hertfordshire</x:v>
      </x:c>
      <x:c r="H696" s="43" t="str">
        <x:v>HP1 1TL</x:v>
      </x:c>
      <x:c r="I696" s="43" t="n">
        <x:v>5</x:v>
      </x:c>
      <x:c r="J696" s="43" t="n">
        <x:v>14</x:v>
      </x:c>
      <x:c r="K696" s="43" t="str">
        <x:v>Boarding school</x:v>
      </x:c>
      <x:c r="L696" s="43" t="str">
        <x:v>Does not have a sixth form</x:v>
      </x:c>
      <x:c r="M696" s="43" t="n">
        <x:v>152</x:v>
      </x:c>
      <x:c r="N696" s="43" t="str">
        <x:v>https://www.lockerspark.co.uk</x:v>
      </x:c>
      <x:c r="O696" s="43" t="str">
        <x:v>01442251712</x:v>
      </x:c>
      <x:c r="P696" s="43" t="str"/>
      <x:c r="Q696" s="43" t="str"/>
      <x:c r="R696" s="43" t="str">
        <x:v>Queued for contact research</x:v>
      </x:c>
      <x:c r="S696" s="43" t="str">
        <x:v>Not reviewed</x:v>
      </x:c>
      <x:c r="T696" s="43" t="str">
        <x:v>Hold</x:v>
      </x:c>
      <x:c r="U696" s="43" t="str">
        <x:v>No</x:v>
      </x:c>
      <x:c r="V696" s="44"/>
      <x:c r="W696" s="43" t="str"/>
      <x:c r="X696" s="43" t="str"/>
      <x:c r="Y696" s="43" t="str"/>
      <x:c r="Z696" s="43" t="str">
        <x:v>https://www.get-information-schools.service.gov.uk/Downloads</x:v>
      </x:c>
    </x:row>
    <x:row r="697">
      <x:c r="A697" s="43" t="str">
        <x:v>UK independent</x:v>
      </x:c>
      <x:c r="B697" s="43" t="str">
        <x:v>121231</x:v>
      </x:c>
      <x:c r="C697" s="43" t="n">
        <x:f>IF(K697="Boarding school",30,0)+IF(J697&gt;=18,20,0)+IF(I697&lt;=11,10,0)+IF(L697="Has a sixth form",15,0)+IF(M697&gt;=200,10,0)+IF(N697&lt;&gt;"",10,0)</x:f>
        <x:v>50</x:v>
      </x:c>
      <x:c r="D697" s="43" t="str">
        <x:f>IF(C697&gt;=85,"A",IF(C697&gt;=65,"B","C"))</x:f>
        <x:v>C</x:v>
      </x:c>
      <x:c r="E697" s="43" t="str">
        <x:v>Beeston Hall School</x:v>
      </x:c>
      <x:c r="F697" s="43" t="str">
        <x:v>Cromer</x:v>
      </x:c>
      <x:c r="G697" s="43" t="str">
        <x:v>Norfolk</x:v>
      </x:c>
      <x:c r="H697" s="43" t="str">
        <x:v>NR27 9NQ</x:v>
      </x:c>
      <x:c r="I697" s="43" t="n">
        <x:v>2</x:v>
      </x:c>
      <x:c r="J697" s="43" t="n">
        <x:v>13</x:v>
      </x:c>
      <x:c r="K697" s="43" t="str">
        <x:v>Boarding school</x:v>
      </x:c>
      <x:c r="L697" s="43" t="str">
        <x:v>Not applicable</x:v>
      </x:c>
      <x:c r="M697" s="43" t="n">
        <x:v>135</x:v>
      </x:c>
      <x:c r="N697" s="43" t="str">
        <x:v>https://www.beestonhall.org.uk</x:v>
      </x:c>
      <x:c r="O697" s="43" t="str">
        <x:v>01263837324</x:v>
      </x:c>
      <x:c r="P697" s="43" t="str"/>
      <x:c r="Q697" s="43" t="str"/>
      <x:c r="R697" s="43" t="str">
        <x:v>Queued for contact research</x:v>
      </x:c>
      <x:c r="S697" s="43" t="str">
        <x:v>Not reviewed</x:v>
      </x:c>
      <x:c r="T697" s="43" t="str">
        <x:v>Hold</x:v>
      </x:c>
      <x:c r="U697" s="43" t="str">
        <x:v>No</x:v>
      </x:c>
      <x:c r="V697" s="44"/>
      <x:c r="W697" s="43" t="str"/>
      <x:c r="X697" s="43" t="str"/>
      <x:c r="Y697" s="43" t="str"/>
      <x:c r="Z697" s="43" t="str">
        <x:v>https://www.get-information-schools.service.gov.uk/Downloads</x:v>
      </x:c>
    </x:row>
    <x:row r="698">
      <x:c r="A698" s="43" t="str">
        <x:v>UK independent</x:v>
      </x:c>
      <x:c r="B698" s="43" t="str">
        <x:v>123908</x:v>
      </x:c>
      <x:c r="C698" s="43" t="n">
        <x:f>IF(K698="Boarding school",30,0)+IF(J698&gt;=18,20,0)+IF(I698&lt;=11,10,0)+IF(L698="Has a sixth form",15,0)+IF(M698&gt;=200,10,0)+IF(N698&lt;&gt;"",10,0)</x:f>
        <x:v>50</x:v>
      </x:c>
      <x:c r="D698" s="43" t="str">
        <x:f>IF(C698&gt;=85,"A",IF(C698&gt;=65,"B","C"))</x:f>
        <x:v>C</x:v>
      </x:c>
      <x:c r="E698" s="43" t="str">
        <x:v>Perrott Hill School Limited</x:v>
      </x:c>
      <x:c r="F698" s="43" t="str">
        <x:v>Crewkerne</x:v>
      </x:c>
      <x:c r="G698" s="43" t="str">
        <x:v>Somerset</x:v>
      </x:c>
      <x:c r="H698" s="43" t="str">
        <x:v>TA18 7SL</x:v>
      </x:c>
      <x:c r="I698" s="43" t="n">
        <x:v>2</x:v>
      </x:c>
      <x:c r="J698" s="43" t="n">
        <x:v>13</x:v>
      </x:c>
      <x:c r="K698" s="43" t="str">
        <x:v>Boarding school</x:v>
      </x:c>
      <x:c r="L698" s="43" t="str">
        <x:v>Does not have a sixth form</x:v>
      </x:c>
      <x:c r="M698" s="43" t="n">
        <x:v>134</x:v>
      </x:c>
      <x:c r="N698" s="43" t="str">
        <x:v>https://www.perrotthill.com</x:v>
      </x:c>
      <x:c r="O698" s="43" t="str">
        <x:v>0146072051</x:v>
      </x:c>
      <x:c r="P698" s="43" t="str"/>
      <x:c r="Q698" s="43" t="str"/>
      <x:c r="R698" s="43" t="str">
        <x:v>Queued for contact research</x:v>
      </x:c>
      <x:c r="S698" s="43" t="str">
        <x:v>Not reviewed</x:v>
      </x:c>
      <x:c r="T698" s="43" t="str">
        <x:v>Hold</x:v>
      </x:c>
      <x:c r="U698" s="43" t="str">
        <x:v>No</x:v>
      </x:c>
      <x:c r="V698" s="44"/>
      <x:c r="W698" s="43" t="str"/>
      <x:c r="X698" s="43" t="str"/>
      <x:c r="Y698" s="43" t="str"/>
      <x:c r="Z698" s="43" t="str">
        <x:v>https://www.get-information-schools.service.gov.uk/Downloads</x:v>
      </x:c>
    </x:row>
    <x:row r="699">
      <x:c r="A699" s="43" t="str">
        <x:v>UK independent</x:v>
      </x:c>
      <x:c r="B699" s="43" t="str">
        <x:v>118986</x:v>
      </x:c>
      <x:c r="C699" s="43" t="n">
        <x:f>IF(K699="Boarding school",30,0)+IF(J699&gt;=18,20,0)+IF(I699&lt;=11,10,0)+IF(L699="Has a sixth form",15,0)+IF(M699&gt;=200,10,0)+IF(N699&lt;&gt;"",10,0)</x:f>
        <x:v>50</x:v>
      </x:c>
      <x:c r="D699" s="43" t="str">
        <x:f>IF(C699&gt;=85,"A",IF(C699&gt;=65,"B","C"))</x:f>
        <x:v>C</x:v>
      </x:c>
      <x:c r="E699" s="43" t="str">
        <x:v>St Lawrence College Junior School</x:v>
      </x:c>
      <x:c r="F699" s="43" t="str">
        <x:v>Ramsgate</x:v>
      </x:c>
      <x:c r="G699" s="43" t="str">
        <x:v>Kent</x:v>
      </x:c>
      <x:c r="H699" s="43" t="str">
        <x:v>CT11 7AF</x:v>
      </x:c>
      <x:c r="I699" s="43" t="n">
        <x:v>2</x:v>
      </x:c>
      <x:c r="J699" s="43" t="n">
        <x:v>11</x:v>
      </x:c>
      <x:c r="K699" s="43" t="str">
        <x:v>Boarding school</x:v>
      </x:c>
      <x:c r="L699" s="43" t="str">
        <x:v>Does not have a sixth form</x:v>
      </x:c>
      <x:c r="M699" s="43" t="n">
        <x:v>130</x:v>
      </x:c>
      <x:c r="N699" s="43" t="str">
        <x:v>https://www.slcuk.com/</x:v>
      </x:c>
      <x:c r="O699" s="43" t="str">
        <x:v>01843572912</x:v>
      </x:c>
      <x:c r="P699" s="43" t="str"/>
      <x:c r="Q699" s="43" t="str"/>
      <x:c r="R699" s="43" t="str">
        <x:v>Queued for contact research</x:v>
      </x:c>
      <x:c r="S699" s="43" t="str">
        <x:v>Not reviewed</x:v>
      </x:c>
      <x:c r="T699" s="43" t="str">
        <x:v>Hold</x:v>
      </x:c>
      <x:c r="U699" s="43" t="str">
        <x:v>No</x:v>
      </x:c>
      <x:c r="V699" s="44"/>
      <x:c r="W699" s="43" t="str"/>
      <x:c r="X699" s="43" t="str"/>
      <x:c r="Y699" s="43" t="str"/>
      <x:c r="Z699" s="43" t="str">
        <x:v>https://www.get-information-schools.service.gov.uk/Downloads</x:v>
      </x:c>
    </x:row>
    <x:row r="700">
      <x:c r="A700" s="43" t="str">
        <x:v>UK independent</x:v>
      </x:c>
      <x:c r="B700" s="43" t="str">
        <x:v>123287</x:v>
      </x:c>
      <x:c r="C700" s="43" t="n">
        <x:f>IF(K700="Boarding school",30,0)+IF(J700&gt;=18,20,0)+IF(I700&lt;=11,10,0)+IF(L700="Has a sixth form",15,0)+IF(M700&gt;=200,10,0)+IF(N700&lt;&gt;"",10,0)</x:f>
        <x:v>50</x:v>
      </x:c>
      <x:c r="D700" s="43" t="str">
        <x:f>IF(C700&gt;=85,"A",IF(C700&gt;=65,"B","C"))</x:f>
        <x:v>C</x:v>
      </x:c>
      <x:c r="E700" s="43" t="str">
        <x:v>Christ Church Cathedral School</x:v>
      </x:c>
      <x:c r="F700" s="43" t="str">
        <x:v>Oxford</x:v>
      </x:c>
      <x:c r="G700" s="43" t="str">
        <x:v>Oxfordshire</x:v>
      </x:c>
      <x:c r="H700" s="43" t="str">
        <x:v>OX1 1QW</x:v>
      </x:c>
      <x:c r="I700" s="43" t="n">
        <x:v>2</x:v>
      </x:c>
      <x:c r="J700" s="43" t="n">
        <x:v>13</x:v>
      </x:c>
      <x:c r="K700" s="43" t="str">
        <x:v>Boarding school</x:v>
      </x:c>
      <x:c r="L700" s="43" t="str">
        <x:v>Does not have a sixth form</x:v>
      </x:c>
      <x:c r="M700" s="43" t="n">
        <x:v>128</x:v>
      </x:c>
      <x:c r="N700" s="43" t="str">
        <x:v>https://www.cccs.org.uk</x:v>
      </x:c>
      <x:c r="O700" s="43" t="str">
        <x:v>01865242561</x:v>
      </x:c>
      <x:c r="P700" s="43" t="str"/>
      <x:c r="Q700" s="43" t="str"/>
      <x:c r="R700" s="43" t="str">
        <x:v>Queued for contact research</x:v>
      </x:c>
      <x:c r="S700" s="43" t="str">
        <x:v>Not reviewed</x:v>
      </x:c>
      <x:c r="T700" s="43" t="str">
        <x:v>Hold</x:v>
      </x:c>
      <x:c r="U700" s="43" t="str">
        <x:v>No</x:v>
      </x:c>
      <x:c r="V700" s="44"/>
      <x:c r="W700" s="43" t="str"/>
      <x:c r="X700" s="43" t="str"/>
      <x:c r="Y700" s="43" t="str"/>
      <x:c r="Z700" s="43" t="str">
        <x:v>https://www.get-information-schools.service.gov.uk/Downloads</x:v>
      </x:c>
    </x:row>
    <x:row r="701">
      <x:c r="A701" s="43" t="str">
        <x:v>UK independent</x:v>
      </x:c>
      <x:c r="B701" s="43" t="str">
        <x:v>126109</x:v>
      </x:c>
      <x:c r="C701" s="43" t="n">
        <x:f>IF(K701="Boarding school",30,0)+IF(J701&gt;=18,20,0)+IF(I701&lt;=11,10,0)+IF(L701="Has a sixth form",15,0)+IF(M701&gt;=200,10,0)+IF(N701&lt;&gt;"",10,0)</x:f>
        <x:v>50</x:v>
      </x:c>
      <x:c r="D701" s="43" t="str">
        <x:f>IF(C701&gt;=85,"A",IF(C701&gt;=65,"B","C"))</x:f>
        <x:v>C</x:v>
      </x:c>
      <x:c r="E701" s="43" t="str">
        <x:v>Dorset House School</x:v>
      </x:c>
      <x:c r="F701" s="43" t="str">
        <x:v>Pulborough</x:v>
      </x:c>
      <x:c r="G701" s="43" t="str">
        <x:v>West Sussex</x:v>
      </x:c>
      <x:c r="H701" s="43" t="str">
        <x:v>RH20 1PB</x:v>
      </x:c>
      <x:c r="I701" s="43" t="n">
        <x:v>4</x:v>
      </x:c>
      <x:c r="J701" s="43" t="n">
        <x:v>13</x:v>
      </x:c>
      <x:c r="K701" s="43" t="str">
        <x:v>Boarding school</x:v>
      </x:c>
      <x:c r="L701" s="43" t="str">
        <x:v>Does not have a sixth form</x:v>
      </x:c>
      <x:c r="M701" s="43" t="n">
        <x:v>126</x:v>
      </x:c>
      <x:c r="N701" s="43" t="str">
        <x:v>https://www.dorsethouseschool.com</x:v>
      </x:c>
      <x:c r="O701" s="43" t="str">
        <x:v>01798831456</x:v>
      </x:c>
      <x:c r="P701" s="43" t="str"/>
      <x:c r="Q701" s="43" t="str"/>
      <x:c r="R701" s="43" t="str">
        <x:v>Queued for contact research</x:v>
      </x:c>
      <x:c r="S701" s="43" t="str">
        <x:v>Not reviewed</x:v>
      </x:c>
      <x:c r="T701" s="43" t="str">
        <x:v>Hold</x:v>
      </x:c>
      <x:c r="U701" s="43" t="str">
        <x:v>No</x:v>
      </x:c>
      <x:c r="V701" s="44"/>
      <x:c r="W701" s="43" t="str"/>
      <x:c r="X701" s="43" t="str"/>
      <x:c r="Y701" s="43" t="str"/>
      <x:c r="Z701" s="43" t="str">
        <x:v>https://www.get-information-schools.service.gov.uk/Downloads</x:v>
      </x:c>
    </x:row>
    <x:row r="702">
      <x:c r="A702" s="43" t="str">
        <x:v>UK independent</x:v>
      </x:c>
      <x:c r="B702" s="43" t="str">
        <x:v>126122</x:v>
      </x:c>
      <x:c r="C702" s="43" t="n">
        <x:f>IF(K702="Boarding school",30,0)+IF(J702&gt;=18,20,0)+IF(I702&lt;=11,10,0)+IF(L702="Has a sixth form",15,0)+IF(M702&gt;=200,10,0)+IF(N702&lt;&gt;"",10,0)</x:f>
        <x:v>50</x:v>
      </x:c>
      <x:c r="D702" s="43" t="str">
        <x:f>IF(C702&gt;=85,"A",IF(C702&gt;=65,"B","C"))</x:f>
        <x:v>C</x:v>
      </x:c>
      <x:c r="E702" s="43" t="str">
        <x:v>The Prebendal School</x:v>
      </x:c>
      <x:c r="F702" s="43" t="str">
        <x:v>Chichester</x:v>
      </x:c>
      <x:c r="G702" s="43" t="str">
        <x:v>West Sussex</x:v>
      </x:c>
      <x:c r="H702" s="43" t="str">
        <x:v>PO19 1RT</x:v>
      </x:c>
      <x:c r="I702" s="43" t="n">
        <x:v>2</x:v>
      </x:c>
      <x:c r="J702" s="43" t="n">
        <x:v>14</x:v>
      </x:c>
      <x:c r="K702" s="43" t="str">
        <x:v>Boarding school</x:v>
      </x:c>
      <x:c r="L702" s="43" t="str">
        <x:v>Does not have a sixth form</x:v>
      </x:c>
      <x:c r="M702" s="43" t="n">
        <x:v>119</x:v>
      </x:c>
      <x:c r="N702" s="43" t="str">
        <x:v>https://www.prebendalschool.org.uk</x:v>
      </x:c>
      <x:c r="O702" s="43" t="str">
        <x:v>01243772220</x:v>
      </x:c>
      <x:c r="P702" s="43" t="str"/>
      <x:c r="Q702" s="43" t="str"/>
      <x:c r="R702" s="43" t="str">
        <x:v>Queued for contact research</x:v>
      </x:c>
      <x:c r="S702" s="43" t="str">
        <x:v>Not reviewed</x:v>
      </x:c>
      <x:c r="T702" s="43" t="str">
        <x:v>Hold</x:v>
      </x:c>
      <x:c r="U702" s="43" t="str">
        <x:v>No</x:v>
      </x:c>
      <x:c r="V702" s="44"/>
      <x:c r="W702" s="43" t="str"/>
      <x:c r="X702" s="43" t="str"/>
      <x:c r="Y702" s="43" t="str"/>
      <x:c r="Z702" s="43" t="str">
        <x:v>https://www.get-information-schools.service.gov.uk/Downloads</x:v>
      </x:c>
    </x:row>
    <x:row r="703">
      <x:c r="A703" s="43" t="str">
        <x:v>UK independent</x:v>
      </x:c>
      <x:c r="B703" s="43" t="str">
        <x:v>124477</x:v>
      </x:c>
      <x:c r="C703" s="43" t="n">
        <x:f>IF(K703="Boarding school",30,0)+IF(J703&gt;=18,20,0)+IF(I703&lt;=11,10,0)+IF(L703="Has a sixth form",15,0)+IF(M703&gt;=200,10,0)+IF(N703&lt;&gt;"",10,0)</x:f>
        <x:v>50</x:v>
      </x:c>
      <x:c r="D703" s="43" t="str">
        <x:f>IF(C703&gt;=85,"A",IF(C703&gt;=65,"B","C"))</x:f>
        <x:v>C</x:v>
      </x:c>
      <x:c r="E703" s="43" t="str">
        <x:v>The Yarlet School</x:v>
      </x:c>
      <x:c r="F703" s="43" t="str">
        <x:v>Stafford</x:v>
      </x:c>
      <x:c r="G703" s="43" t="str">
        <x:v>Staffordshire</x:v>
      </x:c>
      <x:c r="H703" s="43" t="str">
        <x:v>ST18 9SU</x:v>
      </x:c>
      <x:c r="I703" s="43" t="n">
        <x:v>4</x:v>
      </x:c>
      <x:c r="J703" s="43" t="n">
        <x:v>14</x:v>
      </x:c>
      <x:c r="K703" s="43" t="str">
        <x:v>Boarding school</x:v>
      </x:c>
      <x:c r="L703" s="43" t="str">
        <x:v>Does not have a sixth form</x:v>
      </x:c>
      <x:c r="M703" s="43" t="n">
        <x:v>119</x:v>
      </x:c>
      <x:c r="N703" s="43" t="str">
        <x:v>https://www.yarletschool.uk</x:v>
      </x:c>
      <x:c r="O703" s="43" t="str">
        <x:v>01785286568</x:v>
      </x:c>
      <x:c r="P703" s="43" t="str"/>
      <x:c r="Q703" s="43" t="str"/>
      <x:c r="R703" s="43" t="str">
        <x:v>Queued for contact research</x:v>
      </x:c>
      <x:c r="S703" s="43" t="str">
        <x:v>Not reviewed</x:v>
      </x:c>
      <x:c r="T703" s="43" t="str">
        <x:v>Hold</x:v>
      </x:c>
      <x:c r="U703" s="43" t="str">
        <x:v>No</x:v>
      </x:c>
      <x:c r="V703" s="44"/>
      <x:c r="W703" s="43" t="str"/>
      <x:c r="X703" s="43" t="str"/>
      <x:c r="Y703" s="43" t="str"/>
      <x:c r="Z703" s="43" t="str">
        <x:v>https://www.get-information-schools.service.gov.uk/Downloads</x:v>
      </x:c>
    </x:row>
    <x:row r="704">
      <x:c r="A704" s="43" t="str">
        <x:v>UK independent</x:v>
      </x:c>
      <x:c r="B704" s="43" t="str">
        <x:v>121223</x:v>
      </x:c>
      <x:c r="C704" s="43" t="n">
        <x:f>IF(K704="Boarding school",30,0)+IF(J704&gt;=18,20,0)+IF(I704&lt;=11,10,0)+IF(L704="Has a sixth form",15,0)+IF(M704&gt;=200,10,0)+IF(N704&lt;&gt;"",10,0)</x:f>
        <x:v>50</x:v>
      </x:c>
      <x:c r="D704" s="43" t="str">
        <x:f>IF(C704&gt;=85,"A",IF(C704&gt;=65,"B","C"))</x:f>
        <x:v>C</x:v>
      </x:c>
      <x:c r="E704" s="43" t="str">
        <x:v>Glebe House School</x:v>
      </x:c>
      <x:c r="F704" s="43" t="str">
        <x:v>Hunstanton</x:v>
      </x:c>
      <x:c r="G704" s="43" t="str">
        <x:v>Norfolk</x:v>
      </x:c>
      <x:c r="H704" s="43" t="str">
        <x:v>PE36 6HW</x:v>
      </x:c>
      <x:c r="I704" s="43" t="n">
        <x:v>4</x:v>
      </x:c>
      <x:c r="J704" s="43" t="n">
        <x:v>13</x:v>
      </x:c>
      <x:c r="K704" s="43" t="str">
        <x:v>Boarding school</x:v>
      </x:c>
      <x:c r="L704" s="43" t="str">
        <x:v>Does not have a sixth form</x:v>
      </x:c>
      <x:c r="M704" s="43" t="n">
        <x:v>117</x:v>
      </x:c>
      <x:c r="N704" s="43" t="str">
        <x:v>https://glebehouseschool.co.uk/</x:v>
      </x:c>
      <x:c r="O704" s="43" t="str">
        <x:v>01485532809</x:v>
      </x:c>
      <x:c r="P704" s="43" t="str"/>
      <x:c r="Q704" s="43" t="str"/>
      <x:c r="R704" s="43" t="str">
        <x:v>Queued for contact research</x:v>
      </x:c>
      <x:c r="S704" s="43" t="str">
        <x:v>Not reviewed</x:v>
      </x:c>
      <x:c r="T704" s="43" t="str">
        <x:v>Hold</x:v>
      </x:c>
      <x:c r="U704" s="43" t="str">
        <x:v>No</x:v>
      </x:c>
      <x:c r="V704" s="44"/>
      <x:c r="W704" s="43" t="str"/>
      <x:c r="X704" s="43" t="str"/>
      <x:c r="Y704" s="43" t="str"/>
      <x:c r="Z704" s="43" t="str">
        <x:v>https://www.get-information-schools.service.gov.uk/Downloads</x:v>
      </x:c>
    </x:row>
    <x:row r="705">
      <x:c r="A705" s="43" t="str">
        <x:v>UK independent</x:v>
      </x:c>
      <x:c r="B705" s="43" t="str">
        <x:v>115785</x:v>
      </x:c>
      <x:c r="C705" s="43" t="n">
        <x:f>IF(K705="Boarding school",30,0)+IF(J705&gt;=18,20,0)+IF(I705&lt;=11,10,0)+IF(L705="Has a sixth form",15,0)+IF(M705&gt;=200,10,0)+IF(N705&lt;&gt;"",10,0)</x:f>
        <x:v>50</x:v>
      </x:c>
      <x:c r="D705" s="43" t="str">
        <x:f>IF(C705&gt;=85,"A",IF(C705&gt;=65,"B","C"))</x:f>
        <x:v>C</x:v>
      </x:c>
      <x:c r="E705" s="43" t="str">
        <x:v>Dean Close St John's</x:v>
      </x:c>
      <x:c r="F705" s="43" t="str">
        <x:v>Chepstow</x:v>
      </x:c>
      <x:c r="G705" s="43" t="str"/>
      <x:c r="H705" s="43" t="str">
        <x:v>NP16 7LE</x:v>
      </x:c>
      <x:c r="I705" s="43" t="n">
        <x:v>0</x:v>
      </x:c>
      <x:c r="J705" s="43" t="n">
        <x:v>14</x:v>
      </x:c>
      <x:c r="K705" s="43" t="str">
        <x:v>Boarding school</x:v>
      </x:c>
      <x:c r="L705" s="43" t="str">
        <x:v>Does not have a sixth form</x:v>
      </x:c>
      <x:c r="M705" s="43" t="n">
        <x:v>114</x:v>
      </x:c>
      <x:c r="N705" s="43" t="str">
        <x:v>https://www.deanclosestjohns.org.uk</x:v>
      </x:c>
      <x:c r="O705" s="43" t="str">
        <x:v>01291622045</x:v>
      </x:c>
      <x:c r="P705" s="43" t="str"/>
      <x:c r="Q705" s="43" t="str"/>
      <x:c r="R705" s="43" t="str">
        <x:v>Queued for contact research</x:v>
      </x:c>
      <x:c r="S705" s="43" t="str">
        <x:v>Not reviewed</x:v>
      </x:c>
      <x:c r="T705" s="43" t="str">
        <x:v>Hold</x:v>
      </x:c>
      <x:c r="U705" s="43" t="str">
        <x:v>No</x:v>
      </x:c>
      <x:c r="V705" s="44"/>
      <x:c r="W705" s="43" t="str"/>
      <x:c r="X705" s="43" t="str"/>
      <x:c r="Y705" s="43" t="str"/>
      <x:c r="Z705" s="43" t="str">
        <x:v>https://www.get-information-schools.service.gov.uk/Downloads</x:v>
      </x:c>
    </x:row>
    <x:row r="706">
      <x:c r="A706" s="43" t="str">
        <x:v>UK independent</x:v>
      </x:c>
      <x:c r="B706" s="43" t="str">
        <x:v>113002</x:v>
      </x:c>
      <x:c r="C706" s="43" t="n">
        <x:f>IF(K706="Boarding school",30,0)+IF(J706&gt;=18,20,0)+IF(I706&lt;=11,10,0)+IF(L706="Has a sixth form",15,0)+IF(M706&gt;=200,10,0)+IF(N706&lt;&gt;"",10,0)</x:f>
        <x:v>50</x:v>
      </x:c>
      <x:c r="D706" s="43" t="str">
        <x:f>IF(C706&gt;=85,"A",IF(C706&gt;=65,"B","C"))</x:f>
        <x:v>C</x:v>
      </x:c>
      <x:c r="E706" s="43" t="str">
        <x:v>St Anselm's School</x:v>
      </x:c>
      <x:c r="F706" s="43" t="str">
        <x:v>Bakewell</x:v>
      </x:c>
      <x:c r="G706" s="43" t="str">
        <x:v>Derbyshire</x:v>
      </x:c>
      <x:c r="H706" s="43" t="str">
        <x:v>DE45 1DP</x:v>
      </x:c>
      <x:c r="I706" s="43" t="n">
        <x:v>0</x:v>
      </x:c>
      <x:c r="J706" s="43" t="n">
        <x:v>13</x:v>
      </x:c>
      <x:c r="K706" s="43" t="str">
        <x:v>Boarding school</x:v>
      </x:c>
      <x:c r="L706" s="43" t="str">
        <x:v>Does not have a sixth form</x:v>
      </x:c>
      <x:c r="M706" s="43" t="n">
        <x:v>98</x:v>
      </x:c>
      <x:c r="N706" s="43" t="str">
        <x:v>https://www.sanselms.co.uk</x:v>
      </x:c>
      <x:c r="O706" s="43" t="str">
        <x:v>01629343434</x:v>
      </x:c>
      <x:c r="P706" s="43" t="str"/>
      <x:c r="Q706" s="43" t="str"/>
      <x:c r="R706" s="43" t="str">
        <x:v>Queued for contact research</x:v>
      </x:c>
      <x:c r="S706" s="43" t="str">
        <x:v>Not reviewed</x:v>
      </x:c>
      <x:c r="T706" s="43" t="str">
        <x:v>Hold</x:v>
      </x:c>
      <x:c r="U706" s="43" t="str">
        <x:v>No</x:v>
      </x:c>
      <x:c r="V706" s="44"/>
      <x:c r="W706" s="43" t="str"/>
      <x:c r="X706" s="43" t="str"/>
      <x:c r="Y706" s="43" t="str"/>
      <x:c r="Z706" s="43" t="str">
        <x:v>https://www.get-information-schools.service.gov.uk/Downloads</x:v>
      </x:c>
    </x:row>
    <x:row r="707">
      <x:c r="A707" s="43" t="str">
        <x:v>UK independent</x:v>
      </x:c>
      <x:c r="B707" s="43" t="str">
        <x:v>110134</x:v>
      </x:c>
      <x:c r="C707" s="43" t="n">
        <x:f>IF(K707="Boarding school",30,0)+IF(J707&gt;=18,20,0)+IF(I707&lt;=11,10,0)+IF(L707="Has a sixth form",15,0)+IF(M707&gt;=200,10,0)+IF(N707&lt;&gt;"",10,0)</x:f>
        <x:v>50</x:v>
      </x:c>
      <x:c r="D707" s="43" t="str">
        <x:f>IF(C707&gt;=85,"A",IF(C707&gt;=65,"B","C"))</x:f>
        <x:v>C</x:v>
      </x:c>
      <x:c r="E707" s="43" t="str">
        <x:v>Sunningdale School</x:v>
      </x:c>
      <x:c r="F707" s="43" t="str">
        <x:v>Ascot</x:v>
      </x:c>
      <x:c r="G707" s="43" t="str">
        <x:v>Berkshire</x:v>
      </x:c>
      <x:c r="H707" s="43" t="str">
        <x:v>SL5 9PZ</x:v>
      </x:c>
      <x:c r="I707" s="43" t="n">
        <x:v>7</x:v>
      </x:c>
      <x:c r="J707" s="43" t="n">
        <x:v>14</x:v>
      </x:c>
      <x:c r="K707" s="43" t="str">
        <x:v>Boarding school</x:v>
      </x:c>
      <x:c r="L707" s="43" t="str">
        <x:v>Does not have a sixth form</x:v>
      </x:c>
      <x:c r="M707" s="43" t="n">
        <x:v>98</x:v>
      </x:c>
      <x:c r="N707" s="43" t="str">
        <x:v>https://www.sunningdaleschool.co.uk</x:v>
      </x:c>
      <x:c r="O707" s="43" t="str">
        <x:v>01344620159</x:v>
      </x:c>
      <x:c r="P707" s="43" t="str"/>
      <x:c r="Q707" s="43" t="str"/>
      <x:c r="R707" s="43" t="str">
        <x:v>Queued for contact research</x:v>
      </x:c>
      <x:c r="S707" s="43" t="str">
        <x:v>Not reviewed</x:v>
      </x:c>
      <x:c r="T707" s="43" t="str">
        <x:v>Hold</x:v>
      </x:c>
      <x:c r="U707" s="43" t="str">
        <x:v>No</x:v>
      </x:c>
      <x:c r="V707" s="44"/>
      <x:c r="W707" s="43" t="str"/>
      <x:c r="X707" s="43" t="str"/>
      <x:c r="Y707" s="43" t="str"/>
      <x:c r="Z707" s="43" t="str">
        <x:v>https://www.get-information-schools.service.gov.uk/Downloads</x:v>
      </x:c>
    </x:row>
    <x:row r="708">
      <x:c r="A708" s="43" t="str">
        <x:v>UK independent</x:v>
      </x:c>
      <x:c r="B708" s="43" t="str">
        <x:v>135792</x:v>
      </x:c>
      <x:c r="C708" s="43" t="n">
        <x:f>IF(K708="Boarding school",30,0)+IF(J708&gt;=18,20,0)+IF(I708&lt;=11,10,0)+IF(L708="Has a sixth form",15,0)+IF(M708&gt;=200,10,0)+IF(N708&lt;&gt;"",10,0)</x:f>
        <x:v>50</x:v>
      </x:c>
      <x:c r="D708" s="43" t="str">
        <x:f>IF(C708&gt;=85,"A",IF(C708&gt;=65,"B","C"))</x:f>
        <x:v>C</x:v>
      </x:c>
      <x:c r="E708" s="43" t="str">
        <x:v>The British Muslim School</x:v>
      </x:c>
      <x:c r="F708" s="43" t="str">
        <x:v>West Midlands</x:v>
      </x:c>
      <x:c r="G708" s="43" t="str">
        <x:v>West Midlands</x:v>
      </x:c>
      <x:c r="H708" s="43" t="str">
        <x:v>B70 8NX</x:v>
      </x:c>
      <x:c r="I708" s="43" t="n">
        <x:v>11</x:v>
      </x:c>
      <x:c r="J708" s="43" t="n">
        <x:v>16</x:v>
      </x:c>
      <x:c r="K708" s="43" t="str">
        <x:v>Boarding school</x:v>
      </x:c>
      <x:c r="L708" s="43" t="str">
        <x:v>Does not have a sixth form</x:v>
      </x:c>
      <x:c r="M708" s="43" t="n">
        <x:v>74</x:v>
      </x:c>
      <x:c r="N708" s="43" t="str">
        <x:v>https://www.thebritishmuslimschool.co.uk</x:v>
      </x:c>
      <x:c r="O708" s="43" t="str">
        <x:v>01215162264</x:v>
      </x:c>
      <x:c r="P708" s="43" t="str"/>
      <x:c r="Q708" s="43" t="str"/>
      <x:c r="R708" s="43" t="str">
        <x:v>Queued for contact research</x:v>
      </x:c>
      <x:c r="S708" s="43" t="str">
        <x:v>Not reviewed</x:v>
      </x:c>
      <x:c r="T708" s="43" t="str">
        <x:v>Hold</x:v>
      </x:c>
      <x:c r="U708" s="43" t="str">
        <x:v>No</x:v>
      </x:c>
      <x:c r="V708" s="44"/>
      <x:c r="W708" s="43" t="str"/>
      <x:c r="X708" s="43" t="str"/>
      <x:c r="Y708" s="43" t="str"/>
      <x:c r="Z708" s="43" t="str">
        <x:v>https://www.get-information-schools.service.gov.uk/Downloads</x:v>
      </x:c>
    </x:row>
    <x:row r="709">
      <x:c r="A709" s="43" t="str">
        <x:v>UK independent</x:v>
      </x:c>
      <x:c r="B709" s="43" t="str">
        <x:v>113911</x:v>
      </x:c>
      <x:c r="C709" s="43" t="n">
        <x:f>IF(K709="Boarding school",30,0)+IF(J709&gt;=18,20,0)+IF(I709&lt;=11,10,0)+IF(L709="Has a sixth form",15,0)+IF(M709&gt;=200,10,0)+IF(N709&lt;&gt;"",10,0)</x:f>
        <x:v>50</x:v>
      </x:c>
      <x:c r="D709" s="43" t="str">
        <x:f>IF(C709&gt;=85,"A",IF(C709&gt;=65,"B","C"))</x:f>
        <x:v>C</x:v>
      </x:c>
      <x:c r="E709" s="43" t="str">
        <x:v>Hanford School</x:v>
      </x:c>
      <x:c r="F709" s="43" t="str">
        <x:v>Blandford Forum</x:v>
      </x:c>
      <x:c r="G709" s="43" t="str">
        <x:v>Dorset</x:v>
      </x:c>
      <x:c r="H709" s="43" t="str">
        <x:v>DT11 8HN</x:v>
      </x:c>
      <x:c r="I709" s="43" t="n">
        <x:v>7</x:v>
      </x:c>
      <x:c r="J709" s="43" t="n">
        <x:v>13</x:v>
      </x:c>
      <x:c r="K709" s="43" t="str">
        <x:v>Boarding school</x:v>
      </x:c>
      <x:c r="L709" s="43" t="str">
        <x:v>Does not have a sixth form</x:v>
      </x:c>
      <x:c r="M709" s="43" t="n">
        <x:v>69</x:v>
      </x:c>
      <x:c r="N709" s="43" t="str">
        <x:v>https://www.hanfordprep.group</x:v>
      </x:c>
      <x:c r="O709" s="43" t="str">
        <x:v>01258860219</x:v>
      </x:c>
      <x:c r="P709" s="43" t="str"/>
      <x:c r="Q709" s="43" t="str"/>
      <x:c r="R709" s="43" t="str">
        <x:v>Queued for contact research</x:v>
      </x:c>
      <x:c r="S709" s="43" t="str">
        <x:v>Not reviewed</x:v>
      </x:c>
      <x:c r="T709" s="43" t="str">
        <x:v>Hold</x:v>
      </x:c>
      <x:c r="U709" s="43" t="str">
        <x:v>No</x:v>
      </x:c>
      <x:c r="V709" s="44"/>
      <x:c r="W709" s="43" t="str"/>
      <x:c r="X709" s="43" t="str"/>
      <x:c r="Y709" s="43" t="str"/>
      <x:c r="Z709" s="43" t="str">
        <x:v>https://www.get-information-schools.service.gov.uk/Downloads</x:v>
      </x:c>
    </x:row>
    <x:row r="710">
      <x:c r="A710" s="43" t="str">
        <x:v>UK independent</x:v>
      </x:c>
      <x:c r="B710" s="43" t="str">
        <x:v>101159</x:v>
      </x:c>
      <x:c r="C710" s="43" t="n">
        <x:f>IF(K710="Boarding school",30,0)+IF(J710&gt;=18,20,0)+IF(I710&lt;=11,10,0)+IF(L710="Has a sixth form",15,0)+IF(M710&gt;=200,10,0)+IF(N710&lt;&gt;"",10,0)</x:f>
        <x:v>50</x:v>
      </x:c>
      <x:c r="D710" s="43" t="str">
        <x:f>IF(C710&gt;=85,"A",IF(C710&gt;=65,"B","C"))</x:f>
        <x:v>C</x:v>
      </x:c>
      <x:c r="E710" s="43" t="str">
        <x:v>Westminster Abbey Choir School</x:v>
      </x:c>
      <x:c r="F710" s="43" t="str">
        <x:v>London</x:v>
      </x:c>
      <x:c r="G710" s="43" t="str"/>
      <x:c r="H710" s="43" t="str">
        <x:v>SW1P 3NY</x:v>
      </x:c>
      <x:c r="I710" s="43" t="n">
        <x:v>8</x:v>
      </x:c>
      <x:c r="J710" s="43" t="n">
        <x:v>13</x:v>
      </x:c>
      <x:c r="K710" s="43" t="str">
        <x:v>Boarding school</x:v>
      </x:c>
      <x:c r="L710" s="43" t="str">
        <x:v>Does not have a sixth form</x:v>
      </x:c>
      <x:c r="M710" s="43" t="n">
        <x:v>27</x:v>
      </x:c>
      <x:c r="N710" s="43" t="str">
        <x:v>https://www.abbeychoirschool.org/</x:v>
      </x:c>
      <x:c r="O710" s="43" t="str">
        <x:v>02076544918</x:v>
      </x:c>
      <x:c r="P710" s="43" t="str"/>
      <x:c r="Q710" s="43" t="str"/>
      <x:c r="R710" s="43" t="str">
        <x:v>Queued for contact research</x:v>
      </x:c>
      <x:c r="S710" s="43" t="str">
        <x:v>Not reviewed</x:v>
      </x:c>
      <x:c r="T710" s="43" t="str">
        <x:v>Hold</x:v>
      </x:c>
      <x:c r="U710" s="43" t="str">
        <x:v>No</x:v>
      </x:c>
      <x:c r="V710" s="44"/>
      <x:c r="W710" s="43" t="str"/>
      <x:c r="X710" s="43" t="str"/>
      <x:c r="Y710" s="43" t="str"/>
      <x:c r="Z710" s="43" t="str">
        <x:v>https://www.get-information-schools.service.gov.uk/Downloads</x:v>
      </x:c>
    </x:row>
    <x:row r="711">
      <x:c r="A711" s="43" t="str">
        <x:v>UK independent</x:v>
      </x:c>
      <x:c r="B711" s="43" t="str">
        <x:v>115394</x:v>
      </x:c>
      <x:c r="C711" s="43" t="n">
        <x:f>IF(K711="Boarding school",30,0)+IF(J711&gt;=18,20,0)+IF(I711&lt;=11,10,0)+IF(L711="Has a sixth form",15,0)+IF(M711&gt;=200,10,0)+IF(N711&lt;&gt;"",10,0)</x:f>
        <x:v>45</x:v>
      </x:c>
      <x:c r="D711" s="43" t="str">
        <x:f>IF(C711&gt;=85,"A",IF(C711&gt;=65,"B","C"))</x:f>
        <x:v>C</x:v>
      </x:c>
      <x:c r="E711" s="43" t="str">
        <x:v>St Mary's School for Girls</x:v>
      </x:c>
      <x:c r="F711" s="43" t="str">
        <x:v>Colchester</x:v>
      </x:c>
      <x:c r="G711" s="43" t="str">
        <x:v>Essex</x:v>
      </x:c>
      <x:c r="H711" s="43" t="str">
        <x:v>CO3 3RB</x:v>
      </x:c>
      <x:c r="I711" s="43" t="n">
        <x:v>2</x:v>
      </x:c>
      <x:c r="J711" s="43" t="n">
        <x:v>17</x:v>
      </x:c>
      <x:c r="K711" s="43" t="str">
        <x:v>No boarders</x:v>
      </x:c>
      <x:c r="L711" s="43" t="str">
        <x:v>Has a sixth form</x:v>
      </x:c>
      <x:c r="M711" s="43" t="n">
        <x:v>424</x:v>
      </x:c>
      <x:c r="N711" s="43" t="str">
        <x:v>https://www.stmaryscolchester.org.uk</x:v>
      </x:c>
      <x:c r="O711" s="43" t="str">
        <x:v>01206572544</x:v>
      </x:c>
      <x:c r="P711" s="43" t="str"/>
      <x:c r="Q711" s="43" t="str"/>
      <x:c r="R711" s="43" t="str">
        <x:v>Queued for contact research</x:v>
      </x:c>
      <x:c r="S711" s="43" t="str">
        <x:v>Not reviewed</x:v>
      </x:c>
      <x:c r="T711" s="43" t="str">
        <x:v>Hold</x:v>
      </x:c>
      <x:c r="U711" s="43" t="str">
        <x:v>No</x:v>
      </x:c>
      <x:c r="V711" s="44"/>
      <x:c r="W711" s="43" t="str"/>
      <x:c r="X711" s="43" t="str"/>
      <x:c r="Y711" s="43" t="str"/>
      <x:c r="Z711" s="43" t="str">
        <x:v>https://www.get-information-schools.service.gov.uk/Downloads</x:v>
      </x:c>
    </x:row>
    <x:row r="712">
      <x:c r="A712" s="43" t="str">
        <x:v>UK independent</x:v>
      </x:c>
      <x:c r="B712" s="43" t="str">
        <x:v>101393</x:v>
      </x:c>
      <x:c r="C712" s="43" t="n">
        <x:f>IF(K712="Boarding school",30,0)+IF(J712&gt;=18,20,0)+IF(I712&lt;=11,10,0)+IF(L712="Has a sixth form",15,0)+IF(M712&gt;=200,10,0)+IF(N712&lt;&gt;"",10,0)</x:f>
        <x:v>45</x:v>
      </x:c>
      <x:c r="D712" s="43" t="str">
        <x:f>IF(C712&gt;=85,"A",IF(C712&gt;=65,"B","C"))</x:f>
        <x:v>C</x:v>
      </x:c>
      <x:c r="E712" s="43" t="str">
        <x:v>Brampton College</x:v>
      </x:c>
      <x:c r="F712" s="43" t="str">
        <x:v>London</x:v>
      </x:c>
      <x:c r="G712" s="43" t="str"/>
      <x:c r="H712" s="43" t="str">
        <x:v>NW4 4DQ</x:v>
      </x:c>
      <x:c r="I712" s="43" t="n">
        <x:v>15</x:v>
      </x:c>
      <x:c r="J712" s="43" t="n">
        <x:v>19</x:v>
      </x:c>
      <x:c r="K712" s="43" t="str">
        <x:v>No boarders</x:v>
      </x:c>
      <x:c r="L712" s="43" t="str">
        <x:v>Has a sixth form</x:v>
      </x:c>
      <x:c r="M712" s="43" t="n">
        <x:v>192</x:v>
      </x:c>
      <x:c r="N712" s="43" t="str">
        <x:v>https://www.bramptoncollege.com</x:v>
      </x:c>
      <x:c r="O712" s="43" t="str">
        <x:v>02082035025</x:v>
      </x:c>
      <x:c r="P712" s="43" t="str"/>
      <x:c r="Q712" s="43" t="str"/>
      <x:c r="R712" s="43" t="str">
        <x:v>Queued for contact research</x:v>
      </x:c>
      <x:c r="S712" s="43" t="str">
        <x:v>Not reviewed</x:v>
      </x:c>
      <x:c r="T712" s="43" t="str">
        <x:v>Hold</x:v>
      </x:c>
      <x:c r="U712" s="43" t="str">
        <x:v>No</x:v>
      </x:c>
      <x:c r="V712" s="44"/>
      <x:c r="W712" s="43" t="str"/>
      <x:c r="X712" s="43" t="str"/>
      <x:c r="Y712" s="43" t="str"/>
      <x:c r="Z712" s="43" t="str">
        <x:v>https://www.get-information-schools.service.gov.uk/Downloads</x:v>
      </x:c>
    </x:row>
    <x:row r="713">
      <x:c r="A713" s="43" t="str">
        <x:v>UK independent</x:v>
      </x:c>
      <x:c r="B713" s="43" t="str">
        <x:v>100084</x:v>
      </x:c>
      <x:c r="C713" s="43" t="n">
        <x:f>IF(K713="Boarding school",30,0)+IF(J713&gt;=18,20,0)+IF(I713&lt;=11,10,0)+IF(L713="Has a sixth form",15,0)+IF(M713&gt;=200,10,0)+IF(N713&lt;&gt;"",10,0)</x:f>
        <x:v>45</x:v>
      </x:c>
      <x:c r="D713" s="43" t="str">
        <x:f>IF(C713&gt;=85,"A",IF(C713&gt;=65,"B","C"))</x:f>
        <x:v>C</x:v>
      </x:c>
      <x:c r="E713" s="43" t="str">
        <x:v>Hampstead Fine Arts College</x:v>
      </x:c>
      <x:c r="F713" s="43" t="str">
        <x:v>London</x:v>
      </x:c>
      <x:c r="G713" s="43" t="str"/>
      <x:c r="H713" s="43" t="str">
        <x:v>NW3 4YD</x:v>
      </x:c>
      <x:c r="I713" s="43" t="n">
        <x:v>13</x:v>
      </x:c>
      <x:c r="J713" s="43" t="n">
        <x:v>19</x:v>
      </x:c>
      <x:c r="K713" s="43" t="str">
        <x:v>No boarders</x:v>
      </x:c>
      <x:c r="L713" s="43" t="str">
        <x:v>Has a sixth form</x:v>
      </x:c>
      <x:c r="M713" s="43" t="n">
        <x:v>187</x:v>
      </x:c>
      <x:c r="N713" s="43" t="str">
        <x:v>https://www.hampsteadfinearts.com</x:v>
      </x:c>
      <x:c r="O713" s="43" t="str">
        <x:v>02075860312</x:v>
      </x:c>
      <x:c r="P713" s="43" t="str"/>
      <x:c r="Q713" s="43" t="str"/>
      <x:c r="R713" s="43" t="str">
        <x:v>Queued for contact research</x:v>
      </x:c>
      <x:c r="S713" s="43" t="str">
        <x:v>Not reviewed</x:v>
      </x:c>
      <x:c r="T713" s="43" t="str">
        <x:v>Hold</x:v>
      </x:c>
      <x:c r="U713" s="43" t="str">
        <x:v>No</x:v>
      </x:c>
      <x:c r="V713" s="44"/>
      <x:c r="W713" s="43" t="str"/>
      <x:c r="X713" s="43" t="str"/>
      <x:c r="Y713" s="43" t="str"/>
      <x:c r="Z713" s="43" t="str">
        <x:v>https://www.get-information-schools.service.gov.uk/Downloads</x:v>
      </x:c>
    </x:row>
    <x:row r="714">
      <x:c r="A714" s="43" t="str">
        <x:v>UK independent</x:v>
      </x:c>
      <x:c r="B714" s="43" t="str">
        <x:v>142330</x:v>
      </x:c>
      <x:c r="C714" s="43" t="n">
        <x:f>IF(K714="Boarding school",30,0)+IF(J714&gt;=18,20,0)+IF(I714&lt;=11,10,0)+IF(L714="Has a sixth form",15,0)+IF(M714&gt;=200,10,0)+IF(N714&lt;&gt;"",10,0)</x:f>
        <x:v>45</x:v>
      </x:c>
      <x:c r="D714" s="43" t="str">
        <x:f>IF(C714&gt;=85,"A",IF(C714&gt;=65,"B","C"))</x:f>
        <x:v>C</x:v>
      </x:c>
      <x:c r="E714" s="43" t="str">
        <x:v>Cambridge Street School</x:v>
      </x:c>
      <x:c r="F714" s="43" t="str">
        <x:v>Batley</x:v>
      </x:c>
      <x:c r="G714" s="43" t="str">
        <x:v>West Yorkshire</x:v>
      </x:c>
      <x:c r="H714" s="43" t="str">
        <x:v>WF17 5QW</x:v>
      </x:c>
      <x:c r="I714" s="43" t="n">
        <x:v>11</x:v>
      </x:c>
      <x:c r="J714" s="43" t="n">
        <x:v>19</x:v>
      </x:c>
      <x:c r="K714" s="43" t="str">
        <x:v>No boarders</x:v>
      </x:c>
      <x:c r="L714" s="43" t="str">
        <x:v>Has a sixth form</x:v>
      </x:c>
      <x:c r="M714" s="43" t="n">
        <x:v>177</x:v>
      </x:c>
      <x:c r="N714" s="43" t="str"/>
      <x:c r="O714" s="43" t="str">
        <x:v>01924527911</x:v>
      </x:c>
      <x:c r="P714" s="43" t="str"/>
      <x:c r="Q714" s="43" t="str"/>
      <x:c r="R714" s="43" t="str">
        <x:v>Queued for contact research</x:v>
      </x:c>
      <x:c r="S714" s="43" t="str">
        <x:v>Not reviewed</x:v>
      </x:c>
      <x:c r="T714" s="43" t="str">
        <x:v>Hold</x:v>
      </x:c>
      <x:c r="U714" s="43" t="str">
        <x:v>No</x:v>
      </x:c>
      <x:c r="V714" s="44"/>
      <x:c r="W714" s="43" t="str"/>
      <x:c r="X714" s="43" t="str"/>
      <x:c r="Y714" s="43" t="str"/>
      <x:c r="Z714" s="43" t="str">
        <x:v>https://www.get-information-schools.service.gov.uk/Downloads</x:v>
      </x:c>
    </x:row>
    <x:row r="715">
      <x:c r="A715" s="43" t="str">
        <x:v>UK independent</x:v>
      </x:c>
      <x:c r="B715" s="43" t="str">
        <x:v>100539</x:v>
      </x:c>
      <x:c r="C715" s="43" t="n">
        <x:f>IF(K715="Boarding school",30,0)+IF(J715&gt;=18,20,0)+IF(I715&lt;=11,10,0)+IF(L715="Has a sixth form",15,0)+IF(M715&gt;=200,10,0)+IF(N715&lt;&gt;"",10,0)</x:f>
        <x:v>45</x:v>
      </x:c>
      <x:c r="D715" s="43" t="str">
        <x:f>IF(C715&gt;=85,"A",IF(C715&gt;=65,"B","C"))</x:f>
        <x:v>C</x:v>
      </x:c>
      <x:c r="E715" s="43" t="str">
        <x:v>Collingham</x:v>
      </x:c>
      <x:c r="F715" s="43" t="str">
        <x:v>London</x:v>
      </x:c>
      <x:c r="G715" s="43" t="str"/>
      <x:c r="H715" s="43" t="str">
        <x:v>SW5 0HL</x:v>
      </x:c>
      <x:c r="I715" s="43" t="n">
        <x:v>13</x:v>
      </x:c>
      <x:c r="J715" s="43" t="n">
        <x:v>19</x:v>
      </x:c>
      <x:c r="K715" s="43" t="str">
        <x:v>No boarders</x:v>
      </x:c>
      <x:c r="L715" s="43" t="str">
        <x:v>Has a sixth form</x:v>
      </x:c>
      <x:c r="M715" s="43" t="n">
        <x:v>162</x:v>
      </x:c>
      <x:c r="N715" s="43" t="str">
        <x:v>https://www.collingham.co.uk</x:v>
      </x:c>
      <x:c r="O715" s="43" t="str">
        <x:v>02072447414</x:v>
      </x:c>
      <x:c r="P715" s="43" t="str"/>
      <x:c r="Q715" s="43" t="str"/>
      <x:c r="R715" s="43" t="str">
        <x:v>Queued for contact research</x:v>
      </x:c>
      <x:c r="S715" s="43" t="str">
        <x:v>Not reviewed</x:v>
      </x:c>
      <x:c r="T715" s="43" t="str">
        <x:v>Hold</x:v>
      </x:c>
      <x:c r="U715" s="43" t="str">
        <x:v>No</x:v>
      </x:c>
      <x:c r="V715" s="44"/>
      <x:c r="W715" s="43" t="str"/>
      <x:c r="X715" s="43" t="str"/>
      <x:c r="Y715" s="43" t="str"/>
      <x:c r="Z715" s="43" t="str">
        <x:v>https://www.get-information-schools.service.gov.uk/Downloads</x:v>
      </x:c>
    </x:row>
    <x:row r="716">
      <x:c r="A716" s="43" t="str">
        <x:v>UK independent</x:v>
      </x:c>
      <x:c r="B716" s="43" t="str">
        <x:v>141520</x:v>
      </x:c>
      <x:c r="C716" s="43" t="n">
        <x:f>IF(K716="Boarding school",30,0)+IF(J716&gt;=18,20,0)+IF(I716&lt;=11,10,0)+IF(L716="Has a sixth form",15,0)+IF(M716&gt;=200,10,0)+IF(N716&lt;&gt;"",10,0)</x:f>
        <x:v>45</x:v>
      </x:c>
      <x:c r="D716" s="43" t="str">
        <x:f>IF(C716&gt;=85,"A",IF(C716&gt;=65,"B","C"))</x:f>
        <x:v>C</x:v>
      </x:c>
      <x:c r="E716" s="43" t="str">
        <x:v>OneSchool Global UK - Biggleswade Campus</x:v>
      </x:c>
      <x:c r="F716" s="43" t="str">
        <x:v>Biggleswade</x:v>
      </x:c>
      <x:c r="G716" s="43" t="str">
        <x:v>Bedfordshire</x:v>
      </x:c>
      <x:c r="H716" s="43" t="str">
        <x:v>SG18 0EP</x:v>
      </x:c>
      <x:c r="I716" s="43" t="n">
        <x:v>7</x:v>
      </x:c>
      <x:c r="J716" s="43" t="n">
        <x:v>18</x:v>
      </x:c>
      <x:c r="K716" s="43" t="str">
        <x:v>No boarders</x:v>
      </x:c>
      <x:c r="L716" s="43" t="str">
        <x:v>Has a sixth form</x:v>
      </x:c>
      <x:c r="M716" s="43" t="n">
        <x:v>161</x:v>
      </x:c>
      <x:c r="N716" s="43" t="str"/>
      <x:c r="O716" s="43" t="str">
        <x:v>01767602800</x:v>
      </x:c>
      <x:c r="P716" s="43" t="str"/>
      <x:c r="Q716" s="43" t="str"/>
      <x:c r="R716" s="43" t="str">
        <x:v>Queued for contact research</x:v>
      </x:c>
      <x:c r="S716" s="43" t="str">
        <x:v>Not reviewed</x:v>
      </x:c>
      <x:c r="T716" s="43" t="str">
        <x:v>Hold</x:v>
      </x:c>
      <x:c r="U716" s="43" t="str">
        <x:v>No</x:v>
      </x:c>
      <x:c r="V716" s="44"/>
      <x:c r="W716" s="43" t="str"/>
      <x:c r="X716" s="43" t="str"/>
      <x:c r="Y716" s="43" t="str"/>
      <x:c r="Z716" s="43" t="str">
        <x:v>https://www.get-information-schools.service.gov.uk/Downloads</x:v>
      </x:c>
    </x:row>
    <x:row r="717">
      <x:c r="A717" s="43" t="str">
        <x:v>UK independent</x:v>
      </x:c>
      <x:c r="B717" s="43" t="str">
        <x:v>103587</x:v>
      </x:c>
      <x:c r="C717" s="43" t="n">
        <x:f>IF(K717="Boarding school",30,0)+IF(J717&gt;=18,20,0)+IF(I717&lt;=11,10,0)+IF(L717="Has a sixth form",15,0)+IF(M717&gt;=200,10,0)+IF(N717&lt;&gt;"",10,0)</x:f>
        <x:v>45</x:v>
      </x:c>
      <x:c r="D717" s="43" t="str">
        <x:f>IF(C717&gt;=85,"A",IF(C717&gt;=65,"B","C"))</x:f>
        <x:v>C</x:v>
      </x:c>
      <x:c r="E717" s="43" t="str">
        <x:v>Mander Portman Woodward Independent College</x:v>
      </x:c>
      <x:c r="F717" s="43" t="str">
        <x:v>Birmingham</x:v>
      </x:c>
      <x:c r="G717" s="43" t="str">
        <x:v>West Midlands</x:v>
      </x:c>
      <x:c r="H717" s="43" t="str">
        <x:v>B15 3AU</x:v>
      </x:c>
      <x:c r="I717" s="43" t="n">
        <x:v>14</x:v>
      </x:c>
      <x:c r="J717" s="43" t="n">
        <x:v>19</x:v>
      </x:c>
      <x:c r="K717" s="43" t="str">
        <x:v>No boarders</x:v>
      </x:c>
      <x:c r="L717" s="43" t="str">
        <x:v>Has a sixth form</x:v>
      </x:c>
      <x:c r="M717" s="43" t="n">
        <x:v>144</x:v>
      </x:c>
      <x:c r="N717" s="43" t="str">
        <x:v>https://www.mpw.ac.uk</x:v>
      </x:c>
      <x:c r="O717" s="43" t="str">
        <x:v>01214549637</x:v>
      </x:c>
      <x:c r="P717" s="43" t="str"/>
      <x:c r="Q717" s="43" t="str"/>
      <x:c r="R717" s="43" t="str">
        <x:v>Queued for contact research</x:v>
      </x:c>
      <x:c r="S717" s="43" t="str">
        <x:v>Not reviewed</x:v>
      </x:c>
      <x:c r="T717" s="43" t="str">
        <x:v>Hold</x:v>
      </x:c>
      <x:c r="U717" s="43" t="str">
        <x:v>No</x:v>
      </x:c>
      <x:c r="V717" s="44"/>
      <x:c r="W717" s="43" t="str"/>
      <x:c r="X717" s="43" t="str"/>
      <x:c r="Y717" s="43" t="str"/>
      <x:c r="Z717" s="43" t="str">
        <x:v>https://www.get-information-schools.service.gov.uk/Downloads</x:v>
      </x:c>
    </x:row>
    <x:row r="718">
      <x:c r="A718" s="43" t="str">
        <x:v>UK independent</x:v>
      </x:c>
      <x:c r="B718" s="43" t="str">
        <x:v>110930</x:v>
      </x:c>
      <x:c r="C718" s="43" t="n">
        <x:f>IF(K718="Boarding school",30,0)+IF(J718&gt;=18,20,0)+IF(I718&lt;=11,10,0)+IF(L718="Has a sixth form",15,0)+IF(M718&gt;=200,10,0)+IF(N718&lt;&gt;"",10,0)</x:f>
        <x:v>45</x:v>
      </x:c>
      <x:c r="D718" s="43" t="str">
        <x:f>IF(C718&gt;=85,"A",IF(C718&gt;=65,"B","C"))</x:f>
        <x:v>C</x:v>
      </x:c>
      <x:c r="E718" s="43" t="str">
        <x:v>Mander Portman Woodward</x:v>
      </x:c>
      <x:c r="F718" s="43" t="str">
        <x:v>Cambridge</x:v>
      </x:c>
      <x:c r="G718" s="43" t="str">
        <x:v>Cambridgeshire</x:v>
      </x:c>
      <x:c r="H718" s="43" t="str">
        <x:v>CB2 1JE</x:v>
      </x:c>
      <x:c r="I718" s="43" t="n">
        <x:v>14</x:v>
      </x:c>
      <x:c r="J718" s="43" t="n">
        <x:v>20</x:v>
      </x:c>
      <x:c r="K718" s="43" t="str">
        <x:v>No boarders</x:v>
      </x:c>
      <x:c r="L718" s="43" t="str">
        <x:v>Has a sixth form</x:v>
      </x:c>
      <x:c r="M718" s="43" t="n">
        <x:v>133</x:v>
      </x:c>
      <x:c r="N718" s="43" t="str">
        <x:v>http://www.mpw.ac.uk/locations/cambridge/</x:v>
      </x:c>
      <x:c r="O718" s="43" t="str">
        <x:v>01223350158</x:v>
      </x:c>
      <x:c r="P718" s="43" t="str"/>
      <x:c r="Q718" s="43" t="str"/>
      <x:c r="R718" s="43" t="str">
        <x:v>Queued for contact research</x:v>
      </x:c>
      <x:c r="S718" s="43" t="str">
        <x:v>Not reviewed</x:v>
      </x:c>
      <x:c r="T718" s="43" t="str">
        <x:v>Hold</x:v>
      </x:c>
      <x:c r="U718" s="43" t="str">
        <x:v>No</x:v>
      </x:c>
      <x:c r="V718" s="44"/>
      <x:c r="W718" s="43" t="str"/>
      <x:c r="X718" s="43" t="str"/>
      <x:c r="Y718" s="43" t="str"/>
      <x:c r="Z718" s="43" t="str">
        <x:v>https://www.get-information-schools.service.gov.uk/Downloads</x:v>
      </x:c>
    </x:row>
    <x:row r="719">
      <x:c r="A719" s="43" t="str">
        <x:v>UK independent</x:v>
      </x:c>
      <x:c r="B719" s="43" t="str">
        <x:v>147604</x:v>
      </x:c>
      <x:c r="C719" s="43" t="n">
        <x:f>IF(K719="Boarding school",30,0)+IF(J719&gt;=18,20,0)+IF(I719&lt;=11,10,0)+IF(L719="Has a sixth form",15,0)+IF(M719&gt;=200,10,0)+IF(N719&lt;&gt;"",10,0)</x:f>
        <x:v>45</x:v>
      </x:c>
      <x:c r="D719" s="43" t="str">
        <x:f>IF(C719&gt;=85,"A",IF(C719&gt;=65,"B","C"))</x:f>
        <x:v>C</x:v>
      </x:c>
      <x:c r="E719" s="43" t="str">
        <x:v>Noorul Uloom</x:v>
      </x:c>
      <x:c r="F719" s="43" t="str"/>
      <x:c r="G719" s="43" t="str"/>
      <x:c r="H719" s="43" t="str">
        <x:v>BB2 3NY</x:v>
      </x:c>
      <x:c r="I719" s="43" t="n">
        <x:v>11</x:v>
      </x:c>
      <x:c r="J719" s="43" t="n">
        <x:v>23</x:v>
      </x:c>
      <x:c r="K719" s="43" t="str">
        <x:v>No boarders</x:v>
      </x:c>
      <x:c r="L719" s="43" t="str">
        <x:v>Has a sixth form</x:v>
      </x:c>
      <x:c r="M719" s="43" t="n">
        <x:v>125</x:v>
      </x:c>
      <x:c r="N719" s="43" t="str"/>
      <x:c r="O719" s="43" t="str">
        <x:v>01254581569</x:v>
      </x:c>
      <x:c r="P719" s="43" t="str"/>
      <x:c r="Q719" s="43" t="str"/>
      <x:c r="R719" s="43" t="str">
        <x:v>Queued for contact research</x:v>
      </x:c>
      <x:c r="S719" s="43" t="str">
        <x:v>Not reviewed</x:v>
      </x:c>
      <x:c r="T719" s="43" t="str">
        <x:v>Hold</x:v>
      </x:c>
      <x:c r="U719" s="43" t="str">
        <x:v>No</x:v>
      </x:c>
      <x:c r="V719" s="44"/>
      <x:c r="W719" s="43" t="str"/>
      <x:c r="X719" s="43" t="str"/>
      <x:c r="Y719" s="43" t="str"/>
      <x:c r="Z719" s="43" t="str">
        <x:v>https://www.get-information-schools.service.gov.uk/Downloads</x:v>
      </x:c>
    </x:row>
    <x:row r="720">
      <x:c r="A720" s="43" t="str">
        <x:v>UK independent</x:v>
      </x:c>
      <x:c r="B720" s="43" t="str">
        <x:v>133285</x:v>
      </x:c>
      <x:c r="C720" s="43" t="n">
        <x:f>IF(K720="Boarding school",30,0)+IF(J720&gt;=18,20,0)+IF(I720&lt;=11,10,0)+IF(L720="Has a sixth form",15,0)+IF(M720&gt;=200,10,0)+IF(N720&lt;&gt;"",10,0)</x:f>
        <x:v>45</x:v>
      </x:c>
      <x:c r="D720" s="43" t="str">
        <x:f>IF(C720&gt;=85,"A",IF(C720&gt;=65,"B","C"))</x:f>
        <x:v>C</x:v>
      </x:c>
      <x:c r="E720" s="43" t="str">
        <x:v>Madrasatul Imam Muhammad Zakariya</x:v>
      </x:c>
      <x:c r="F720" s="43" t="str">
        <x:v>Bolton</x:v>
      </x:c>
      <x:c r="G720" s="43" t="str">
        <x:v>Lancashire</x:v>
      </x:c>
      <x:c r="H720" s="43" t="str">
        <x:v>BL1 8LX</x:v>
      </x:c>
      <x:c r="I720" s="43" t="n">
        <x:v>11</x:v>
      </x:c>
      <x:c r="J720" s="43" t="n">
        <x:v>19</x:v>
      </x:c>
      <x:c r="K720" s="43" t="str">
        <x:v>No boarders</x:v>
      </x:c>
      <x:c r="L720" s="43" t="str">
        <x:v>Has a sixth form</x:v>
      </x:c>
      <x:c r="M720" s="43" t="n">
        <x:v>122</x:v>
      </x:c>
      <x:c r="N720" s="43" t="str"/>
      <x:c r="O720" s="43" t="str">
        <x:v>01204384434</x:v>
      </x:c>
      <x:c r="P720" s="43" t="str"/>
      <x:c r="Q720" s="43" t="str"/>
      <x:c r="R720" s="43" t="str">
        <x:v>Queued for contact research</x:v>
      </x:c>
      <x:c r="S720" s="43" t="str">
        <x:v>Not reviewed</x:v>
      </x:c>
      <x:c r="T720" s="43" t="str">
        <x:v>Hold</x:v>
      </x:c>
      <x:c r="U720" s="43" t="str">
        <x:v>No</x:v>
      </x:c>
      <x:c r="V720" s="44"/>
      <x:c r="W720" s="43" t="str"/>
      <x:c r="X720" s="43" t="str"/>
      <x:c r="Y720" s="43" t="str"/>
      <x:c r="Z720" s="43" t="str">
        <x:v>https://www.get-information-schools.service.gov.uk/Downloads</x:v>
      </x:c>
    </x:row>
    <x:row r="721">
      <x:c r="A721" s="43" t="str">
        <x:v>UK independent</x:v>
      </x:c>
      <x:c r="B721" s="43" t="str">
        <x:v>133444</x:v>
      </x:c>
      <x:c r="C721" s="43" t="n">
        <x:f>IF(K721="Boarding school",30,0)+IF(J721&gt;=18,20,0)+IF(I721&lt;=11,10,0)+IF(L721="Has a sixth form",15,0)+IF(M721&gt;=200,10,0)+IF(N721&lt;&gt;"",10,0)</x:f>
        <x:v>45</x:v>
      </x:c>
      <x:c r="D721" s="43" t="str">
        <x:f>IF(C721&gt;=85,"A",IF(C721&gt;=65,"B","C"))</x:f>
        <x:v>C</x:v>
      </x:c>
      <x:c r="E721" s="43" t="str">
        <x:v>Ealing Independent College</x:v>
      </x:c>
      <x:c r="F721" s="43" t="str">
        <x:v>London</x:v>
      </x:c>
      <x:c r="G721" s="43" t="str"/>
      <x:c r="H721" s="43" t="str">
        <x:v>W5 5AL</x:v>
      </x:c>
      <x:c r="I721" s="43" t="n">
        <x:v>13</x:v>
      </x:c>
      <x:c r="J721" s="43" t="n">
        <x:v>19</x:v>
      </x:c>
      <x:c r="K721" s="43" t="str">
        <x:v>No boarders</x:v>
      </x:c>
      <x:c r="L721" s="43" t="str">
        <x:v>Has a sixth form</x:v>
      </x:c>
      <x:c r="M721" s="43" t="n">
        <x:v>116</x:v>
      </x:c>
      <x:c r="N721" s="43" t="str">
        <x:v>https://www.ealingindependentcollege.com</x:v>
      </x:c>
      <x:c r="O721" s="43" t="str">
        <x:v>02085796668</x:v>
      </x:c>
      <x:c r="P721" s="43" t="str"/>
      <x:c r="Q721" s="43" t="str"/>
      <x:c r="R721" s="43" t="str">
        <x:v>Queued for contact research</x:v>
      </x:c>
      <x:c r="S721" s="43" t="str">
        <x:v>Not reviewed</x:v>
      </x:c>
      <x:c r="T721" s="43" t="str">
        <x:v>Hold</x:v>
      </x:c>
      <x:c r="U721" s="43" t="str">
        <x:v>No</x:v>
      </x:c>
      <x:c r="V721" s="44"/>
      <x:c r="W721" s="43" t="str"/>
      <x:c r="X721" s="43" t="str"/>
      <x:c r="Y721" s="43" t="str"/>
      <x:c r="Z721" s="43" t="str">
        <x:v>https://www.get-information-schools.service.gov.uk/Downloads</x:v>
      </x:c>
    </x:row>
    <x:row r="722">
      <x:c r="A722" s="43" t="str">
        <x:v>UK independent</x:v>
      </x:c>
      <x:c r="B722" s="43" t="str">
        <x:v>145499</x:v>
      </x:c>
      <x:c r="C722" s="43" t="n">
        <x:f>IF(K722="Boarding school",30,0)+IF(J722&gt;=18,20,0)+IF(I722&lt;=11,10,0)+IF(L722="Has a sixth form",15,0)+IF(M722&gt;=200,10,0)+IF(N722&lt;&gt;"",10,0)</x:f>
        <x:v>45</x:v>
      </x:c>
      <x:c r="D722" s="43" t="str">
        <x:f>IF(C722&gt;=85,"A",IF(C722&gt;=65,"B","C"))</x:f>
        <x:v>C</x:v>
      </x:c>
      <x:c r="E722" s="43" t="str">
        <x:v>Eden Springs Girls Secondary</x:v>
      </x:c>
      <x:c r="F722" s="43" t="str"/>
      <x:c r="G722" s="43" t="str"/>
      <x:c r="H722" s="43" t="str">
        <x:v>BD5 7PE</x:v>
      </x:c>
      <x:c r="I722" s="43" t="n">
        <x:v>11</x:v>
      </x:c>
      <x:c r="J722" s="43" t="n">
        <x:v>24</x:v>
      </x:c>
      <x:c r="K722" s="43" t="str">
        <x:v>No boarders</x:v>
      </x:c>
      <x:c r="L722" s="43" t="str">
        <x:v>Has a sixth form</x:v>
      </x:c>
      <x:c r="M722" s="43" t="n">
        <x:v>113</x:v>
      </x:c>
      <x:c r="N722" s="43" t="str"/>
      <x:c r="O722" s="43" t="str">
        <x:v>01274401205</x:v>
      </x:c>
      <x:c r="P722" s="43" t="str"/>
      <x:c r="Q722" s="43" t="str"/>
      <x:c r="R722" s="43" t="str">
        <x:v>Queued for contact research</x:v>
      </x:c>
      <x:c r="S722" s="43" t="str">
        <x:v>Not reviewed</x:v>
      </x:c>
      <x:c r="T722" s="43" t="str">
        <x:v>Hold</x:v>
      </x:c>
      <x:c r="U722" s="43" t="str">
        <x:v>No</x:v>
      </x:c>
      <x:c r="V722" s="44"/>
      <x:c r="W722" s="43" t="str"/>
      <x:c r="X722" s="43" t="str"/>
      <x:c r="Y722" s="43" t="str"/>
      <x:c r="Z722" s="43" t="str">
        <x:v>https://www.get-information-schools.service.gov.uk/Downloads</x:v>
      </x:c>
    </x:row>
    <x:row r="723">
      <x:c r="A723" s="43" t="str">
        <x:v>UK independent</x:v>
      </x:c>
      <x:c r="B723" s="43" t="str">
        <x:v>142338</x:v>
      </x:c>
      <x:c r="C723" s="43" t="n">
        <x:f>IF(K723="Boarding school",30,0)+IF(J723&gt;=18,20,0)+IF(I723&lt;=11,10,0)+IF(L723="Has a sixth form",15,0)+IF(M723&gt;=200,10,0)+IF(N723&lt;&gt;"",10,0)</x:f>
        <x:v>45</x:v>
      </x:c>
      <x:c r="D723" s="43" t="str">
        <x:f>IF(C723&gt;=85,"A",IF(C723&gt;=65,"B","C"))</x:f>
        <x:v>C</x:v>
      </x:c>
      <x:c r="E723" s="43" t="str">
        <x:v>Riverside Education</x:v>
      </x:c>
      <x:c r="F723" s="43" t="str">
        <x:v>Birmingham</x:v>
      </x:c>
      <x:c r="G723" s="43" t="str">
        <x:v>West Midlands</x:v>
      </x:c>
      <x:c r="H723" s="43" t="str">
        <x:v>B33 9BF</x:v>
      </x:c>
      <x:c r="I723" s="43" t="n">
        <x:v>14</x:v>
      </x:c>
      <x:c r="J723" s="43" t="n">
        <x:v>19</x:v>
      </x:c>
      <x:c r="K723" s="43" t="str">
        <x:v>No boarders</x:v>
      </x:c>
      <x:c r="L723" s="43" t="str">
        <x:v>Has a sixth form</x:v>
      </x:c>
      <x:c r="M723" s="43" t="n">
        <x:v>100</x:v>
      </x:c>
      <x:c r="N723" s="43" t="str">
        <x:v>https://riversideeducation.co.uk/</x:v>
      </x:c>
      <x:c r="O723" s="43" t="str">
        <x:v>01216782942</x:v>
      </x:c>
      <x:c r="P723" s="43" t="str"/>
      <x:c r="Q723" s="43" t="str"/>
      <x:c r="R723" s="43" t="str">
        <x:v>Queued for contact research</x:v>
      </x:c>
      <x:c r="S723" s="43" t="str">
        <x:v>Not reviewed</x:v>
      </x:c>
      <x:c r="T723" s="43" t="str">
        <x:v>Hold</x:v>
      </x:c>
      <x:c r="U723" s="43" t="str">
        <x:v>No</x:v>
      </x:c>
      <x:c r="V723" s="44"/>
      <x:c r="W723" s="43" t="str"/>
      <x:c r="X723" s="43" t="str"/>
      <x:c r="Y723" s="43" t="str"/>
      <x:c r="Z723" s="43" t="str">
        <x:v>https://www.get-information-schools.service.gov.uk/Downloads</x:v>
      </x:c>
    </x:row>
    <x:row r="724">
      <x:c r="A724" s="43" t="str">
        <x:v>UK independent</x:v>
      </x:c>
      <x:c r="B724" s="43" t="str">
        <x:v>141128</x:v>
      </x:c>
      <x:c r="C724" s="43" t="n">
        <x:f>IF(K724="Boarding school",30,0)+IF(J724&gt;=18,20,0)+IF(I724&lt;=11,10,0)+IF(L724="Has a sixth form",15,0)+IF(M724&gt;=200,10,0)+IF(N724&lt;&gt;"",10,0)</x:f>
        <x:v>45</x:v>
      </x:c>
      <x:c r="D724" s="43" t="str">
        <x:f>IF(C724&gt;=85,"A",IF(C724&gt;=65,"B","C"))</x:f>
        <x:v>C</x:v>
      </x:c>
      <x:c r="E724" s="43" t="str">
        <x:v>Sporting Stars Academy</x:v>
      </x:c>
      <x:c r="F724" s="43" t="str">
        <x:v>Stoke-on-Trent</x:v>
      </x:c>
      <x:c r="G724" s="43" t="str">
        <x:v>Staffordshire</x:v>
      </x:c>
      <x:c r="H724" s="43" t="str">
        <x:v>ST2 7AS</x:v>
      </x:c>
      <x:c r="I724" s="43" t="n">
        <x:v>14</x:v>
      </x:c>
      <x:c r="J724" s="43" t="n">
        <x:v>19</x:v>
      </x:c>
      <x:c r="K724" s="43" t="str">
        <x:v>No boarders</x:v>
      </x:c>
      <x:c r="L724" s="43" t="str">
        <x:v>Has a sixth form</x:v>
      </x:c>
      <x:c r="M724" s="43" t="n">
        <x:v>73</x:v>
      </x:c>
      <x:c r="N724" s="43" t="str">
        <x:v>https://sportingstarsacademy.com/</x:v>
      </x:c>
      <x:c r="O724" s="43" t="str">
        <x:v>01782248248</x:v>
      </x:c>
      <x:c r="P724" s="43" t="str"/>
      <x:c r="Q724" s="43" t="str"/>
      <x:c r="R724" s="43" t="str">
        <x:v>Queued for contact research</x:v>
      </x:c>
      <x:c r="S724" s="43" t="str">
        <x:v>Not reviewed</x:v>
      </x:c>
      <x:c r="T724" s="43" t="str">
        <x:v>Hold</x:v>
      </x:c>
      <x:c r="U724" s="43" t="str">
        <x:v>No</x:v>
      </x:c>
      <x:c r="V724" s="44"/>
      <x:c r="W724" s="43" t="str"/>
      <x:c r="X724" s="43" t="str"/>
      <x:c r="Y724" s="43" t="str"/>
      <x:c r="Z724" s="43" t="str">
        <x:v>https://www.get-information-schools.service.gov.uk/Downloads</x:v>
      </x:c>
    </x:row>
    <x:row r="725">
      <x:c r="A725" s="43" t="str">
        <x:v>UK independent</x:v>
      </x:c>
      <x:c r="B725" s="43" t="str">
        <x:v>135155</x:v>
      </x:c>
      <x:c r="C725" s="43" t="n">
        <x:f>IF(K725="Boarding school",30,0)+IF(J725&gt;=18,20,0)+IF(I725&lt;=11,10,0)+IF(L725="Has a sixth form",15,0)+IF(M725&gt;=200,10,0)+IF(N725&lt;&gt;"",10,0)</x:f>
        <x:v>45</x:v>
      </x:c>
      <x:c r="D725" s="43" t="str">
        <x:f>IF(C725&gt;=85,"A",IF(C725&gt;=65,"B","C"))</x:f>
        <x:v>C</x:v>
      </x:c>
      <x:c r="E725" s="43" t="str">
        <x:v>Ayesha Siddiqa Girls School</x:v>
      </x:c>
      <x:c r="F725" s="43" t="str">
        <x:v>Southall</x:v>
      </x:c>
      <x:c r="G725" s="43" t="str">
        <x:v>Middlesex</x:v>
      </x:c>
      <x:c r="H725" s="43" t="str">
        <x:v>UB1 1LS</x:v>
      </x:c>
      <x:c r="I725" s="43" t="n">
        <x:v>11</x:v>
      </x:c>
      <x:c r="J725" s="43" t="n">
        <x:v>19</x:v>
      </x:c>
      <x:c r="K725" s="43" t="str">
        <x:v>No boarders</x:v>
      </x:c>
      <x:c r="L725" s="43" t="str">
        <x:v>Has a sixth form</x:v>
      </x:c>
      <x:c r="M725" s="43" t="n">
        <x:v>69</x:v>
      </x:c>
      <x:c r="N725" s="43" t="str"/>
      <x:c r="O725" s="43" t="str">
        <x:v>02088679284</x:v>
      </x:c>
      <x:c r="P725" s="43" t="str"/>
      <x:c r="Q725" s="43" t="str"/>
      <x:c r="R725" s="43" t="str">
        <x:v>Queued for contact research</x:v>
      </x:c>
      <x:c r="S725" s="43" t="str">
        <x:v>Not reviewed</x:v>
      </x:c>
      <x:c r="T725" s="43" t="str">
        <x:v>Hold</x:v>
      </x:c>
      <x:c r="U725" s="43" t="str">
        <x:v>No</x:v>
      </x:c>
      <x:c r="V725" s="44"/>
      <x:c r="W725" s="43" t="str"/>
      <x:c r="X725" s="43" t="str"/>
      <x:c r="Y725" s="43" t="str"/>
      <x:c r="Z725" s="43" t="str">
        <x:v>https://www.get-information-schools.service.gov.uk/Downloads</x:v>
      </x:c>
    </x:row>
    <x:row r="726">
      <x:c r="A726" s="43" t="str">
        <x:v>UK independent</x:v>
      </x:c>
      <x:c r="B726" s="43" t="str">
        <x:v>146773</x:v>
      </x:c>
      <x:c r="C726" s="43" t="n">
        <x:f>IF(K726="Boarding school",30,0)+IF(J726&gt;=18,20,0)+IF(I726&lt;=11,10,0)+IF(L726="Has a sixth form",15,0)+IF(M726&gt;=200,10,0)+IF(N726&lt;&gt;"",10,0)</x:f>
        <x:v>45</x:v>
      </x:c>
      <x:c r="D726" s="43" t="str">
        <x:f>IF(C726&gt;=85,"A",IF(C726&gt;=65,"B","C"))</x:f>
        <x:v>C</x:v>
      </x:c>
      <x:c r="E726" s="43" t="str">
        <x:v>Greater Manchester Independent School</x:v>
      </x:c>
      <x:c r="F726" s="43" t="str">
        <x:v>Manchester</x:v>
      </x:c>
      <x:c r="G726" s="43" t="str"/>
      <x:c r="H726" s="43" t="str">
        <x:v>M35 0UF</x:v>
      </x:c>
      <x:c r="I726" s="43" t="n">
        <x:v>11</x:v>
      </x:c>
      <x:c r="J726" s="43" t="n">
        <x:v>18</x:v>
      </x:c>
      <x:c r="K726" s="43" t="str">
        <x:v>No boarders</x:v>
      </x:c>
      <x:c r="L726" s="43" t="str">
        <x:v>Has a sixth form</x:v>
      </x:c>
      <x:c r="M726" s="43" t="n">
        <x:v>62</x:v>
      </x:c>
      <x:c r="N726" s="43" t="str"/>
      <x:c r="O726" s="43" t="str">
        <x:v>01612228168</x:v>
      </x:c>
      <x:c r="P726" s="43" t="str"/>
      <x:c r="Q726" s="43" t="str"/>
      <x:c r="R726" s="43" t="str">
        <x:v>Queued for contact research</x:v>
      </x:c>
      <x:c r="S726" s="43" t="str">
        <x:v>Not reviewed</x:v>
      </x:c>
      <x:c r="T726" s="43" t="str">
        <x:v>Hold</x:v>
      </x:c>
      <x:c r="U726" s="43" t="str">
        <x:v>No</x:v>
      </x:c>
      <x:c r="V726" s="44"/>
      <x:c r="W726" s="43" t="str"/>
      <x:c r="X726" s="43" t="str"/>
      <x:c r="Y726" s="43" t="str"/>
      <x:c r="Z726" s="43" t="str">
        <x:v>https://www.get-information-schools.service.gov.uk/Downloads</x:v>
      </x:c>
    </x:row>
    <x:row r="727">
      <x:c r="A727" s="43" t="str">
        <x:v>UK independent</x:v>
      </x:c>
      <x:c r="B727" s="43" t="str">
        <x:v>147462</x:v>
      </x:c>
      <x:c r="C727" s="43" t="n">
        <x:f>IF(K727="Boarding school",30,0)+IF(J727&gt;=18,20,0)+IF(I727&lt;=11,10,0)+IF(L727="Has a sixth form",15,0)+IF(M727&gt;=200,10,0)+IF(N727&lt;&gt;"",10,0)</x:f>
        <x:v>45</x:v>
      </x:c>
      <x:c r="D727" s="43" t="str">
        <x:f>IF(C727&gt;=85,"A",IF(C727&gt;=65,"B","C"))</x:f>
        <x:v>C</x:v>
      </x:c>
      <x:c r="E727" s="43" t="str">
        <x:v>Learning4Life-GY</x:v>
      </x:c>
      <x:c r="F727" s="43" t="str"/>
      <x:c r="G727" s="43" t="str"/>
      <x:c r="H727" s="43" t="str">
        <x:v>DN32 7AP</x:v>
      </x:c>
      <x:c r="I727" s="43" t="n">
        <x:v>14</x:v>
      </x:c>
      <x:c r="J727" s="43" t="n">
        <x:v>19</x:v>
      </x:c>
      <x:c r="K727" s="43" t="str">
        <x:v>No boarders</x:v>
      </x:c>
      <x:c r="L727" s="43" t="str">
        <x:v>Has a sixth form</x:v>
      </x:c>
      <x:c r="M727" s="43" t="n">
        <x:v>57</x:v>
      </x:c>
      <x:c r="N727" s="43" t="str">
        <x:v>https://www.learning4life-gy.co.uk</x:v>
      </x:c>
      <x:c r="O727" s="43" t="str">
        <x:v>01472240440</x:v>
      </x:c>
      <x:c r="P727" s="43" t="str"/>
      <x:c r="Q727" s="43" t="str"/>
      <x:c r="R727" s="43" t="str">
        <x:v>Queued for contact research</x:v>
      </x:c>
      <x:c r="S727" s="43" t="str">
        <x:v>Not reviewed</x:v>
      </x:c>
      <x:c r="T727" s="43" t="str">
        <x:v>Hold</x:v>
      </x:c>
      <x:c r="U727" s="43" t="str">
        <x:v>No</x:v>
      </x:c>
      <x:c r="V727" s="44"/>
      <x:c r="W727" s="43" t="str"/>
      <x:c r="X727" s="43" t="str"/>
      <x:c r="Y727" s="43" t="str"/>
      <x:c r="Z727" s="43" t="str">
        <x:v>https://www.get-information-schools.service.gov.uk/Downloads</x:v>
      </x:c>
    </x:row>
    <x:row r="728">
      <x:c r="A728" s="43" t="str">
        <x:v>UK independent</x:v>
      </x:c>
      <x:c r="B728" s="43" t="str">
        <x:v>147912</x:v>
      </x:c>
      <x:c r="C728" s="43" t="n">
        <x:f>IF(K728="Boarding school",30,0)+IF(J728&gt;=18,20,0)+IF(I728&lt;=11,10,0)+IF(L728="Has a sixth form",15,0)+IF(M728&gt;=200,10,0)+IF(N728&lt;&gt;"",10,0)</x:f>
        <x:v>45</x:v>
      </x:c>
      <x:c r="D728" s="43" t="str">
        <x:f>IF(C728&gt;=85,"A",IF(C728&gt;=65,"B","C"))</x:f>
        <x:v>C</x:v>
      </x:c>
      <x:c r="E728" s="43" t="str">
        <x:v>Westwood Boys School</x:v>
      </x:c>
      <x:c r="F728" s="43" t="str"/>
      <x:c r="G728" s="43" t="str"/>
      <x:c r="H728" s="43" t="str">
        <x:v>OL1 1TE</x:v>
      </x:c>
      <x:c r="I728" s="43" t="n">
        <x:v>11</x:v>
      </x:c>
      <x:c r="J728" s="43" t="n">
        <x:v>19</x:v>
      </x:c>
      <x:c r="K728" s="43" t="str">
        <x:v>No boarders</x:v>
      </x:c>
      <x:c r="L728" s="43" t="str">
        <x:v>Has a sixth form</x:v>
      </x:c>
      <x:c r="M728" s="43" t="n">
        <x:v>44</x:v>
      </x:c>
      <x:c r="N728" s="43" t="str"/>
      <x:c r="O728" s="43" t="str">
        <x:v>01614253599</x:v>
      </x:c>
      <x:c r="P728" s="43" t="str"/>
      <x:c r="Q728" s="43" t="str"/>
      <x:c r="R728" s="43" t="str">
        <x:v>Queued for contact research</x:v>
      </x:c>
      <x:c r="S728" s="43" t="str">
        <x:v>Not reviewed</x:v>
      </x:c>
      <x:c r="T728" s="43" t="str">
        <x:v>Hold</x:v>
      </x:c>
      <x:c r="U728" s="43" t="str">
        <x:v>No</x:v>
      </x:c>
      <x:c r="V728" s="44"/>
      <x:c r="W728" s="43" t="str"/>
      <x:c r="X728" s="43" t="str"/>
      <x:c r="Y728" s="43" t="str"/>
      <x:c r="Z728" s="43" t="str">
        <x:v>https://www.get-information-schools.service.gov.uk/Downloads</x:v>
      </x:c>
    </x:row>
    <x:row r="729">
      <x:c r="A729" s="43" t="str">
        <x:v>UK independent</x:v>
      </x:c>
      <x:c r="B729" s="43" t="str">
        <x:v>131288</x:v>
      </x:c>
      <x:c r="C729" s="43" t="n">
        <x:f>IF(K729="Boarding school",30,0)+IF(J729&gt;=18,20,0)+IF(I729&lt;=11,10,0)+IF(L729="Has a sixth form",15,0)+IF(M729&gt;=200,10,0)+IF(N729&lt;&gt;"",10,0)</x:f>
        <x:v>45</x:v>
      </x:c>
      <x:c r="D729" s="43" t="str">
        <x:f>IF(C729&gt;=85,"A",IF(C729&gt;=65,"B","C"))</x:f>
        <x:v>C</x:v>
      </x:c>
      <x:c r="E729" s="43" t="str">
        <x:v>WENTWORTH COLLEGE</x:v>
      </x:c>
      <x:c r="F729" s="43" t="str">
        <x:v>London</x:v>
      </x:c>
      <x:c r="G729" s="43" t="str"/>
      <x:c r="H729" s="43" t="str">
        <x:v>NW11 9LH</x:v>
      </x:c>
      <x:c r="I729" s="43" t="n">
        <x:v>14</x:v>
      </x:c>
      <x:c r="J729" s="43" t="n">
        <x:v>19</x:v>
      </x:c>
      <x:c r="K729" s="43" t="str">
        <x:v>No boarders</x:v>
      </x:c>
      <x:c r="L729" s="43" t="str">
        <x:v>Has a sixth form</x:v>
      </x:c>
      <x:c r="M729" s="43" t="n">
        <x:v>40</x:v>
      </x:c>
      <x:c r="N729" s="43" t="str">
        <x:v>https://www.wentworthcollege.org</x:v>
      </x:c>
      <x:c r="O729" s="43" t="str">
        <x:v>02084588524</x:v>
      </x:c>
      <x:c r="P729" s="43" t="str"/>
      <x:c r="Q729" s="43" t="str"/>
      <x:c r="R729" s="43" t="str">
        <x:v>Queued for contact research</x:v>
      </x:c>
      <x:c r="S729" s="43" t="str">
        <x:v>Not reviewed</x:v>
      </x:c>
      <x:c r="T729" s="43" t="str">
        <x:v>Hold</x:v>
      </x:c>
      <x:c r="U729" s="43" t="str">
        <x:v>No</x:v>
      </x:c>
      <x:c r="V729" s="44"/>
      <x:c r="W729" s="43" t="str"/>
      <x:c r="X729" s="43" t="str"/>
      <x:c r="Y729" s="43" t="str"/>
      <x:c r="Z729" s="43" t="str">
        <x:v>https://www.get-information-schools.service.gov.uk/Downloads</x:v>
      </x:c>
    </x:row>
    <x:row r="730">
      <x:c r="A730" s="43" t="str">
        <x:v>UK independent</x:v>
      </x:c>
      <x:c r="B730" s="43" t="str">
        <x:v>146553</x:v>
      </x:c>
      <x:c r="C730" s="43" t="n">
        <x:f>IF(K730="Boarding school",30,0)+IF(J730&gt;=18,20,0)+IF(I730&lt;=11,10,0)+IF(L730="Has a sixth form",15,0)+IF(M730&gt;=200,10,0)+IF(N730&lt;&gt;"",10,0)</x:f>
        <x:v>45</x:v>
      </x:c>
      <x:c r="D730" s="43" t="str">
        <x:f>IF(C730&gt;=85,"A",IF(C730&gt;=65,"B","C"))</x:f>
        <x:v>C</x:v>
      </x:c>
      <x:c r="E730" s="43" t="str">
        <x:v>LSI Independent College</x:v>
      </x:c>
      <x:c r="F730" s="43" t="str"/>
      <x:c r="G730" s="43" t="str"/>
      <x:c r="H730" s="43" t="str">
        <x:v>NW3 5QA</x:v>
      </x:c>
      <x:c r="I730" s="43" t="n">
        <x:v>15</x:v>
      </x:c>
      <x:c r="J730" s="43" t="n">
        <x:v>19</x:v>
      </x:c>
      <x:c r="K730" s="43" t="str">
        <x:v>No boarders</x:v>
      </x:c>
      <x:c r="L730" s="43" t="str">
        <x:v>Has a sixth form</x:v>
      </x:c>
      <x:c r="M730" s="43" t="n">
        <x:v>36</x:v>
      </x:c>
      <x:c r="N730" s="43" t="str">
        <x:v>https://www.lsi.college</x:v>
      </x:c>
      <x:c r="O730" s="43" t="str">
        <x:v>02077948111</x:v>
      </x:c>
      <x:c r="P730" s="43" t="str"/>
      <x:c r="Q730" s="43" t="str"/>
      <x:c r="R730" s="43" t="str">
        <x:v>Queued for contact research</x:v>
      </x:c>
      <x:c r="S730" s="43" t="str">
        <x:v>Not reviewed</x:v>
      </x:c>
      <x:c r="T730" s="43" t="str">
        <x:v>Hold</x:v>
      </x:c>
      <x:c r="U730" s="43" t="str">
        <x:v>No</x:v>
      </x:c>
      <x:c r="V730" s="44"/>
      <x:c r="W730" s="43" t="str"/>
      <x:c r="X730" s="43" t="str"/>
      <x:c r="Y730" s="43" t="str"/>
      <x:c r="Z730" s="43" t="str">
        <x:v>https://www.get-information-schools.service.gov.uk/Downloads</x:v>
      </x:c>
    </x:row>
    <x:row r="731">
      <x:c r="A731" s="43" t="str">
        <x:v>UK independent</x:v>
      </x:c>
      <x:c r="B731" s="43" t="str">
        <x:v>137819</x:v>
      </x:c>
      <x:c r="C731" s="43" t="n">
        <x:f>IF(K731="Boarding school",30,0)+IF(J731&gt;=18,20,0)+IF(I731&lt;=11,10,0)+IF(L731="Has a sixth form",15,0)+IF(M731&gt;=200,10,0)+IF(N731&lt;&gt;"",10,0)</x:f>
        <x:v>45</x:v>
      </x:c>
      <x:c r="D731" s="43" t="str">
        <x:f>IF(C731&gt;=85,"A",IF(C731&gt;=65,"B","C"))</x:f>
        <x:v>C</x:v>
      </x:c>
      <x:c r="E731" s="43" t="str">
        <x:v>City United Academy (CUA)</x:v>
      </x:c>
      <x:c r="F731" s="43" t="str">
        <x:v>Birmingham</x:v>
      </x:c>
      <x:c r="G731" s="43" t="str"/>
      <x:c r="H731" s="43" t="str">
        <x:v>B1 2RX</x:v>
      </x:c>
      <x:c r="I731" s="43" t="n">
        <x:v>11</x:v>
      </x:c>
      <x:c r="J731" s="43" t="n">
        <x:v>18</x:v>
      </x:c>
      <x:c r="K731" s="43" t="str">
        <x:v>No boarders</x:v>
      </x:c>
      <x:c r="L731" s="43" t="str">
        <x:v>Has a sixth form</x:v>
      </x:c>
      <x:c r="M731" s="43" t="n">
        <x:v>27</x:v>
      </x:c>
      <x:c r="N731" s="43" t="str"/>
      <x:c r="O731" s="43" t="str">
        <x:v>01213280547</x:v>
      </x:c>
      <x:c r="P731" s="43" t="str"/>
      <x:c r="Q731" s="43" t="str"/>
      <x:c r="R731" s="43" t="str">
        <x:v>Queued for contact research</x:v>
      </x:c>
      <x:c r="S731" s="43" t="str">
        <x:v>Not reviewed</x:v>
      </x:c>
      <x:c r="T731" s="43" t="str">
        <x:v>Hold</x:v>
      </x:c>
      <x:c r="U731" s="43" t="str">
        <x:v>No</x:v>
      </x:c>
      <x:c r="V731" s="44"/>
      <x:c r="W731" s="43" t="str"/>
      <x:c r="X731" s="43" t="str"/>
      <x:c r="Y731" s="43" t="str"/>
      <x:c r="Z731" s="43" t="str">
        <x:v>https://www.get-information-schools.service.gov.uk/Downloads</x:v>
      </x:c>
    </x:row>
    <x:row r="732">
      <x:c r="A732" s="43" t="str">
        <x:v>UK independent</x:v>
      </x:c>
      <x:c r="B732" s="43" t="str">
        <x:v>133541</x:v>
      </x:c>
      <x:c r="C732" s="43" t="n">
        <x:f>IF(K732="Boarding school",30,0)+IF(J732&gt;=18,20,0)+IF(I732&lt;=11,10,0)+IF(L732="Has a sixth form",15,0)+IF(M732&gt;=200,10,0)+IF(N732&lt;&gt;"",10,0)</x:f>
        <x:v>45</x:v>
      </x:c>
      <x:c r="D732" s="43" t="str">
        <x:f>IF(C732&gt;=85,"A",IF(C732&gt;=65,"B","C"))</x:f>
        <x:v>C</x:v>
      </x:c>
      <x:c r="E732" s="43" t="str">
        <x:v>Markazul Uloom</x:v>
      </x:c>
      <x:c r="F732" s="43" t="str">
        <x:v>Blackburn</x:v>
      </x:c>
      <x:c r="G732" s="43" t="str">
        <x:v>Lancashire</x:v>
      </x:c>
      <x:c r="H732" s="43" t="str">
        <x:v>BB2 3NY</x:v>
      </x:c>
      <x:c r="I732" s="43" t="n">
        <x:v>11</x:v>
      </x:c>
      <x:c r="J732" s="43" t="n">
        <x:v>19</x:v>
      </x:c>
      <x:c r="K732" s="43" t="str">
        <x:v>No boarders</x:v>
      </x:c>
      <x:c r="L732" s="43" t="str">
        <x:v>Has a sixth form</x:v>
      </x:c>
      <x:c r="M732" s="43" t="n">
        <x:v>26</x:v>
      </x:c>
      <x:c r="N732" s="43" t="str"/>
      <x:c r="O732" s="43" t="str">
        <x:v>01254660026</x:v>
      </x:c>
      <x:c r="P732" s="43" t="str"/>
      <x:c r="Q732" s="43" t="str"/>
      <x:c r="R732" s="43" t="str">
        <x:v>Queued for contact research</x:v>
      </x:c>
      <x:c r="S732" s="43" t="str">
        <x:v>Not reviewed</x:v>
      </x:c>
      <x:c r="T732" s="43" t="str">
        <x:v>Hold</x:v>
      </x:c>
      <x:c r="U732" s="43" t="str">
        <x:v>No</x:v>
      </x:c>
      <x:c r="V732" s="44"/>
      <x:c r="W732" s="43" t="str"/>
      <x:c r="X732" s="43" t="str"/>
      <x:c r="Y732" s="43" t="str"/>
      <x:c r="Z732" s="43" t="str">
        <x:v>https://www.get-information-schools.service.gov.uk/Downloads</x:v>
      </x:c>
    </x:row>
    <x:row r="733">
      <x:c r="A733" s="43" t="str">
        <x:v>UK independent</x:v>
      </x:c>
      <x:c r="B733" s="43" t="str">
        <x:v>147205</x:v>
      </x:c>
      <x:c r="C733" s="43" t="n">
        <x:f>IF(K733="Boarding school",30,0)+IF(J733&gt;=18,20,0)+IF(I733&lt;=11,10,0)+IF(L733="Has a sixth form",15,0)+IF(M733&gt;=200,10,0)+IF(N733&lt;&gt;"",10,0)</x:f>
        <x:v>45</x:v>
      </x:c>
      <x:c r="D733" s="43" t="str">
        <x:f>IF(C733&gt;=85,"A",IF(C733&gt;=65,"B","C"))</x:f>
        <x:v>C</x:v>
      </x:c>
      <x:c r="E733" s="43" t="str">
        <x:v>VTC Independent School</x:v>
      </x:c>
      <x:c r="F733" s="43" t="str">
        <x:v>Sittingbourne</x:v>
      </x:c>
      <x:c r="G733" s="43" t="str">
        <x:v>Kent</x:v>
      </x:c>
      <x:c r="H733" s="43" t="str">
        <x:v>ME10 3DZ</x:v>
      </x:c>
      <x:c r="I733" s="43" t="n">
        <x:v>13</x:v>
      </x:c>
      <x:c r="J733" s="43" t="n">
        <x:v>18</x:v>
      </x:c>
      <x:c r="K733" s="43" t="str">
        <x:v>No boarders</x:v>
      </x:c>
      <x:c r="L733" s="43" t="str">
        <x:v>Has a sixth form</x:v>
      </x:c>
      <x:c r="M733" s="43" t="n">
        <x:v>21</x:v>
      </x:c>
      <x:c r="N733" s="43" t="str">
        <x:v>https://vtcindependentschool.co.uk/</x:v>
      </x:c>
      <x:c r="O733" s="43" t="str">
        <x:v>01795899240</x:v>
      </x:c>
      <x:c r="P733" s="43" t="str"/>
      <x:c r="Q733" s="43" t="str"/>
      <x:c r="R733" s="43" t="str">
        <x:v>Queued for contact research</x:v>
      </x:c>
      <x:c r="S733" s="43" t="str">
        <x:v>Not reviewed</x:v>
      </x:c>
      <x:c r="T733" s="43" t="str">
        <x:v>Hold</x:v>
      </x:c>
      <x:c r="U733" s="43" t="str">
        <x:v>No</x:v>
      </x:c>
      <x:c r="V733" s="44"/>
      <x:c r="W733" s="43" t="str"/>
      <x:c r="X733" s="43" t="str"/>
      <x:c r="Y733" s="43" t="str"/>
      <x:c r="Z733" s="43" t="str">
        <x:v>https://www.get-information-schools.service.gov.uk/Downloads</x:v>
      </x:c>
    </x:row>
    <x:row r="734">
      <x:c r="A734" s="43" t="str">
        <x:v>UK independent</x:v>
      </x:c>
      <x:c r="B734" s="43" t="str">
        <x:v>147547</x:v>
      </x:c>
      <x:c r="C734" s="43" t="n">
        <x:f>IF(K734="Boarding school",30,0)+IF(J734&gt;=18,20,0)+IF(I734&lt;=11,10,0)+IF(L734="Has a sixth form",15,0)+IF(M734&gt;=200,10,0)+IF(N734&lt;&gt;"",10,0)</x:f>
        <x:v>45</x:v>
      </x:c>
      <x:c r="D734" s="43" t="str">
        <x:f>IF(C734&gt;=85,"A",IF(C734&gt;=65,"B","C"))</x:f>
        <x:v>C</x:v>
      </x:c>
      <x:c r="E734" s="43" t="str">
        <x:v>Roehampton Hospital School</x:v>
      </x:c>
      <x:c r="F734" s="43" t="str"/>
      <x:c r="G734" s="43" t="str"/>
      <x:c r="H734" s="43" t="str">
        <x:v>SW15 5JJ</x:v>
      </x:c>
      <x:c r="I734" s="43" t="n">
        <x:v>11</x:v>
      </x:c>
      <x:c r="J734" s="43" t="n">
        <x:v>18</x:v>
      </x:c>
      <x:c r="K734" s="43" t="str">
        <x:v>No boarders</x:v>
      </x:c>
      <x:c r="L734" s="43" t="str">
        <x:v>Has a sixth form</x:v>
      </x:c>
      <x:c r="M734" s="43" t="n">
        <x:v>18</x:v>
      </x:c>
      <x:c r="N734" s="43" t="str"/>
      <x:c r="O734" s="43" t="str">
        <x:v>02088768261</x:v>
      </x:c>
      <x:c r="P734" s="43" t="str"/>
      <x:c r="Q734" s="43" t="str"/>
      <x:c r="R734" s="43" t="str">
        <x:v>Queued for contact research</x:v>
      </x:c>
      <x:c r="S734" s="43" t="str">
        <x:v>Not reviewed</x:v>
      </x:c>
      <x:c r="T734" s="43" t="str">
        <x:v>Hold</x:v>
      </x:c>
      <x:c r="U734" s="43" t="str">
        <x:v>No</x:v>
      </x:c>
      <x:c r="V734" s="44"/>
      <x:c r="W734" s="43" t="str"/>
      <x:c r="X734" s="43" t="str"/>
      <x:c r="Y734" s="43" t="str"/>
      <x:c r="Z734" s="43" t="str">
        <x:v>https://www.get-information-schools.service.gov.uk/Downloads</x:v>
      </x:c>
    </x:row>
    <x:row r="735">
      <x:c r="A735" s="43" t="str">
        <x:v>UK independent</x:v>
      </x:c>
      <x:c r="B735" s="43" t="str">
        <x:v>101959</x:v>
      </x:c>
      <x:c r="C735" s="43" t="n">
        <x:f>IF(K735="Boarding school",30,0)+IF(J735&gt;=18,20,0)+IF(I735&lt;=11,10,0)+IF(L735="Has a sixth form",15,0)+IF(M735&gt;=200,10,0)+IF(N735&lt;&gt;"",10,0)</x:f>
        <x:v>45</x:v>
      </x:c>
      <x:c r="D735" s="43" t="str">
        <x:f>IF(C735&gt;=85,"A",IF(C735&gt;=65,"B","C"))</x:f>
        <x:v>C</x:v>
      </x:c>
      <x:c r="E735" s="43" t="str">
        <x:v>Greek Secondary School of London</x:v>
      </x:c>
      <x:c r="F735" s="43" t="str">
        <x:v>London</x:v>
      </x:c>
      <x:c r="G735" s="43" t="str"/>
      <x:c r="H735" s="43" t="str">
        <x:v>N22 8LB</x:v>
      </x:c>
      <x:c r="I735" s="43" t="n">
        <x:v>12</x:v>
      </x:c>
      <x:c r="J735" s="43" t="n">
        <x:v>18</x:v>
      </x:c>
      <x:c r="K735" s="43" t="str">
        <x:v>No boarders</x:v>
      </x:c>
      <x:c r="L735" s="43" t="str">
        <x:v>Has a sixth form</x:v>
      </x:c>
      <x:c r="M735" s="43" t="n">
        <x:v>17</x:v>
      </x:c>
      <x:c r="N735" s="43" t="str">
        <x:v>https://www.greekschool-london.com/</x:v>
      </x:c>
      <x:c r="O735" s="43" t="str">
        <x:v>02088819320</x:v>
      </x:c>
      <x:c r="P735" s="43" t="str"/>
      <x:c r="Q735" s="43" t="str"/>
      <x:c r="R735" s="43" t="str">
        <x:v>Queued for contact research</x:v>
      </x:c>
      <x:c r="S735" s="43" t="str">
        <x:v>Not reviewed</x:v>
      </x:c>
      <x:c r="T735" s="43" t="str">
        <x:v>Hold</x:v>
      </x:c>
      <x:c r="U735" s="43" t="str">
        <x:v>No</x:v>
      </x:c>
      <x:c r="V735" s="44"/>
      <x:c r="W735" s="43" t="str"/>
      <x:c r="X735" s="43" t="str"/>
      <x:c r="Y735" s="43" t="str"/>
      <x:c r="Z735" s="43" t="str">
        <x:v>https://www.get-information-schools.service.gov.uk/Downloads</x:v>
      </x:c>
    </x:row>
    <x:row r="736">
      <x:c r="A736" s="43" t="str">
        <x:v>UK independent</x:v>
      </x:c>
      <x:c r="B736" s="43" t="str">
        <x:v>143418</x:v>
      </x:c>
      <x:c r="C736" s="43" t="n">
        <x:f>IF(K736="Boarding school",30,0)+IF(J736&gt;=18,20,0)+IF(I736&lt;=11,10,0)+IF(L736="Has a sixth form",15,0)+IF(M736&gt;=200,10,0)+IF(N736&lt;&gt;"",10,0)</x:f>
        <x:v>45</x:v>
      </x:c>
      <x:c r="D736" s="43" t="str">
        <x:f>IF(C736&gt;=85,"A",IF(C736&gt;=65,"B","C"))</x:f>
        <x:v>C</x:v>
      </x:c>
      <x:c r="E736" s="43" t="str">
        <x:v>Birmingham Independent College</x:v>
      </x:c>
      <x:c r="F736" s="43" t="str">
        <x:v>Birmingham</x:v>
      </x:c>
      <x:c r="G736" s="43" t="str">
        <x:v>West Midlands</x:v>
      </x:c>
      <x:c r="H736" s="43" t="str">
        <x:v>B6 5NU</x:v>
      </x:c>
      <x:c r="I736" s="43" t="n">
        <x:v>14</x:v>
      </x:c>
      <x:c r="J736" s="43" t="n">
        <x:v>25</x:v>
      </x:c>
      <x:c r="K736" s="43" t="str">
        <x:v>No boarders</x:v>
      </x:c>
      <x:c r="L736" s="43" t="str">
        <x:v>Has a sixth form</x:v>
      </x:c>
      <x:c r="M736" s="43" t="n">
        <x:v>12</x:v>
      </x:c>
      <x:c r="N736" s="43" t="str">
        <x:v>https://www.bicollege.org</x:v>
      </x:c>
      <x:c r="O736" s="43" t="str">
        <x:v>01215070904</x:v>
      </x:c>
      <x:c r="P736" s="43" t="str"/>
      <x:c r="Q736" s="43" t="str"/>
      <x:c r="R736" s="43" t="str">
        <x:v>Queued for contact research</x:v>
      </x:c>
      <x:c r="S736" s="43" t="str">
        <x:v>Not reviewed</x:v>
      </x:c>
      <x:c r="T736" s="43" t="str">
        <x:v>Hold</x:v>
      </x:c>
      <x:c r="U736" s="43" t="str">
        <x:v>No</x:v>
      </x:c>
      <x:c r="V736" s="44"/>
      <x:c r="W736" s="43" t="str"/>
      <x:c r="X736" s="43" t="str"/>
      <x:c r="Y736" s="43" t="str"/>
      <x:c r="Z736" s="43" t="str">
        <x:v>https://www.get-information-schools.service.gov.uk/Downloads</x:v>
      </x:c>
    </x:row>
    <x:row r="737">
      <x:c r="A737" s="43" t="str">
        <x:v>UK independent</x:v>
      </x:c>
      <x:c r="B737" s="43" t="str">
        <x:v>149028</x:v>
      </x:c>
      <x:c r="C737" s="43" t="n">
        <x:f>IF(K737="Boarding school",30,0)+IF(J737&gt;=18,20,0)+IF(I737&lt;=11,10,0)+IF(L737="Has a sixth form",15,0)+IF(M737&gt;=200,10,0)+IF(N737&lt;&gt;"",10,0)</x:f>
        <x:v>45</x:v>
      </x:c>
      <x:c r="D737" s="43" t="str">
        <x:f>IF(C737&gt;=85,"A",IF(C737&gt;=65,"B","C"))</x:f>
        <x:v>C</x:v>
      </x:c>
      <x:c r="E737" s="43" t="str">
        <x:v>Bere Clinic School</x:v>
      </x:c>
      <x:c r="F737" s="43" t="str"/>
      <x:c r="G737" s="43" t="str"/>
      <x:c r="H737" s="43" t="str">
        <x:v>PO8 8QT</x:v>
      </x:c>
      <x:c r="I737" s="43" t="n">
        <x:v>11</x:v>
      </x:c>
      <x:c r="J737" s="43" t="n">
        <x:v>18</x:v>
      </x:c>
      <x:c r="K737" s="43" t="str">
        <x:v>No boarders</x:v>
      </x:c>
      <x:c r="L737" s="43" t="str">
        <x:v>Has a sixth form</x:v>
      </x:c>
      <x:c r="M737" s="43" t="n">
        <x:v>10</x:v>
      </x:c>
      <x:c r="N737" s="43" t="str"/>
      <x:c r="O737" s="43" t="str">
        <x:v>02394314108</x:v>
      </x:c>
      <x:c r="P737" s="43" t="str"/>
      <x:c r="Q737" s="43" t="str"/>
      <x:c r="R737" s="43" t="str">
        <x:v>Queued for contact research</x:v>
      </x:c>
      <x:c r="S737" s="43" t="str">
        <x:v>Not reviewed</x:v>
      </x:c>
      <x:c r="T737" s="43" t="str">
        <x:v>Hold</x:v>
      </x:c>
      <x:c r="U737" s="43" t="str">
        <x:v>No</x:v>
      </x:c>
      <x:c r="V737" s="44"/>
      <x:c r="W737" s="43" t="str"/>
      <x:c r="X737" s="43" t="str"/>
      <x:c r="Y737" s="43" t="str"/>
      <x:c r="Z737" s="43" t="str">
        <x:v>https://www.get-information-schools.service.gov.uk/Downloads</x:v>
      </x:c>
    </x:row>
    <x:row r="738">
      <x:c r="A738" s="43" t="str">
        <x:v>UK independent</x:v>
      </x:c>
      <x:c r="B738" s="43" t="str">
        <x:v>135422</x:v>
      </x:c>
      <x:c r="C738" s="43" t="n">
        <x:f>IF(K738="Boarding school",30,0)+IF(J738&gt;=18,20,0)+IF(I738&lt;=11,10,0)+IF(L738="Has a sixth form",15,0)+IF(M738&gt;=200,10,0)+IF(N738&lt;&gt;"",10,0)</x:f>
        <x:v>45</x:v>
      </x:c>
      <x:c r="D738" s="43" t="str">
        <x:f>IF(C738&gt;=85,"A",IF(C738&gt;=65,"B","C"))</x:f>
        <x:v>C</x:v>
      </x:c>
      <x:c r="E738" s="43" t="str">
        <x:v>Future First Independent School</x:v>
      </x:c>
      <x:c r="F738" s="43" t="str">
        <x:v>Birmingham</x:v>
      </x:c>
      <x:c r="G738" s="43" t="str">
        <x:v>West Midlands</x:v>
      </x:c>
      <x:c r="H738" s="43" t="str">
        <x:v>B18 7RL</x:v>
      </x:c>
      <x:c r="I738" s="43" t="n">
        <x:v>13</x:v>
      </x:c>
      <x:c r="J738" s="43" t="n">
        <x:v>18</x:v>
      </x:c>
      <x:c r="K738" s="43" t="str">
        <x:v>No boarders</x:v>
      </x:c>
      <x:c r="L738" s="43" t="str">
        <x:v>Has a sixth form</x:v>
      </x:c>
      <x:c r="M738" s="43" t="n">
        <x:v>9</x:v>
      </x:c>
      <x:c r="N738" s="43" t="str">
        <x:v>https://www.futurefirstschool.co.uk</x:v>
      </x:c>
      <x:c r="O738" s="43" t="str">
        <x:v>01215514837</x:v>
      </x:c>
      <x:c r="P738" s="43" t="str"/>
      <x:c r="Q738" s="43" t="str"/>
      <x:c r="R738" s="43" t="str">
        <x:v>Queued for contact research</x:v>
      </x:c>
      <x:c r="S738" s="43" t="str">
        <x:v>Not reviewed</x:v>
      </x:c>
      <x:c r="T738" s="43" t="str">
        <x:v>Hold</x:v>
      </x:c>
      <x:c r="U738" s="43" t="str">
        <x:v>No</x:v>
      </x:c>
      <x:c r="V738" s="44"/>
      <x:c r="W738" s="43" t="str"/>
      <x:c r="X738" s="43" t="str"/>
      <x:c r="Y738" s="43" t="str"/>
      <x:c r="Z738" s="43" t="str">
        <x:v>https://www.get-information-schools.service.gov.uk/Downloads</x:v>
      </x:c>
    </x:row>
    <x:row r="739">
      <x:c r="A739" s="43" t="str">
        <x:v>UK independent</x:v>
      </x:c>
      <x:c r="B739" s="43" t="str">
        <x:v>137567</x:v>
      </x:c>
      <x:c r="C739" s="43" t="n">
        <x:f>IF(K739="Boarding school",30,0)+IF(J739&gt;=18,20,0)+IF(I739&lt;=11,10,0)+IF(L739="Has a sixth form",15,0)+IF(M739&gt;=200,10,0)+IF(N739&lt;&gt;"",10,0)</x:f>
        <x:v>45</x:v>
      </x:c>
      <x:c r="D739" s="43" t="str">
        <x:f>IF(C739&gt;=85,"A",IF(C739&gt;=65,"B","C"))</x:f>
        <x:v>C</x:v>
      </x:c>
      <x:c r="E739" s="43" t="str">
        <x:v>Croydon Metropolitan College</x:v>
      </x:c>
      <x:c r="F739" s="43" t="str">
        <x:v>Croydon</x:v>
      </x:c>
      <x:c r="G739" s="43" t="str">
        <x:v>Surrey</x:v>
      </x:c>
      <x:c r="H739" s="43" t="str">
        <x:v>CR0 1DN</x:v>
      </x:c>
      <x:c r="I739" s="43" t="n">
        <x:v>14</x:v>
      </x:c>
      <x:c r="J739" s="43" t="n">
        <x:v>35</x:v>
      </x:c>
      <x:c r="K739" s="43" t="str">
        <x:v>No boarders</x:v>
      </x:c>
      <x:c r="L739" s="43" t="str">
        <x:v>Has a sixth form</x:v>
      </x:c>
      <x:c r="M739" s="43" t="n">
        <x:v>5</x:v>
      </x:c>
      <x:c r="N739" s="43" t="str">
        <x:v>https://www.croydonmet.org.uk</x:v>
      </x:c>
      <x:c r="O739" s="43" t="str">
        <x:v>02086885777</x:v>
      </x:c>
      <x:c r="P739" s="43" t="str"/>
      <x:c r="Q739" s="43" t="str"/>
      <x:c r="R739" s="43" t="str">
        <x:v>Queued for contact research</x:v>
      </x:c>
      <x:c r="S739" s="43" t="str">
        <x:v>Not reviewed</x:v>
      </x:c>
      <x:c r="T739" s="43" t="str">
        <x:v>Hold</x:v>
      </x:c>
      <x:c r="U739" s="43" t="str">
        <x:v>No</x:v>
      </x:c>
      <x:c r="V739" s="44"/>
      <x:c r="W739" s="43" t="str"/>
      <x:c r="X739" s="43" t="str"/>
      <x:c r="Y739" s="43" t="str"/>
      <x:c r="Z739" s="43" t="str">
        <x:v>https://www.get-information-schools.service.gov.uk/Downloads</x:v>
      </x:c>
    </x:row>
    <x:row r="740">
      <x:c r="A740" s="43" t="str">
        <x:v>UK independent</x:v>
      </x:c>
      <x:c r="B740" s="43" t="str">
        <x:v>145170</x:v>
      </x:c>
      <x:c r="C740" s="43" t="n">
        <x:f>IF(K740="Boarding school",30,0)+IF(J740&gt;=18,20,0)+IF(I740&lt;=11,10,0)+IF(L740="Has a sixth form",15,0)+IF(M740&gt;=200,10,0)+IF(N740&lt;&gt;"",10,0)</x:f>
        <x:v>45</x:v>
      </x:c>
      <x:c r="D740" s="43" t="str">
        <x:f>IF(C740&gt;=85,"A",IF(C740&gt;=65,"B","C"))</x:f>
        <x:v>C</x:v>
      </x:c>
      <x:c r="E740" s="43" t="str">
        <x:v>Elizabeth House School</x:v>
      </x:c>
      <x:c r="F740" s="43" t="str"/>
      <x:c r="G740" s="43" t="str"/>
      <x:c r="H740" s="43" t="str">
        <x:v>M24 4BD</x:v>
      </x:c>
      <x:c r="I740" s="43" t="n">
        <x:v>11</x:v>
      </x:c>
      <x:c r="J740" s="43" t="n">
        <x:v>18</x:v>
      </x:c>
      <x:c r="K740" s="43" t="str">
        <x:v>No boarders</x:v>
      </x:c>
      <x:c r="L740" s="43" t="str">
        <x:v>Has a sixth form</x:v>
      </x:c>
      <x:c r="M740" s="43" t="n">
        <x:v>5</x:v>
      </x:c>
      <x:c r="N740" s="43" t="str"/>
      <x:c r="O740" s="43" t="str">
        <x:v>01618238173</x:v>
      </x:c>
      <x:c r="P740" s="43" t="str"/>
      <x:c r="Q740" s="43" t="str"/>
      <x:c r="R740" s="43" t="str">
        <x:v>Queued for contact research</x:v>
      </x:c>
      <x:c r="S740" s="43" t="str">
        <x:v>Not reviewed</x:v>
      </x:c>
      <x:c r="T740" s="43" t="str">
        <x:v>Hold</x:v>
      </x:c>
      <x:c r="U740" s="43" t="str">
        <x:v>No</x:v>
      </x:c>
      <x:c r="V740" s="44"/>
      <x:c r="W740" s="43" t="str"/>
      <x:c r="X740" s="43" t="str"/>
      <x:c r="Y740" s="43" t="str"/>
      <x:c r="Z740" s="43" t="str">
        <x:v>https://www.get-information-schools.service.gov.uk/Downloads</x:v>
      </x:c>
    </x:row>
    <x:row r="741">
      <x:c r="A741" s="43" t="str">
        <x:v>UK independent</x:v>
      </x:c>
      <x:c r="B741" s="43" t="str">
        <x:v>145295</x:v>
      </x:c>
      <x:c r="C741" s="43" t="n">
        <x:f>IF(K741="Boarding school",30,0)+IF(J741&gt;=18,20,0)+IF(I741&lt;=11,10,0)+IF(L741="Has a sixth form",15,0)+IF(M741&gt;=200,10,0)+IF(N741&lt;&gt;"",10,0)</x:f>
        <x:v>45</x:v>
      </x:c>
      <x:c r="D741" s="43" t="str">
        <x:f>IF(C741&gt;=85,"A",IF(C741&gt;=65,"B","C"))</x:f>
        <x:v>C</x:v>
      </x:c>
      <x:c r="E741" s="43" t="str">
        <x:v>Unique Children's School</x:v>
      </x:c>
      <x:c r="F741" s="43" t="str"/>
      <x:c r="G741" s="43" t="str"/>
      <x:c r="H741" s="43" t="str">
        <x:v>N10 2PS</x:v>
      </x:c>
      <x:c r="I741" s="43" t="n">
        <x:v>11</x:v>
      </x:c>
      <x:c r="J741" s="43" t="n">
        <x:v>18</x:v>
      </x:c>
      <x:c r="K741" s="43" t="str">
        <x:v>No boarders</x:v>
      </x:c>
      <x:c r="L741" s="43" t="str">
        <x:v>Has a sixth form</x:v>
      </x:c>
      <x:c r="M741" s="43" t="n">
        <x:v>2</x:v>
      </x:c>
      <x:c r="N741" s="43" t="str"/>
      <x:c r="O741" s="43" t="str">
        <x:v>02082923060</x:v>
      </x:c>
      <x:c r="P741" s="43" t="str"/>
      <x:c r="Q741" s="43" t="str"/>
      <x:c r="R741" s="43" t="str">
        <x:v>Queued for contact research</x:v>
      </x:c>
      <x:c r="S741" s="43" t="str">
        <x:v>Not reviewed</x:v>
      </x:c>
      <x:c r="T741" s="43" t="str">
        <x:v>Hold</x:v>
      </x:c>
      <x:c r="U741" s="43" t="str">
        <x:v>No</x:v>
      </x:c>
      <x:c r="V741" s="44"/>
      <x:c r="W741" s="43" t="str"/>
      <x:c r="X741" s="43" t="str"/>
      <x:c r="Y741" s="43" t="str"/>
      <x:c r="Z741" s="43" t="str">
        <x:v>https://www.get-information-schools.service.gov.uk/Downloads</x:v>
      </x:c>
    </x:row>
    <x:row r="742">
      <x:c r="A742" s="43" t="str">
        <x:v>UK independent</x:v>
      </x:c>
      <x:c r="B742" s="43" t="str">
        <x:v>126521</x:v>
      </x:c>
      <x:c r="C742" s="43" t="n">
        <x:f>IF(K742="Boarding school",30,0)+IF(J742&gt;=18,20,0)+IF(I742&lt;=11,10,0)+IF(L742="Has a sixth form",15,0)+IF(M742&gt;=200,10,0)+IF(N742&lt;&gt;"",10,0)</x:f>
        <x:v>40</x:v>
      </x:c>
      <x:c r="D742" s="43" t="str">
        <x:f>IF(C742&gt;=85,"A",IF(C742&gt;=65,"B","C"))</x:f>
        <x:v>C</x:v>
      </x:c>
      <x:c r="E742" s="43" t="str">
        <x:v>Sandroyd School</x:v>
      </x:c>
      <x:c r="F742" s="43" t="str">
        <x:v>Salisbury</x:v>
      </x:c>
      <x:c r="G742" s="43" t="str">
        <x:v>Wiltshire</x:v>
      </x:c>
      <x:c r="H742" s="43" t="str">
        <x:v>SP5 5QD</x:v>
      </x:c>
      <x:c r="I742" s="43" t="n">
        <x:v>2</x:v>
      </x:c>
      <x:c r="J742" s="43" t="n">
        <x:v>13</x:v>
      </x:c>
      <x:c r="K742" s="43" t="str">
        <x:v>Boarding school</x:v>
      </x:c>
      <x:c r="L742" s="43" t="str">
        <x:v>Does not have a sixth form</x:v>
      </x:c>
      <x:c r="M742" s="43" t="n">
        <x:v>194</x:v>
      </x:c>
      <x:c r="N742" s="43" t="str"/>
      <x:c r="O742" s="43" t="str">
        <x:v>01725516264</x:v>
      </x:c>
      <x:c r="P742" s="43" t="str"/>
      <x:c r="Q742" s="43" t="str"/>
      <x:c r="R742" s="43" t="str">
        <x:v>Queued for contact research</x:v>
      </x:c>
      <x:c r="S742" s="43" t="str">
        <x:v>Not reviewed</x:v>
      </x:c>
      <x:c r="T742" s="43" t="str">
        <x:v>Hold</x:v>
      </x:c>
      <x:c r="U742" s="43" t="str">
        <x:v>No</x:v>
      </x:c>
      <x:c r="V742" s="44"/>
      <x:c r="W742" s="43" t="str"/>
      <x:c r="X742" s="43" t="str"/>
      <x:c r="Y742" s="43" t="str"/>
      <x:c r="Z742" s="43" t="str">
        <x:v>https://www.get-information-schools.service.gov.uk/Downloads</x:v>
      </x:c>
    </x:row>
    <x:row r="743">
      <x:c r="A743" s="43" t="str">
        <x:v>UK independent</x:v>
      </x:c>
      <x:c r="B743" s="43" t="str">
        <x:v>110138</x:v>
      </x:c>
      <x:c r="C743" s="43" t="n">
        <x:f>IF(K743="Boarding school",30,0)+IF(J743&gt;=18,20,0)+IF(I743&lt;=11,10,0)+IF(L743="Has a sixth form",15,0)+IF(M743&gt;=200,10,0)+IF(N743&lt;&gt;"",10,0)</x:f>
        <x:v>40</x:v>
      </x:c>
      <x:c r="D743" s="43" t="str">
        <x:f>IF(C743&gt;=85,"A",IF(C743&gt;=65,"B","C"))</x:f>
        <x:v>C</x:v>
      </x:c>
      <x:c r="E743" s="43" t="str">
        <x:v>Ludgrove School</x:v>
      </x:c>
      <x:c r="F743" s="43" t="str"/>
      <x:c r="G743" s="43" t="str"/>
      <x:c r="H743" s="43" t="str">
        <x:v>RG40 3AB</x:v>
      </x:c>
      <x:c r="I743" s="43" t="n">
        <x:v>8</x:v>
      </x:c>
      <x:c r="J743" s="43" t="n">
        <x:v>13</x:v>
      </x:c>
      <x:c r="K743" s="43" t="str">
        <x:v>Boarding school</x:v>
      </x:c>
      <x:c r="L743" s="43" t="str">
        <x:v>Does not have a sixth form</x:v>
      </x:c>
      <x:c r="M743" s="43" t="n">
        <x:v>187</x:v>
      </x:c>
      <x:c r="N743" s="43" t="str"/>
      <x:c r="O743" s="43" t="str">
        <x:v>01189789881</x:v>
      </x:c>
      <x:c r="P743" s="43" t="str"/>
      <x:c r="Q743" s="43" t="str"/>
      <x:c r="R743" s="43" t="str">
        <x:v>Queued for contact research</x:v>
      </x:c>
      <x:c r="S743" s="43" t="str">
        <x:v>Not reviewed</x:v>
      </x:c>
      <x:c r="T743" s="43" t="str">
        <x:v>Hold</x:v>
      </x:c>
      <x:c r="U743" s="43" t="str">
        <x:v>No</x:v>
      </x:c>
      <x:c r="V743" s="44"/>
      <x:c r="W743" s="43" t="str"/>
      <x:c r="X743" s="43" t="str"/>
      <x:c r="Y743" s="43" t="str"/>
      <x:c r="Z743" s="43" t="str">
        <x:v>https://www.get-information-schools.service.gov.uk/Downloads</x:v>
      </x:c>
    </x:row>
    <x:row r="744">
      <x:c r="A744" s="43" t="str">
        <x:v>UK independent</x:v>
      </x:c>
      <x:c r="B744" s="43" t="str">
        <x:v>123617</x:v>
      </x:c>
      <x:c r="C744" s="43" t="n">
        <x:f>IF(K744="Boarding school",30,0)+IF(J744&gt;=18,20,0)+IF(I744&lt;=11,10,0)+IF(L744="Has a sixth form",15,0)+IF(M744&gt;=200,10,0)+IF(N744&lt;&gt;"",10,0)</x:f>
        <x:v>40</x:v>
      </x:c>
      <x:c r="D744" s="43" t="str">
        <x:f>IF(C744&gt;=85,"A",IF(C744&gt;=65,"B","C"))</x:f>
        <x:v>C</x:v>
      </x:c>
      <x:c r="E744" s="43" t="str">
        <x:v>Moor Park School</x:v>
      </x:c>
      <x:c r="F744" s="43" t="str">
        <x:v>Ludlow</x:v>
      </x:c>
      <x:c r="G744" s="43" t="str">
        <x:v>Shropshire</x:v>
      </x:c>
      <x:c r="H744" s="43" t="str">
        <x:v>SY8 4DZ</x:v>
      </x:c>
      <x:c r="I744" s="43" t="n">
        <x:v>0</x:v>
      </x:c>
      <x:c r="J744" s="43" t="n">
        <x:v>13</x:v>
      </x:c>
      <x:c r="K744" s="43" t="str">
        <x:v>Boarding school</x:v>
      </x:c>
      <x:c r="L744" s="43" t="str">
        <x:v>Does not have a sixth form</x:v>
      </x:c>
      <x:c r="M744" s="43" t="n">
        <x:v>180</x:v>
      </x:c>
      <x:c r="N744" s="43" t="str"/>
      <x:c r="O744" s="43" t="str">
        <x:v>01584872342</x:v>
      </x:c>
      <x:c r="P744" s="43" t="str"/>
      <x:c r="Q744" s="43" t="str"/>
      <x:c r="R744" s="43" t="str">
        <x:v>Queued for contact research</x:v>
      </x:c>
      <x:c r="S744" s="43" t="str">
        <x:v>Not reviewed</x:v>
      </x:c>
      <x:c r="T744" s="43" t="str">
        <x:v>Hold</x:v>
      </x:c>
      <x:c r="U744" s="43" t="str">
        <x:v>No</x:v>
      </x:c>
      <x:c r="V744" s="44"/>
      <x:c r="W744" s="43" t="str"/>
      <x:c r="X744" s="43" t="str"/>
      <x:c r="Y744" s="43" t="str"/>
      <x:c r="Z744" s="43" t="str">
        <x:v>https://www.get-information-schools.service.gov.uk/Downloads</x:v>
      </x:c>
    </x:row>
    <x:row r="745">
      <x:c r="A745" s="43" t="str">
        <x:v>UK independent</x:v>
      </x:c>
      <x:c r="B745" s="43" t="str">
        <x:v>126106</x:v>
      </x:c>
      <x:c r="C745" s="43" t="n">
        <x:f>IF(K745="Boarding school",30,0)+IF(J745&gt;=18,20,0)+IF(I745&lt;=11,10,0)+IF(L745="Has a sixth form",15,0)+IF(M745&gt;=200,10,0)+IF(N745&lt;&gt;"",10,0)</x:f>
        <x:v>40</x:v>
      </x:c>
      <x:c r="D745" s="43" t="str">
        <x:f>IF(C745&gt;=85,"A",IF(C745&gt;=65,"B","C"))</x:f>
        <x:v>C</x:v>
      </x:c>
      <x:c r="E745" s="43" t="str">
        <x:v>Cottesmore School</x:v>
      </x:c>
      <x:c r="F745" s="43" t="str">
        <x:v>Crawley</x:v>
      </x:c>
      <x:c r="G745" s="43" t="str">
        <x:v>West Sussex</x:v>
      </x:c>
      <x:c r="H745" s="43" t="str">
        <x:v>RH11 9AU</x:v>
      </x:c>
      <x:c r="I745" s="43" t="n">
        <x:v>4</x:v>
      </x:c>
      <x:c r="J745" s="43" t="n">
        <x:v>13</x:v>
      </x:c>
      <x:c r="K745" s="43" t="str">
        <x:v>Boarding school</x:v>
      </x:c>
      <x:c r="L745" s="43" t="str">
        <x:v>Does not have a sixth form</x:v>
      </x:c>
      <x:c r="M745" s="43" t="n">
        <x:v>173</x:v>
      </x:c>
      <x:c r="N745" s="43" t="str"/>
      <x:c r="O745" s="43" t="str">
        <x:v>01293520648</x:v>
      </x:c>
      <x:c r="P745" s="43" t="str"/>
      <x:c r="Q745" s="43" t="str"/>
      <x:c r="R745" s="43" t="str">
        <x:v>Queued for contact research</x:v>
      </x:c>
      <x:c r="S745" s="43" t="str">
        <x:v>Not reviewed</x:v>
      </x:c>
      <x:c r="T745" s="43" t="str">
        <x:v>Hold</x:v>
      </x:c>
      <x:c r="U745" s="43" t="str">
        <x:v>No</x:v>
      </x:c>
      <x:c r="V745" s="44"/>
      <x:c r="W745" s="43" t="str"/>
      <x:c r="X745" s="43" t="str"/>
      <x:c r="Y745" s="43" t="str"/>
      <x:c r="Z745" s="43" t="str">
        <x:v>https://www.get-information-schools.service.gov.uk/Downloads</x:v>
      </x:c>
    </x:row>
    <x:row r="746">
      <x:c r="A746" s="43" t="str">
        <x:v>UK independent</x:v>
      </x:c>
      <x:c r="B746" s="43" t="str">
        <x:v>120729</x:v>
      </x:c>
      <x:c r="C746" s="43" t="n">
        <x:f>IF(K746="Boarding school",30,0)+IF(J746&gt;=18,20,0)+IF(I746&lt;=11,10,0)+IF(L746="Has a sixth form",15,0)+IF(M746&gt;=200,10,0)+IF(N746&lt;&gt;"",10,0)</x:f>
        <x:v>40</x:v>
      </x:c>
      <x:c r="D746" s="43" t="str">
        <x:f>IF(C746&gt;=85,"A",IF(C746&gt;=65,"B","C"))</x:f>
        <x:v>C</x:v>
      </x:c>
      <x:c r="E746" s="43" t="str">
        <x:v>Kirkstone House School</x:v>
      </x:c>
      <x:c r="F746" s="43" t="str">
        <x:v>Peterborough</x:v>
      </x:c>
      <x:c r="G746" s="43" t="str">
        <x:v>Cambridgeshire</x:v>
      </x:c>
      <x:c r="H746" s="43" t="str">
        <x:v>PE6 9PA</x:v>
      </x:c>
      <x:c r="I746" s="43" t="n">
        <x:v>4</x:v>
      </x:c>
      <x:c r="J746" s="43" t="n">
        <x:v>18</x:v>
      </x:c>
      <x:c r="K746" s="43" t="str">
        <x:v>No boarders</x:v>
      </x:c>
      <x:c r="L746" s="43" t="str">
        <x:v>Does not have a sixth form</x:v>
      </x:c>
      <x:c r="M746" s="43" t="n">
        <x:v>118</x:v>
      </x:c>
      <x:c r="N746" s="43" t="str">
        <x:v>https://www.kirkstonehouseschool.co.uk</x:v>
      </x:c>
      <x:c r="O746" s="43" t="str">
        <x:v>01778560350</x:v>
      </x:c>
      <x:c r="P746" s="43" t="str"/>
      <x:c r="Q746" s="43" t="str"/>
      <x:c r="R746" s="43" t="str">
        <x:v>Queued for contact research</x:v>
      </x:c>
      <x:c r="S746" s="43" t="str">
        <x:v>Not reviewed</x:v>
      </x:c>
      <x:c r="T746" s="43" t="str">
        <x:v>Hold</x:v>
      </x:c>
      <x:c r="U746" s="43" t="str">
        <x:v>No</x:v>
      </x:c>
      <x:c r="V746" s="44"/>
      <x:c r="W746" s="43" t="str"/>
      <x:c r="X746" s="43" t="str"/>
      <x:c r="Y746" s="43" t="str"/>
      <x:c r="Z746" s="43" t="str">
        <x:v>https://www.get-information-schools.service.gov.uk/Downloads</x:v>
      </x:c>
    </x:row>
    <x:row r="747">
      <x:c r="A747" s="43" t="str">
        <x:v>UK independent</x:v>
      </x:c>
      <x:c r="B747" s="43" t="str">
        <x:v>136678</x:v>
      </x:c>
      <x:c r="C747" s="43" t="n">
        <x:f>IF(K747="Boarding school",30,0)+IF(J747&gt;=18,20,0)+IF(I747&lt;=11,10,0)+IF(L747="Has a sixth form",15,0)+IF(M747&gt;=200,10,0)+IF(N747&lt;&gt;"",10,0)</x:f>
        <x:v>40</x:v>
      </x:c>
      <x:c r="D747" s="43" t="str">
        <x:f>IF(C747&gt;=85,"A",IF(C747&gt;=65,"B","C"))</x:f>
        <x:v>C</x:v>
      </x:c>
      <x:c r="E747" s="43" t="str">
        <x:v>RISE Education</x:v>
      </x:c>
      <x:c r="F747" s="43" t="str"/>
      <x:c r="G747" s="43" t="str"/>
      <x:c r="H747" s="43" t="str">
        <x:v>CR4 3ED</x:v>
      </x:c>
      <x:c r="I747" s="43" t="n">
        <x:v>11</x:v>
      </x:c>
      <x:c r="J747" s="43" t="n">
        <x:v>18</x:v>
      </x:c>
      <x:c r="K747" s="43" t="str">
        <x:v>No boarders</x:v>
      </x:c>
      <x:c r="L747" s="43" t="str">
        <x:v>Does not have a sixth form</x:v>
      </x:c>
      <x:c r="M747" s="43" t="n">
        <x:v>31</x:v>
      </x:c>
      <x:c r="N747" s="43" t="str">
        <x:v>https://www.riseeducation.org.uk</x:v>
      </x:c>
      <x:c r="O747" s="43" t="str">
        <x:v>02086652605</x:v>
      </x:c>
      <x:c r="P747" s="43" t="str"/>
      <x:c r="Q747" s="43" t="str"/>
      <x:c r="R747" s="43" t="str">
        <x:v>Queued for contact research</x:v>
      </x:c>
      <x:c r="S747" s="43" t="str">
        <x:v>Not reviewed</x:v>
      </x:c>
      <x:c r="T747" s="43" t="str">
        <x:v>Hold</x:v>
      </x:c>
      <x:c r="U747" s="43" t="str">
        <x:v>No</x:v>
      </x:c>
      <x:c r="V747" s="44"/>
      <x:c r="W747" s="43" t="str"/>
      <x:c r="X747" s="43" t="str"/>
      <x:c r="Y747" s="43" t="str"/>
      <x:c r="Z747" s="43" t="str">
        <x:v>https://www.get-information-schools.service.gov.uk/Downloads</x:v>
      </x:c>
    </x:row>
    <x:row r="748">
      <x:c r="A748" s="43" t="str">
        <x:v>UK independent</x:v>
      </x:c>
      <x:c r="B748" s="43" t="str">
        <x:v>147859</x:v>
      </x:c>
      <x:c r="C748" s="43" t="n">
        <x:f>IF(K748="Boarding school",30,0)+IF(J748&gt;=18,20,0)+IF(I748&lt;=11,10,0)+IF(L748="Has a sixth form",15,0)+IF(M748&gt;=200,10,0)+IF(N748&lt;&gt;"",10,0)</x:f>
        <x:v>40</x:v>
      </x:c>
      <x:c r="D748" s="43" t="str">
        <x:f>IF(C748&gt;=85,"A",IF(C748&gt;=65,"B","C"))</x:f>
        <x:v>C</x:v>
      </x:c>
      <x:c r="E748" s="43" t="str">
        <x:v>Safe Start School</x:v>
      </x:c>
      <x:c r="F748" s="43" t="str">
        <x:v>Tameside</x:v>
      </x:c>
      <x:c r="G748" s="43" t="str">
        <x:v>Greater Manchester</x:v>
      </x:c>
      <x:c r="H748" s="43" t="str">
        <x:v>OL6 7ST</x:v>
      </x:c>
      <x:c r="I748" s="43" t="n">
        <x:v>11</x:v>
      </x:c>
      <x:c r="J748" s="43" t="n">
        <x:v>19</x:v>
      </x:c>
      <x:c r="K748" s="43" t="str">
        <x:v>No boarders</x:v>
      </x:c>
      <x:c r="L748" s="43" t="str">
        <x:v>Does not have a sixth form</x:v>
      </x:c>
      <x:c r="M748" s="43" t="n">
        <x:v>27</x:v>
      </x:c>
      <x:c r="N748" s="43" t="str">
        <x:v>https://www.safestarttameside.com</x:v>
      </x:c>
      <x:c r="O748" s="43" t="str">
        <x:v>01615235444</x:v>
      </x:c>
      <x:c r="P748" s="43" t="str"/>
      <x:c r="Q748" s="43" t="str"/>
      <x:c r="R748" s="43" t="str">
        <x:v>Queued for contact research</x:v>
      </x:c>
      <x:c r="S748" s="43" t="str">
        <x:v>Not reviewed</x:v>
      </x:c>
      <x:c r="T748" s="43" t="str">
        <x:v>Hold</x:v>
      </x:c>
      <x:c r="U748" s="43" t="str">
        <x:v>No</x:v>
      </x:c>
      <x:c r="V748" s="44"/>
      <x:c r="W748" s="43" t="str"/>
      <x:c r="X748" s="43" t="str"/>
      <x:c r="Y748" s="43" t="str"/>
      <x:c r="Z748" s="43" t="str">
        <x:v>https://www.get-information-schools.service.gov.uk/Downloads</x:v>
      </x:c>
    </x:row>
    <x:row r="749">
      <x:c r="A749" s="43" t="str">
        <x:v>UK independent</x:v>
      </x:c>
      <x:c r="B749" s="43" t="str">
        <x:v>145493</x:v>
      </x:c>
      <x:c r="C749" s="43" t="n">
        <x:f>IF(K749="Boarding school",30,0)+IF(J749&gt;=18,20,0)+IF(I749&lt;=11,10,0)+IF(L749="Has a sixth form",15,0)+IF(M749&gt;=200,10,0)+IF(N749&lt;&gt;"",10,0)</x:f>
        <x:v>40</x:v>
      </x:c>
      <x:c r="D749" s="43" t="str">
        <x:f>IF(C749&gt;=85,"A",IF(C749&gt;=65,"B","C"))</x:f>
        <x:v>C</x:v>
      </x:c>
      <x:c r="E749" s="43" t="str">
        <x:v>Wribbenhall School</x:v>
      </x:c>
      <x:c r="F749" s="43" t="str">
        <x:v>Worcestershire</x:v>
      </x:c>
      <x:c r="G749" s="43" t="str"/>
      <x:c r="H749" s="43" t="str">
        <x:v>DY12 1JL</x:v>
      </x:c>
      <x:c r="I749" s="43" t="n">
        <x:v>5</x:v>
      </x:c>
      <x:c r="J749" s="43" t="n">
        <x:v>18</x:v>
      </x:c>
      <x:c r="K749" s="43" t="str">
        <x:v>No boarders</x:v>
      </x:c>
      <x:c r="L749" s="43" t="str">
        <x:v>Does not have a sixth form</x:v>
      </x:c>
      <x:c r="M749" s="43" t="n">
        <x:v>6</x:v>
      </x:c>
      <x:c r="N749" s="43" t="str">
        <x:v>https://wribbenhallschool.co.uk/#/</x:v>
      </x:c>
      <x:c r="O749" s="43" t="str">
        <x:v>01299405383</x:v>
      </x:c>
      <x:c r="P749" s="43" t="str"/>
      <x:c r="Q749" s="43" t="str"/>
      <x:c r="R749" s="43" t="str">
        <x:v>Queued for contact research</x:v>
      </x:c>
      <x:c r="S749" s="43" t="str">
        <x:v>Not reviewed</x:v>
      </x:c>
      <x:c r="T749" s="43" t="str">
        <x:v>Hold</x:v>
      </x:c>
      <x:c r="U749" s="43" t="str">
        <x:v>No</x:v>
      </x:c>
      <x:c r="V749" s="44"/>
      <x:c r="W749" s="43" t="str"/>
      <x:c r="X749" s="43" t="str"/>
      <x:c r="Y749" s="43" t="str"/>
      <x:c r="Z749" s="43" t="str">
        <x:v>https://www.get-information-schools.service.gov.uk/Downloads</x:v>
      </x:c>
    </x:row>
    <x:row r="750">
      <x:c r="A750" s="43" t="str">
        <x:v>UK independent</x:v>
      </x:c>
      <x:c r="B750" s="43" t="str">
        <x:v>101388</x:v>
      </x:c>
      <x:c r="C750" s="43" t="n">
        <x:f>IF(K750="Boarding school",30,0)+IF(J750&gt;=18,20,0)+IF(I750&lt;=11,10,0)+IF(L750="Has a sixth form",15,0)+IF(M750&gt;=200,10,0)+IF(N750&lt;&gt;"",10,0)</x:f>
        <x:v>35</x:v>
      </x:c>
      <x:c r="D750" s="43" t="str">
        <x:f>IF(C750&gt;=85,"A",IF(C750&gt;=65,"B","C"))</x:f>
        <x:v>C</x:v>
      </x:c>
      <x:c r="E750" s="43" t="str">
        <x:v>Beth Jacob Grammar School for Girls</x:v>
      </x:c>
      <x:c r="F750" s="43" t="str">
        <x:v>London</x:v>
      </x:c>
      <x:c r="G750" s="43" t="str"/>
      <x:c r="H750" s="43" t="str">
        <x:v>NW4 2AT</x:v>
      </x:c>
      <x:c r="I750" s="43" t="n">
        <x:v>11</x:v>
      </x:c>
      <x:c r="J750" s="43" t="n">
        <x:v>17</x:v>
      </x:c>
      <x:c r="K750" s="43" t="str">
        <x:v>No boarders</x:v>
      </x:c>
      <x:c r="L750" s="43" t="str">
        <x:v>Has a sixth form</x:v>
      </x:c>
      <x:c r="M750" s="43" t="n">
        <x:v>370</x:v>
      </x:c>
      <x:c r="N750" s="43" t="str"/>
      <x:c r="O750" s="43" t="str">
        <x:v>02082034322</x:v>
      </x:c>
      <x:c r="P750" s="43" t="str"/>
      <x:c r="Q750" s="43" t="str"/>
      <x:c r="R750" s="43" t="str">
        <x:v>Queued for contact research</x:v>
      </x:c>
      <x:c r="S750" s="43" t="str">
        <x:v>Not reviewed</x:v>
      </x:c>
      <x:c r="T750" s="43" t="str">
        <x:v>Hold</x:v>
      </x:c>
      <x:c r="U750" s="43" t="str">
        <x:v>No</x:v>
      </x:c>
      <x:c r="V750" s="44"/>
      <x:c r="W750" s="43" t="str"/>
      <x:c r="X750" s="43" t="str"/>
      <x:c r="Y750" s="43" t="str"/>
      <x:c r="Z750" s="43" t="str">
        <x:v>https://www.get-information-schools.service.gov.uk/Downloads</x:v>
      </x:c>
    </x:row>
    <x:row r="751">
      <x:c r="A751" s="43" t="str">
        <x:v>UK independent</x:v>
      </x:c>
      <x:c r="B751" s="43" t="str">
        <x:v>131015</x:v>
      </x:c>
      <x:c r="C751" s="43" t="n">
        <x:f>IF(K751="Boarding school",30,0)+IF(J751&gt;=18,20,0)+IF(I751&lt;=11,10,0)+IF(L751="Has a sixth form",15,0)+IF(M751&gt;=200,10,0)+IF(N751&lt;&gt;"",10,0)</x:f>
        <x:v>35</x:v>
      </x:c>
      <x:c r="D751" s="43" t="str">
        <x:f>IF(C751&gt;=85,"A",IF(C751&gt;=65,"B","C"))</x:f>
        <x:v>C</x:v>
      </x:c>
      <x:c r="E751" s="43" t="str">
        <x:v>Etz Chaim Boys School</x:v>
      </x:c>
      <x:c r="F751" s="43" t="str"/>
      <x:c r="G751" s="43" t="str"/>
      <x:c r="H751" s="43" t="str">
        <x:v>M7 4LJ</x:v>
      </x:c>
      <x:c r="I751" s="43" t="n">
        <x:v>11</x:v>
      </x:c>
      <x:c r="J751" s="43" t="n">
        <x:v>17</x:v>
      </x:c>
      <x:c r="K751" s="43" t="str">
        <x:v>No boarders</x:v>
      </x:c>
      <x:c r="L751" s="43" t="str">
        <x:v>Has a sixth form</x:v>
      </x:c>
      <x:c r="M751" s="43" t="n">
        <x:v>245</x:v>
      </x:c>
      <x:c r="N751" s="43" t="str"/>
      <x:c r="O751" s="43" t="str">
        <x:v>01617400300</x:v>
      </x:c>
      <x:c r="P751" s="43" t="str"/>
      <x:c r="Q751" s="43" t="str"/>
      <x:c r="R751" s="43" t="str">
        <x:v>Queued for contact research</x:v>
      </x:c>
      <x:c r="S751" s="43" t="str">
        <x:v>Not reviewed</x:v>
      </x:c>
      <x:c r="T751" s="43" t="str">
        <x:v>Hold</x:v>
      </x:c>
      <x:c r="U751" s="43" t="str">
        <x:v>No</x:v>
      </x:c>
      <x:c r="V751" s="44"/>
      <x:c r="W751" s="43" t="str"/>
      <x:c r="X751" s="43" t="str"/>
      <x:c r="Y751" s="43" t="str"/>
      <x:c r="Z751" s="43" t="str">
        <x:v>https://www.get-information-schools.service.gov.uk/Downloads</x:v>
      </x:c>
    </x:row>
    <x:row r="752">
      <x:c r="A752" s="43" t="str">
        <x:v>UK independent</x:v>
      </x:c>
      <x:c r="B752" s="43" t="str">
        <x:v>103591</x:v>
      </x:c>
      <x:c r="C752" s="43" t="n">
        <x:f>IF(K752="Boarding school",30,0)+IF(J752&gt;=18,20,0)+IF(I752&lt;=11,10,0)+IF(L752="Has a sixth form",15,0)+IF(M752&gt;=200,10,0)+IF(N752&lt;&gt;"",10,0)</x:f>
        <x:v>35</x:v>
      </x:c>
      <x:c r="D752" s="43" t="str">
        <x:f>IF(C752&gt;=85,"A",IF(C752&gt;=65,"B","C"))</x:f>
        <x:v>C</x:v>
      </x:c>
      <x:c r="E752" s="43" t="str">
        <x:v>Birchfield Independent Girls' School</x:v>
      </x:c>
      <x:c r="F752" s="43" t="str">
        <x:v>Birmingham</x:v>
      </x:c>
      <x:c r="G752" s="43" t="str">
        <x:v>West Midlands</x:v>
      </x:c>
      <x:c r="H752" s="43" t="str">
        <x:v>B6 6JU</x:v>
      </x:c>
      <x:c r="I752" s="43" t="n">
        <x:v>11</x:v>
      </x:c>
      <x:c r="J752" s="43" t="n">
        <x:v>17</x:v>
      </x:c>
      <x:c r="K752" s="43" t="str">
        <x:v>No boarders</x:v>
      </x:c>
      <x:c r="L752" s="43" t="str">
        <x:v>Has a sixth form</x:v>
      </x:c>
      <x:c r="M752" s="43" t="n">
        <x:v>101</x:v>
      </x:c>
      <x:c r="N752" s="43" t="str">
        <x:v>https://www.bigs.bham.sch.uk</x:v>
      </x:c>
      <x:c r="O752" s="43" t="str">
        <x:v>01213277707</x:v>
      </x:c>
      <x:c r="P752" s="43" t="str"/>
      <x:c r="Q752" s="43" t="str"/>
      <x:c r="R752" s="43" t="str">
        <x:v>Queued for contact research</x:v>
      </x:c>
      <x:c r="S752" s="43" t="str">
        <x:v>Not reviewed</x:v>
      </x:c>
      <x:c r="T752" s="43" t="str">
        <x:v>Hold</x:v>
      </x:c>
      <x:c r="U752" s="43" t="str">
        <x:v>No</x:v>
      </x:c>
      <x:c r="V752" s="44"/>
      <x:c r="W752" s="43" t="str"/>
      <x:c r="X752" s="43" t="str"/>
      <x:c r="Y752" s="43" t="str"/>
      <x:c r="Z752" s="43" t="str">
        <x:v>https://www.get-information-schools.service.gov.uk/Downloads</x:v>
      </x:c>
    </x:row>
    <x:row r="753">
      <x:c r="A753" s="43" t="str">
        <x:v>UK independent</x:v>
      </x:c>
      <x:c r="B753" s="43" t="str">
        <x:v>132732</x:v>
      </x:c>
      <x:c r="C753" s="43" t="n">
        <x:f>IF(K753="Boarding school",30,0)+IF(J753&gt;=18,20,0)+IF(I753&lt;=11,10,0)+IF(L753="Has a sixth form",15,0)+IF(M753&gt;=200,10,0)+IF(N753&lt;&gt;"",10,0)</x:f>
        <x:v>35</x:v>
      </x:c>
      <x:c r="D753" s="43" t="str">
        <x:f>IF(C753&gt;=85,"A",IF(C753&gt;=65,"B","C"))</x:f>
        <x:v>C</x:v>
      </x:c>
      <x:c r="E753" s="43" t="str">
        <x:v>Brian Jackson College</x:v>
      </x:c>
      <x:c r="F753" s="43" t="str">
        <x:v>Heckmondwike</x:v>
      </x:c>
      <x:c r="G753" s="43" t="str">
        <x:v>West Yorkshire</x:v>
      </x:c>
      <x:c r="H753" s="43" t="str">
        <x:v>WF16 0AD</x:v>
      </x:c>
      <x:c r="I753" s="43" t="n">
        <x:v>13</x:v>
      </x:c>
      <x:c r="J753" s="43" t="n">
        <x:v>18</x:v>
      </x:c>
      <x:c r="K753" s="43" t="str">
        <x:v>No boarders</x:v>
      </x:c>
      <x:c r="L753" s="43" t="str">
        <x:v>Has a sixth form</x:v>
      </x:c>
      <x:c r="M753" s="43" t="n">
        <x:v>74</x:v>
      </x:c>
      <x:c r="N753" s="43" t="str"/>
      <x:c r="O753" s="43" t="str">
        <x:v>01924408306</x:v>
      </x:c>
      <x:c r="P753" s="43" t="str"/>
      <x:c r="Q753" s="43" t="str"/>
      <x:c r="R753" s="43" t="str">
        <x:v>Queued for contact research</x:v>
      </x:c>
      <x:c r="S753" s="43" t="str">
        <x:v>Not reviewed</x:v>
      </x:c>
      <x:c r="T753" s="43" t="str">
        <x:v>Hold</x:v>
      </x:c>
      <x:c r="U753" s="43" t="str">
        <x:v>No</x:v>
      </x:c>
      <x:c r="V753" s="44"/>
      <x:c r="W753" s="43" t="str"/>
      <x:c r="X753" s="43" t="str"/>
      <x:c r="Y753" s="43" t="str"/>
      <x:c r="Z753" s="43" t="str">
        <x:v>https://www.get-information-schools.service.gov.uk/Downloads</x:v>
      </x:c>
    </x:row>
    <x:row r="754">
      <x:c r="A754" s="43" t="str">
        <x:v>UK independent</x:v>
      </x:c>
      <x:c r="B754" s="43" t="str">
        <x:v>134087</x:v>
      </x:c>
      <x:c r="C754" s="43" t="n">
        <x:f>IF(K754="Boarding school",30,0)+IF(J754&gt;=18,20,0)+IF(I754&lt;=11,10,0)+IF(L754="Has a sixth form",15,0)+IF(M754&gt;=200,10,0)+IF(N754&lt;&gt;"",10,0)</x:f>
        <x:v>35</x:v>
      </x:c>
      <x:c r="D754" s="43" t="str">
        <x:f>IF(C754&gt;=85,"A",IF(C754&gt;=65,"B","C"))</x:f>
        <x:v>C</x:v>
      </x:c>
      <x:c r="E754" s="43" t="str">
        <x:v>St Albans Independent College</x:v>
      </x:c>
      <x:c r="F754" s="43" t="str">
        <x:v>St Albans</x:v>
      </x:c>
      <x:c r="G754" s="43" t="str">
        <x:v>Hertfordshire</x:v>
      </x:c>
      <x:c r="H754" s="43" t="str">
        <x:v>AL1 1LN</x:v>
      </x:c>
      <x:c r="I754" s="43" t="n">
        <x:v>14</x:v>
      </x:c>
      <x:c r="J754" s="43" t="n">
        <x:v>19</x:v>
      </x:c>
      <x:c r="K754" s="43" t="str">
        <x:v>No boarders</x:v>
      </x:c>
      <x:c r="L754" s="43" t="str">
        <x:v>Has a sixth form</x:v>
      </x:c>
      <x:c r="M754" s="43" t="n">
        <x:v>70</x:v>
      </x:c>
      <x:c r="N754" s="43" t="str"/>
      <x:c r="O754" s="43" t="str">
        <x:v>01727842348</x:v>
      </x:c>
      <x:c r="P754" s="43" t="str"/>
      <x:c r="Q754" s="43" t="str"/>
      <x:c r="R754" s="43" t="str">
        <x:v>Queued for contact research</x:v>
      </x:c>
      <x:c r="S754" s="43" t="str">
        <x:v>Not reviewed</x:v>
      </x:c>
      <x:c r="T754" s="43" t="str">
        <x:v>Hold</x:v>
      </x:c>
      <x:c r="U754" s="43" t="str">
        <x:v>No</x:v>
      </x:c>
      <x:c r="V754" s="44"/>
      <x:c r="W754" s="43" t="str"/>
      <x:c r="X754" s="43" t="str"/>
      <x:c r="Y754" s="43" t="str"/>
      <x:c r="Z754" s="43" t="str">
        <x:v>https://www.get-information-schools.service.gov.uk/Downloads</x:v>
      </x:c>
    </x:row>
    <x:row r="755">
      <x:c r="A755" s="43" t="str">
        <x:v>UK independent</x:v>
      </x:c>
      <x:c r="B755" s="43" t="str">
        <x:v>148255</x:v>
      </x:c>
      <x:c r="C755" s="43" t="n">
        <x:f>IF(K755="Boarding school",30,0)+IF(J755&gt;=18,20,0)+IF(I755&lt;=11,10,0)+IF(L755="Has a sixth form",15,0)+IF(M755&gt;=200,10,0)+IF(N755&lt;&gt;"",10,0)</x:f>
        <x:v>35</x:v>
      </x:c>
      <x:c r="D755" s="43" t="str">
        <x:f>IF(C755&gt;=85,"A",IF(C755&gt;=65,"B","C"))</x:f>
        <x:v>C</x:v>
      </x:c>
      <x:c r="E755" s="43" t="str">
        <x:v>LS-TEN</x:v>
      </x:c>
      <x:c r="F755" s="43" t="str">
        <x:v>West Yorkshire</x:v>
      </x:c>
      <x:c r="G755" s="43" t="str"/>
      <x:c r="H755" s="43" t="str">
        <x:v>LS10 1NT</x:v>
      </x:c>
      <x:c r="I755" s="43" t="n">
        <x:v>11</x:v>
      </x:c>
      <x:c r="J755" s="43" t="n">
        <x:v>17</x:v>
      </x:c>
      <x:c r="K755" s="43" t="str">
        <x:v>No boarders</x:v>
      </x:c>
      <x:c r="L755" s="43" t="str">
        <x:v>Has a sixth form</x:v>
      </x:c>
      <x:c r="M755" s="43" t="n">
        <x:v>60</x:v>
      </x:c>
      <x:c r="N755" s="43" t="str">
        <x:v>https://www.ls-teneducation.org</x:v>
      </x:c>
      <x:c r="O755" s="43" t="str">
        <x:v>01135325357</x:v>
      </x:c>
      <x:c r="P755" s="43" t="str"/>
      <x:c r="Q755" s="43" t="str"/>
      <x:c r="R755" s="43" t="str">
        <x:v>Queued for contact research</x:v>
      </x:c>
      <x:c r="S755" s="43" t="str">
        <x:v>Not reviewed</x:v>
      </x:c>
      <x:c r="T755" s="43" t="str">
        <x:v>Hold</x:v>
      </x:c>
      <x:c r="U755" s="43" t="str">
        <x:v>No</x:v>
      </x:c>
      <x:c r="V755" s="44"/>
      <x:c r="W755" s="43" t="str"/>
      <x:c r="X755" s="43" t="str"/>
      <x:c r="Y755" s="43" t="str"/>
      <x:c r="Z755" s="43" t="str">
        <x:v>https://www.get-information-schools.service.gov.uk/Downloads</x:v>
      </x:c>
    </x:row>
    <x:row r="756">
      <x:c r="A756" s="43" t="str">
        <x:v>UK independent</x:v>
      </x:c>
      <x:c r="B756" s="43" t="str">
        <x:v>135250</x:v>
      </x:c>
      <x:c r="C756" s="43" t="n">
        <x:f>IF(K756="Boarding school",30,0)+IF(J756&gt;=18,20,0)+IF(I756&lt;=11,10,0)+IF(L756="Has a sixth form",15,0)+IF(M756&gt;=200,10,0)+IF(N756&lt;&gt;"",10,0)</x:f>
        <x:v>35</x:v>
      </x:c>
      <x:c r="D756" s="43" t="str">
        <x:f>IF(C756&gt;=85,"A",IF(C756&gt;=65,"B","C"))</x:f>
        <x:v>C</x:v>
      </x:c>
      <x:c r="E756" s="43" t="str">
        <x:v>Red Balloon - Norwich</x:v>
      </x:c>
      <x:c r="F756" s="43" t="str">
        <x:v>Norwich</x:v>
      </x:c>
      <x:c r="G756" s="43" t="str">
        <x:v>Norfolk</x:v>
      </x:c>
      <x:c r="H756" s="43" t="str">
        <x:v>NR3 2PW</x:v>
      </x:c>
      <x:c r="I756" s="43" t="n">
        <x:v>11</x:v>
      </x:c>
      <x:c r="J756" s="43" t="n">
        <x:v>17</x:v>
      </x:c>
      <x:c r="K756" s="43" t="str">
        <x:v>No boarders</x:v>
      </x:c>
      <x:c r="L756" s="43" t="str">
        <x:v>Has a sixth form</x:v>
      </x:c>
      <x:c r="M756" s="43" t="n">
        <x:v>39</x:v>
      </x:c>
      <x:c r="N756" s="43" t="str">
        <x:v>http://rbnorwich.org.uk</x:v>
      </x:c>
      <x:c r="O756" s="43" t="str">
        <x:v>01603622288</x:v>
      </x:c>
      <x:c r="P756" s="43" t="str"/>
      <x:c r="Q756" s="43" t="str"/>
      <x:c r="R756" s="43" t="str">
        <x:v>Queued for contact research</x:v>
      </x:c>
      <x:c r="S756" s="43" t="str">
        <x:v>Not reviewed</x:v>
      </x:c>
      <x:c r="T756" s="43" t="str">
        <x:v>Hold</x:v>
      </x:c>
      <x:c r="U756" s="43" t="str">
        <x:v>No</x:v>
      </x:c>
      <x:c r="V756" s="44"/>
      <x:c r="W756" s="43" t="str"/>
      <x:c r="X756" s="43" t="str"/>
      <x:c r="Y756" s="43" t="str"/>
      <x:c r="Z756" s="43" t="str">
        <x:v>https://www.get-information-schools.service.gov.uk/Downloads</x:v>
      </x:c>
    </x:row>
    <x:row r="757">
      <x:c r="A757" s="43" t="str">
        <x:v>UK independent</x:v>
      </x:c>
      <x:c r="B757" s="43" t="str">
        <x:v>148032</x:v>
      </x:c>
      <x:c r="C757" s="43" t="n">
        <x:f>IF(K757="Boarding school",30,0)+IF(J757&gt;=18,20,0)+IF(I757&lt;=11,10,0)+IF(L757="Has a sixth form",15,0)+IF(M757&gt;=200,10,0)+IF(N757&lt;&gt;"",10,0)</x:f>
        <x:v>35</x:v>
      </x:c>
      <x:c r="D757" s="43" t="str">
        <x:f>IF(C757&gt;=85,"A",IF(C757&gt;=65,"B","C"))</x:f>
        <x:v>C</x:v>
      </x:c>
      <x:c r="E757" s="43" t="str">
        <x:v>Arise Education</x:v>
      </x:c>
      <x:c r="F757" s="43" t="str"/>
      <x:c r="G757" s="43" t="str"/>
      <x:c r="H757" s="43" t="str">
        <x:v>CV31 2HB</x:v>
      </x:c>
      <x:c r="I757" s="43" t="n">
        <x:v>9</x:v>
      </x:c>
      <x:c r="J757" s="43" t="n">
        <x:v>17</x:v>
      </x:c>
      <x:c r="K757" s="43" t="str">
        <x:v>No boarders</x:v>
      </x:c>
      <x:c r="L757" s="43" t="str">
        <x:v>Has a sixth form</x:v>
      </x:c>
      <x:c r="M757" s="43" t="n">
        <x:v>32</x:v>
      </x:c>
      <x:c r="N757" s="43" t="str">
        <x:v>https://www.ariseeducation.org.uk</x:v>
      </x:c>
      <x:c r="O757" s="43" t="str">
        <x:v>07340820763</x:v>
      </x:c>
      <x:c r="P757" s="43" t="str"/>
      <x:c r="Q757" s="43" t="str"/>
      <x:c r="R757" s="43" t="str">
        <x:v>Queued for contact research</x:v>
      </x:c>
      <x:c r="S757" s="43" t="str">
        <x:v>Not reviewed</x:v>
      </x:c>
      <x:c r="T757" s="43" t="str">
        <x:v>Hold</x:v>
      </x:c>
      <x:c r="U757" s="43" t="str">
        <x:v>No</x:v>
      </x:c>
      <x:c r="V757" s="44"/>
      <x:c r="W757" s="43" t="str"/>
      <x:c r="X757" s="43" t="str"/>
      <x:c r="Y757" s="43" t="str"/>
      <x:c r="Z757" s="43" t="str">
        <x:v>https://www.get-information-schools.service.gov.uk/Downloads</x:v>
      </x:c>
    </x:row>
    <x:row r="758">
      <x:c r="A758" s="43" t="str">
        <x:v>UK independent</x:v>
      </x:c>
      <x:c r="B758" s="43" t="str">
        <x:v>137999</x:v>
      </x:c>
      <x:c r="C758" s="43" t="n">
        <x:f>IF(K758="Boarding school",30,0)+IF(J758&gt;=18,20,0)+IF(I758&lt;=11,10,0)+IF(L758="Has a sixth form",15,0)+IF(M758&gt;=200,10,0)+IF(N758&lt;&gt;"",10,0)</x:f>
        <x:v>35</x:v>
      </x:c>
      <x:c r="D758" s="43" t="str">
        <x:f>IF(C758&gt;=85,"A",IF(C758&gt;=65,"B","C"))</x:f>
        <x:v>C</x:v>
      </x:c>
      <x:c r="E758" s="43" t="str">
        <x:v>Red Balloon Learner Centre Reading</x:v>
      </x:c>
      <x:c r="F758" s="43" t="str">
        <x:v>Reading</x:v>
      </x:c>
      <x:c r="G758" s="43" t="str">
        <x:v>Berkshire</x:v>
      </x:c>
      <x:c r="H758" s="43" t="str">
        <x:v>RG1 4JJ</x:v>
      </x:c>
      <x:c r="I758" s="43" t="n">
        <x:v>11</x:v>
      </x:c>
      <x:c r="J758" s="43" t="n">
        <x:v>17</x:v>
      </x:c>
      <x:c r="K758" s="43" t="str">
        <x:v>No boarders</x:v>
      </x:c>
      <x:c r="L758" s="43" t="str">
        <x:v>Has a sixth form</x:v>
      </x:c>
      <x:c r="M758" s="43" t="n">
        <x:v>21</x:v>
      </x:c>
      <x:c r="N758" s="43" t="str">
        <x:v>https://www.redballoonlearner.org</x:v>
      </x:c>
      <x:c r="O758" s="43" t="str">
        <x:v>01189583004</x:v>
      </x:c>
      <x:c r="P758" s="43" t="str"/>
      <x:c r="Q758" s="43" t="str"/>
      <x:c r="R758" s="43" t="str">
        <x:v>Queued for contact research</x:v>
      </x:c>
      <x:c r="S758" s="43" t="str">
        <x:v>Not reviewed</x:v>
      </x:c>
      <x:c r="T758" s="43" t="str">
        <x:v>Hold</x:v>
      </x:c>
      <x:c r="U758" s="43" t="str">
        <x:v>No</x:v>
      </x:c>
      <x:c r="V758" s="44"/>
      <x:c r="W758" s="43" t="str"/>
      <x:c r="X758" s="43" t="str"/>
      <x:c r="Y758" s="43" t="str"/>
      <x:c r="Z758" s="43" t="str">
        <x:v>https://www.get-information-schools.service.gov.uk/Downloads</x:v>
      </x:c>
    </x:row>
    <x:row r="759">
      <x:c r="A759" s="43" t="str">
        <x:v>UK independent</x:v>
      </x:c>
      <x:c r="B759" s="43" t="str">
        <x:v>143039</x:v>
      </x:c>
      <x:c r="C759" s="43" t="n">
        <x:f>IF(K759="Boarding school",30,0)+IF(J759&gt;=18,20,0)+IF(I759&lt;=11,10,0)+IF(L759="Has a sixth form",15,0)+IF(M759&gt;=200,10,0)+IF(N759&lt;&gt;"",10,0)</x:f>
        <x:v>35</x:v>
      </x:c>
      <x:c r="D759" s="43" t="str">
        <x:f>IF(C759&gt;=85,"A",IF(C759&gt;=65,"B","C"))</x:f>
        <x:v>C</x:v>
      </x:c>
      <x:c r="E759" s="43" t="str">
        <x:v>Blackwater Academy</x:v>
      </x:c>
      <x:c r="F759" s="43" t="str">
        <x:v>Birmingham</x:v>
      </x:c>
      <x:c r="G759" s="43" t="str"/>
      <x:c r="H759" s="43" t="str">
        <x:v>B33 9BF</x:v>
      </x:c>
      <x:c r="I759" s="43" t="n">
        <x:v>12</x:v>
      </x:c>
      <x:c r="J759" s="43" t="n">
        <x:v>20</x:v>
      </x:c>
      <x:c r="K759" s="43" t="str">
        <x:v>No boarders</x:v>
      </x:c>
      <x:c r="L759" s="43" t="str">
        <x:v>Has a sixth form</x:v>
      </x:c>
      <x:c r="M759" s="43" t="n">
        <x:v>17</x:v>
      </x:c>
      <x:c r="N759" s="43" t="str"/>
      <x:c r="O759" s="43" t="str">
        <x:v>01212380758</x:v>
      </x:c>
      <x:c r="P759" s="43" t="str"/>
      <x:c r="Q759" s="43" t="str"/>
      <x:c r="R759" s="43" t="str">
        <x:v>Queued for contact research</x:v>
      </x:c>
      <x:c r="S759" s="43" t="str">
        <x:v>Not reviewed</x:v>
      </x:c>
      <x:c r="T759" s="43" t="str">
        <x:v>Hold</x:v>
      </x:c>
      <x:c r="U759" s="43" t="str">
        <x:v>No</x:v>
      </x:c>
      <x:c r="V759" s="44"/>
      <x:c r="W759" s="43" t="str"/>
      <x:c r="X759" s="43" t="str"/>
      <x:c r="Y759" s="43" t="str"/>
      <x:c r="Z759" s="43" t="str">
        <x:v>https://www.get-information-schools.service.gov.uk/Downloads</x:v>
      </x:c>
    </x:row>
    <x:row r="760">
      <x:c r="A760" s="43" t="str">
        <x:v>UK independent</x:v>
      </x:c>
      <x:c r="B760" s="43" t="str">
        <x:v>142524</x:v>
      </x:c>
      <x:c r="C760" s="43" t="n">
        <x:f>IF(K760="Boarding school",30,0)+IF(J760&gt;=18,20,0)+IF(I760&lt;=11,10,0)+IF(L760="Has a sixth form",15,0)+IF(M760&gt;=200,10,0)+IF(N760&lt;&gt;"",10,0)</x:f>
        <x:v>35</x:v>
      </x:c>
      <x:c r="D760" s="43" t="str">
        <x:f>IF(C760&gt;=85,"A",IF(C760&gt;=65,"B","C"))</x:f>
        <x:v>C</x:v>
      </x:c>
      <x:c r="E760" s="43" t="str">
        <x:v>North West Hospital School</x:v>
      </x:c>
      <x:c r="F760" s="43" t="str">
        <x:v>Cheadle</x:v>
      </x:c>
      <x:c r="G760" s="43" t="str">
        <x:v>Cheshire</x:v>
      </x:c>
      <x:c r="H760" s="43" t="str">
        <x:v>SK8 3DG</x:v>
      </x:c>
      <x:c r="I760" s="43" t="n">
        <x:v>13</x:v>
      </x:c>
      <x:c r="J760" s="43" t="n">
        <x:v>18</x:v>
      </x:c>
      <x:c r="K760" s="43" t="str">
        <x:v>No boarders</x:v>
      </x:c>
      <x:c r="L760" s="43" t="str">
        <x:v>Has a sixth form</x:v>
      </x:c>
      <x:c r="M760" s="43" t="n">
        <x:v>9</x:v>
      </x:c>
      <x:c r="N760" s="43" t="str"/>
      <x:c r="O760" s="43" t="str">
        <x:v>01614289511</x:v>
      </x:c>
      <x:c r="P760" s="43" t="str"/>
      <x:c r="Q760" s="43" t="str"/>
      <x:c r="R760" s="43" t="str">
        <x:v>Queued for contact research</x:v>
      </x:c>
      <x:c r="S760" s="43" t="str">
        <x:v>Not reviewed</x:v>
      </x:c>
      <x:c r="T760" s="43" t="str">
        <x:v>Hold</x:v>
      </x:c>
      <x:c r="U760" s="43" t="str">
        <x:v>No</x:v>
      </x:c>
      <x:c r="V760" s="44"/>
      <x:c r="W760" s="43" t="str"/>
      <x:c r="X760" s="43" t="str"/>
      <x:c r="Y760" s="43" t="str"/>
      <x:c r="Z760" s="43" t="str">
        <x:v>https://www.get-information-schools.service.gov.uk/Downloads</x:v>
      </x:c>
    </x:row>
    <x:row r="761">
      <x:c r="A761" s="43" t="str">
        <x:v>UK independent</x:v>
      </x:c>
      <x:c r="B761" s="43" t="str">
        <x:v>135688</x:v>
      </x:c>
      <x:c r="C761" s="43" t="n">
        <x:f>IF(K761="Boarding school",30,0)+IF(J761&gt;=18,20,0)+IF(I761&lt;=11,10,0)+IF(L761="Has a sixth form",15,0)+IF(M761&gt;=200,10,0)+IF(N761&lt;&gt;"",10,0)</x:f>
        <x:v>35</x:v>
      </x:c>
      <x:c r="D761" s="43" t="str">
        <x:f>IF(C761&gt;=85,"A",IF(C761&gt;=65,"B","C"))</x:f>
        <x:v>C</x:v>
      </x:c>
      <x:c r="E761" s="43" t="str">
        <x:v>Green Heath School</x:v>
      </x:c>
      <x:c r="F761" s="43" t="str">
        <x:v>Birmingham</x:v>
      </x:c>
      <x:c r="G761" s="43" t="str"/>
      <x:c r="H761" s="43" t="str">
        <x:v>B10 0NR</x:v>
      </x:c>
      <x:c r="I761" s="43" t="n">
        <x:v>14</x:v>
      </x:c>
      <x:c r="J761" s="43" t="n">
        <x:v>19</x:v>
      </x:c>
      <x:c r="K761" s="43" t="str">
        <x:v>No boarders</x:v>
      </x:c>
      <x:c r="L761" s="43" t="str">
        <x:v>Has a sixth form</x:v>
      </x:c>
      <x:c r="M761" s="43" t="n">
        <x:v>0</x:v>
      </x:c>
      <x:c r="N761" s="43" t="str"/>
      <x:c r="O761" s="43" t="str">
        <x:v>01212131171</x:v>
      </x:c>
      <x:c r="P761" s="43" t="str"/>
      <x:c r="Q761" s="43" t="str"/>
      <x:c r="R761" s="43" t="str">
        <x:v>Queued for contact research</x:v>
      </x:c>
      <x:c r="S761" s="43" t="str">
        <x:v>Not reviewed</x:v>
      </x:c>
      <x:c r="T761" s="43" t="str">
        <x:v>Hold</x:v>
      </x:c>
      <x:c r="U761" s="43" t="str">
        <x:v>No</x:v>
      </x:c>
      <x:c r="V761" s="44"/>
      <x:c r="W761" s="43" t="str"/>
      <x:c r="X761" s="43" t="str"/>
      <x:c r="Y761" s="43" t="str"/>
      <x:c r="Z761" s="43" t="str">
        <x:v>https://www.get-information-schools.service.gov.uk/Downloads</x:v>
      </x:c>
    </x:row>
    <x:row r="762">
      <x:c r="A762" s="43" t="str">
        <x:v>UK independent</x:v>
      </x:c>
      <x:c r="B762" s="43" t="str">
        <x:v>110155</x:v>
      </x:c>
      <x:c r="C762" s="43" t="n">
        <x:f>IF(K762="Boarding school",30,0)+IF(J762&gt;=18,20,0)+IF(I762&lt;=11,10,0)+IF(L762="Has a sixth form",15,0)+IF(M762&gt;=200,10,0)+IF(N762&lt;&gt;"",10,0)</x:f>
        <x:v>30</x:v>
      </x:c>
      <x:c r="D762" s="43" t="str">
        <x:f>IF(C762&gt;=85,"A",IF(C762&gt;=65,"B","C"))</x:f>
        <x:v>C</x:v>
      </x:c>
      <x:c r="E762" s="43" t="str">
        <x:v>Crosfields School</x:v>
      </x:c>
      <x:c r="F762" s="43" t="str">
        <x:v>Reading</x:v>
      </x:c>
      <x:c r="G762" s="43" t="str">
        <x:v>Berkshire</x:v>
      </x:c>
      <x:c r="H762" s="43" t="str">
        <x:v>RG2 9BL</x:v>
      </x:c>
      <x:c r="I762" s="43" t="n">
        <x:v>2</x:v>
      </x:c>
      <x:c r="J762" s="43" t="n">
        <x:v>16</x:v>
      </x:c>
      <x:c r="K762" s="43" t="str">
        <x:v>No boarders</x:v>
      </x:c>
      <x:c r="L762" s="43" t="str">
        <x:v>Does not have a sixth form</x:v>
      </x:c>
      <x:c r="M762" s="43" t="n">
        <x:v>713</x:v>
      </x:c>
      <x:c r="N762" s="43" t="str">
        <x:v>https://www.crosfields.com</x:v>
      </x:c>
      <x:c r="O762" s="43" t="str">
        <x:v>01189871810</x:v>
      </x:c>
      <x:c r="P762" s="43" t="str"/>
      <x:c r="Q762" s="43" t="str"/>
      <x:c r="R762" s="43" t="str">
        <x:v>Queued for contact research</x:v>
      </x:c>
      <x:c r="S762" s="43" t="str">
        <x:v>Not reviewed</x:v>
      </x:c>
      <x:c r="T762" s="43" t="str">
        <x:v>Hold</x:v>
      </x:c>
      <x:c r="U762" s="43" t="str">
        <x:v>No</x:v>
      </x:c>
      <x:c r="V762" s="44"/>
      <x:c r="W762" s="43" t="str"/>
      <x:c r="X762" s="43" t="str"/>
      <x:c r="Y762" s="43" t="str"/>
      <x:c r="Z762" s="43" t="str">
        <x:v>https://www.get-information-schools.service.gov.uk/Downloads</x:v>
      </x:c>
    </x:row>
    <x:row r="763">
      <x:c r="A763" s="43" t="str">
        <x:v>UK independent</x:v>
      </x:c>
      <x:c r="B763" s="43" t="str">
        <x:v>103580</x:v>
      </x:c>
      <x:c r="C763" s="43" t="n">
        <x:f>IF(K763="Boarding school",30,0)+IF(J763&gt;=18,20,0)+IF(I763&lt;=11,10,0)+IF(L763="Has a sixth form",15,0)+IF(M763&gt;=200,10,0)+IF(N763&lt;&gt;"",10,0)</x:f>
        <x:v>30</x:v>
      </x:c>
      <x:c r="D763" s="43" t="str">
        <x:f>IF(C763&gt;=85,"A",IF(C763&gt;=65,"B","C"))</x:f>
        <x:v>C</x:v>
      </x:c>
      <x:c r="E763" s="43" t="str">
        <x:v>The Blue Coat School Birmingham</x:v>
      </x:c>
      <x:c r="F763" s="43" t="str">
        <x:v>Birmingham</x:v>
      </x:c>
      <x:c r="G763" s="43" t="str">
        <x:v>West Midlands</x:v>
      </x:c>
      <x:c r="H763" s="43" t="str">
        <x:v>B17 0HR</x:v>
      </x:c>
      <x:c r="I763" s="43" t="n">
        <x:v>3</x:v>
      </x:c>
      <x:c r="J763" s="43" t="n">
        <x:v>11</x:v>
      </x:c>
      <x:c r="K763" s="43" t="str">
        <x:v>No boarders</x:v>
      </x:c>
      <x:c r="L763" s="43" t="str">
        <x:v>Does not have a sixth form</x:v>
      </x:c>
      <x:c r="M763" s="43" t="n">
        <x:v>709</x:v>
      </x:c>
      <x:c r="N763" s="43" t="str">
        <x:v>https://www.thebluecoatschool.com</x:v>
      </x:c>
      <x:c r="O763" s="43" t="str">
        <x:v>01214106800</x:v>
      </x:c>
      <x:c r="P763" s="43" t="str"/>
      <x:c r="Q763" s="43" t="str"/>
      <x:c r="R763" s="43" t="str">
        <x:v>Queued for contact research</x:v>
      </x:c>
      <x:c r="S763" s="43" t="str">
        <x:v>Not reviewed</x:v>
      </x:c>
      <x:c r="T763" s="43" t="str">
        <x:v>Hold</x:v>
      </x:c>
      <x:c r="U763" s="43" t="str">
        <x:v>No</x:v>
      </x:c>
      <x:c r="V763" s="44"/>
      <x:c r="W763" s="43" t="str"/>
      <x:c r="X763" s="43" t="str"/>
      <x:c r="Y763" s="43" t="str"/>
      <x:c r="Z763" s="43" t="str">
        <x:v>https://www.get-information-schools.service.gov.uk/Downloads</x:v>
      </x:c>
    </x:row>
    <x:row r="764">
      <x:c r="A764" s="43" t="str">
        <x:v>UK independent</x:v>
      </x:c>
      <x:c r="B764" s="43" t="str">
        <x:v>100082</x:v>
      </x:c>
      <x:c r="C764" s="43" t="n">
        <x:f>IF(K764="Boarding school",30,0)+IF(J764&gt;=18,20,0)+IF(I764&lt;=11,10,0)+IF(L764="Has a sixth form",15,0)+IF(M764&gt;=200,10,0)+IF(N764&lt;&gt;"",10,0)</x:f>
        <x:v>30</x:v>
      </x:c>
      <x:c r="D764" s="43" t="str">
        <x:f>IF(C764&gt;=85,"A",IF(C764&gt;=65,"B","C"))</x:f>
        <x:v>C</x:v>
      </x:c>
      <x:c r="E764" s="43" t="str">
        <x:v>College Francais Bilingue De Londres</x:v>
      </x:c>
      <x:c r="F764" s="43" t="str">
        <x:v>London</x:v>
      </x:c>
      <x:c r="G764" s="43" t="str"/>
      <x:c r="H764" s="43" t="str">
        <x:v>NW5 3AX</x:v>
      </x:c>
      <x:c r="I764" s="43" t="n">
        <x:v>3</x:v>
      </x:c>
      <x:c r="J764" s="43" t="n">
        <x:v>16</x:v>
      </x:c>
      <x:c r="K764" s="43" t="str">
        <x:v>No boarders</x:v>
      </x:c>
      <x:c r="L764" s="43" t="str">
        <x:v>Does not have a sixth form</x:v>
      </x:c>
      <x:c r="M764" s="43" t="n">
        <x:v>684</x:v>
      </x:c>
      <x:c r="N764" s="43" t="str">
        <x:v>https://www.cfbl.org.uk</x:v>
      </x:c>
      <x:c r="O764" s="43" t="str">
        <x:v>02079937400</x:v>
      </x:c>
      <x:c r="P764" s="43" t="str"/>
      <x:c r="Q764" s="43" t="str"/>
      <x:c r="R764" s="43" t="str">
        <x:v>Queued for contact research</x:v>
      </x:c>
      <x:c r="S764" s="43" t="str">
        <x:v>Not reviewed</x:v>
      </x:c>
      <x:c r="T764" s="43" t="str">
        <x:v>Hold</x:v>
      </x:c>
      <x:c r="U764" s="43" t="str">
        <x:v>No</x:v>
      </x:c>
      <x:c r="V764" s="44"/>
      <x:c r="W764" s="43" t="str"/>
      <x:c r="X764" s="43" t="str"/>
      <x:c r="Y764" s="43" t="str"/>
      <x:c r="Z764" s="43" t="str">
        <x:v>https://www.get-information-schools.service.gov.uk/Downloads</x:v>
      </x:c>
    </x:row>
    <x:row r="765">
      <x:c r="A765" s="43" t="str">
        <x:v>UK independent</x:v>
      </x:c>
      <x:c r="B765" s="43" t="str">
        <x:v>101088</x:v>
      </x:c>
      <x:c r="C765" s="43" t="n">
        <x:f>IF(K765="Boarding school",30,0)+IF(J765&gt;=18,20,0)+IF(I765&lt;=11,10,0)+IF(L765="Has a sixth form",15,0)+IF(M765&gt;=200,10,0)+IF(N765&lt;&gt;"",10,0)</x:f>
        <x:v>30</x:v>
      </x:c>
      <x:c r="D765" s="43" t="str">
        <x:f>IF(C765&gt;=85,"A",IF(C765&gt;=65,"B","C"))</x:f>
        <x:v>C</x:v>
      </x:c>
      <x:c r="E765" s="43" t="str">
        <x:v>Eaton House the Manor School</x:v>
      </x:c>
      <x:c r="F765" s="43" t="str">
        <x:v>London</x:v>
      </x:c>
      <x:c r="G765" s="43" t="str"/>
      <x:c r="H765" s="43" t="str">
        <x:v>SW4 9RU</x:v>
      </x:c>
      <x:c r="I765" s="43" t="n">
        <x:v>2</x:v>
      </x:c>
      <x:c r="J765" s="43" t="n">
        <x:v>13</x:v>
      </x:c>
      <x:c r="K765" s="43" t="str">
        <x:v>No boarders</x:v>
      </x:c>
      <x:c r="L765" s="43" t="str">
        <x:v>Does not have a sixth form</x:v>
      </x:c>
      <x:c r="M765" s="43" t="n">
        <x:v>668</x:v>
      </x:c>
      <x:c r="N765" s="43" t="str">
        <x:v>https://www.eatonhouseschools.com</x:v>
      </x:c>
      <x:c r="O765" s="43" t="str">
        <x:v>02079246000</x:v>
      </x:c>
      <x:c r="P765" s="43" t="str"/>
      <x:c r="Q765" s="43" t="str"/>
      <x:c r="R765" s="43" t="str">
        <x:v>Queued for contact research</x:v>
      </x:c>
      <x:c r="S765" s="43" t="str">
        <x:v>Not reviewed</x:v>
      </x:c>
      <x:c r="T765" s="43" t="str">
        <x:v>Hold</x:v>
      </x:c>
      <x:c r="U765" s="43" t="str">
        <x:v>No</x:v>
      </x:c>
      <x:c r="V765" s="44"/>
      <x:c r="W765" s="43" t="str"/>
      <x:c r="X765" s="43" t="str"/>
      <x:c r="Y765" s="43" t="str"/>
      <x:c r="Z765" s="43" t="str">
        <x:v>https://www.get-information-schools.service.gov.uk/Downloads</x:v>
      </x:c>
    </x:row>
    <x:row r="766">
      <x:c r="A766" s="43" t="str">
        <x:v>UK independent</x:v>
      </x:c>
      <x:c r="B766" s="43" t="str">
        <x:v>110148</x:v>
      </x:c>
      <x:c r="C766" s="43" t="n">
        <x:f>IF(K766="Boarding school",30,0)+IF(J766&gt;=18,20,0)+IF(I766&lt;=11,10,0)+IF(L766="Has a sixth form",15,0)+IF(M766&gt;=200,10,0)+IF(N766&lt;&gt;"",10,0)</x:f>
        <x:v>30</x:v>
      </x:c>
      <x:c r="D766" s="43" t="str">
        <x:f>IF(C766&gt;=85,"A",IF(C766&gt;=65,"B","C"))</x:f>
        <x:v>C</x:v>
      </x:c>
      <x:c r="E766" s="43" t="str">
        <x:v>Holme Grange School</x:v>
      </x:c>
      <x:c r="F766" s="43" t="str">
        <x:v>Wokingham</x:v>
      </x:c>
      <x:c r="G766" s="43" t="str">
        <x:v>Berkshire</x:v>
      </x:c>
      <x:c r="H766" s="43" t="str">
        <x:v>RG40 3AL</x:v>
      </x:c>
      <x:c r="I766" s="43" t="n">
        <x:v>2</x:v>
      </x:c>
      <x:c r="J766" s="43" t="n">
        <x:v>16</x:v>
      </x:c>
      <x:c r="K766" s="43" t="str">
        <x:v>No boarders</x:v>
      </x:c>
      <x:c r="L766" s="43" t="str">
        <x:v>Does not have a sixth form</x:v>
      </x:c>
      <x:c r="M766" s="43" t="n">
        <x:v>665</x:v>
      </x:c>
      <x:c r="N766" s="43" t="str">
        <x:v>http://www.holmegrange.org</x:v>
      </x:c>
      <x:c r="O766" s="43" t="str">
        <x:v>01189781566</x:v>
      </x:c>
      <x:c r="P766" s="43" t="str"/>
      <x:c r="Q766" s="43" t="str"/>
      <x:c r="R766" s="43" t="str">
        <x:v>Queued for contact research</x:v>
      </x:c>
      <x:c r="S766" s="43" t="str">
        <x:v>Not reviewed</x:v>
      </x:c>
      <x:c r="T766" s="43" t="str">
        <x:v>Hold</x:v>
      </x:c>
      <x:c r="U766" s="43" t="str">
        <x:v>No</x:v>
      </x:c>
      <x:c r="V766" s="44"/>
      <x:c r="W766" s="43" t="str"/>
      <x:c r="X766" s="43" t="str"/>
      <x:c r="Y766" s="43" t="str"/>
      <x:c r="Z766" s="43" t="str">
        <x:v>https://www.get-information-schools.service.gov.uk/Downloads</x:v>
      </x:c>
    </x:row>
    <x:row r="767">
      <x:c r="A767" s="43" t="str">
        <x:v>UK independent</x:v>
      </x:c>
      <x:c r="B767" s="43" t="str">
        <x:v>130398</x:v>
      </x:c>
      <x:c r="C767" s="43" t="n">
        <x:f>IF(K767="Boarding school",30,0)+IF(J767&gt;=18,20,0)+IF(I767&lt;=11,10,0)+IF(L767="Has a sixth form",15,0)+IF(M767&gt;=200,10,0)+IF(N767&lt;&gt;"",10,0)</x:f>
        <x:v>30</x:v>
      </x:c>
      <x:c r="D767" s="43" t="str">
        <x:f>IF(C767&gt;=85,"A",IF(C767&gt;=65,"B","C"))</x:f>
        <x:v>C</x:v>
      </x:c>
      <x:c r="E767" s="43" t="str">
        <x:v>Thomas's Clapham</x:v>
      </x:c>
      <x:c r="F767" s="43" t="str">
        <x:v>London</x:v>
      </x:c>
      <x:c r="G767" s="43" t="str"/>
      <x:c r="H767" s="43" t="str">
        <x:v>SW11 6JZ</x:v>
      </x:c>
      <x:c r="I767" s="43" t="n">
        <x:v>4</x:v>
      </x:c>
      <x:c r="J767" s="43" t="n">
        <x:v>13</x:v>
      </x:c>
      <x:c r="K767" s="43" t="str">
        <x:v>No boarders</x:v>
      </x:c>
      <x:c r="L767" s="43" t="str">
        <x:v>Does not have a sixth form</x:v>
      </x:c>
      <x:c r="M767" s="43" t="n">
        <x:v>644</x:v>
      </x:c>
      <x:c r="N767" s="43" t="str">
        <x:v>https://www.thomas-s.co.uk</x:v>
      </x:c>
      <x:c r="O767" s="43" t="str">
        <x:v>02073269300</x:v>
      </x:c>
      <x:c r="P767" s="43" t="str"/>
      <x:c r="Q767" s="43" t="str"/>
      <x:c r="R767" s="43" t="str">
        <x:v>Queued for contact research</x:v>
      </x:c>
      <x:c r="S767" s="43" t="str">
        <x:v>Not reviewed</x:v>
      </x:c>
      <x:c r="T767" s="43" t="str">
        <x:v>Hold</x:v>
      </x:c>
      <x:c r="U767" s="43" t="str">
        <x:v>No</x:v>
      </x:c>
      <x:c r="V767" s="44"/>
      <x:c r="W767" s="43" t="str"/>
      <x:c r="X767" s="43" t="str"/>
      <x:c r="Y767" s="43" t="str"/>
      <x:c r="Z767" s="43" t="str">
        <x:v>https://www.get-information-schools.service.gov.uk/Downloads</x:v>
      </x:c>
    </x:row>
    <x:row r="768">
      <x:c r="A768" s="43" t="str">
        <x:v>UK independent</x:v>
      </x:c>
      <x:c r="B768" s="43" t="str">
        <x:v>125386</x:v>
      </x:c>
      <x:c r="C768" s="43" t="n">
        <x:f>IF(K768="Boarding school",30,0)+IF(J768&gt;=18,20,0)+IF(I768&lt;=11,10,0)+IF(L768="Has a sixth form",15,0)+IF(M768&gt;=200,10,0)+IF(N768&lt;&gt;"",10,0)</x:f>
        <x:v>30</x:v>
      </x:c>
      <x:c r="D768" s="43" t="str">
        <x:f>IF(C768&gt;=85,"A",IF(C768&gt;=65,"B","C"))</x:f>
        <x:v>C</x:v>
      </x:c>
      <x:c r="E768" s="43" t="str">
        <x:v>Hazelwood School</x:v>
      </x:c>
      <x:c r="F768" s="43" t="str">
        <x:v>Oxted</x:v>
      </x:c>
      <x:c r="G768" s="43" t="str">
        <x:v>Surrey</x:v>
      </x:c>
      <x:c r="H768" s="43" t="str">
        <x:v>RH8 0QU</x:v>
      </x:c>
      <x:c r="I768" s="43" t="n">
        <x:v>0</x:v>
      </x:c>
      <x:c r="J768" s="43" t="n">
        <x:v>13</x:v>
      </x:c>
      <x:c r="K768" s="43" t="str">
        <x:v>No boarders</x:v>
      </x:c>
      <x:c r="L768" s="43" t="str">
        <x:v>Does not have a sixth form</x:v>
      </x:c>
      <x:c r="M768" s="43" t="n">
        <x:v>604</x:v>
      </x:c>
      <x:c r="N768" s="43" t="str">
        <x:v>https://www.hazelwoodschool.co.uk</x:v>
      </x:c>
      <x:c r="O768" s="43" t="str">
        <x:v>01883712194</x:v>
      </x:c>
      <x:c r="P768" s="43" t="str"/>
      <x:c r="Q768" s="43" t="str"/>
      <x:c r="R768" s="43" t="str">
        <x:v>Queued for contact research</x:v>
      </x:c>
      <x:c r="S768" s="43" t="str">
        <x:v>Not reviewed</x:v>
      </x:c>
      <x:c r="T768" s="43" t="str">
        <x:v>Hold</x:v>
      </x:c>
      <x:c r="U768" s="43" t="str">
        <x:v>No</x:v>
      </x:c>
      <x:c r="V768" s="44"/>
      <x:c r="W768" s="43" t="str"/>
      <x:c r="X768" s="43" t="str"/>
      <x:c r="Y768" s="43" t="str"/>
      <x:c r="Z768" s="43" t="str">
        <x:v>https://www.get-information-schools.service.gov.uk/Downloads</x:v>
      </x:c>
    </x:row>
    <x:row r="769">
      <x:c r="A769" s="43" t="str">
        <x:v>UK independent</x:v>
      </x:c>
      <x:c r="B769" s="43" t="str">
        <x:v>115402</x:v>
      </x:c>
      <x:c r="C769" s="43" t="n">
        <x:f>IF(K769="Boarding school",30,0)+IF(J769&gt;=18,20,0)+IF(I769&lt;=11,10,0)+IF(L769="Has a sixth form",15,0)+IF(M769&gt;=200,10,0)+IF(N769&lt;&gt;"",10,0)</x:f>
        <x:v>30</x:v>
      </x:c>
      <x:c r="D769" s="43" t="str">
        <x:f>IF(C769&gt;=85,"A",IF(C769&gt;=65,"B","C"))</x:f>
        <x:v>C</x:v>
      </x:c>
      <x:c r="E769" s="43" t="str">
        <x:v>Thorpe Hall School</x:v>
      </x:c>
      <x:c r="F769" s="43" t="str"/>
      <x:c r="G769" s="43" t="str"/>
      <x:c r="H769" s="43" t="str">
        <x:v>SS1 3RD</x:v>
      </x:c>
      <x:c r="I769" s="43" t="n">
        <x:v>2</x:v>
      </x:c>
      <x:c r="J769" s="43" t="n">
        <x:v>16</x:v>
      </x:c>
      <x:c r="K769" s="43" t="str">
        <x:v>No boarders</x:v>
      </x:c>
      <x:c r="L769" s="43" t="str">
        <x:v>Does not have a sixth form</x:v>
      </x:c>
      <x:c r="M769" s="43" t="n">
        <x:v>600</x:v>
      </x:c>
      <x:c r="N769" s="43" t="str">
        <x:v>https://www.thorpehall.southend.sch.uk</x:v>
      </x:c>
      <x:c r="O769" s="43" t="str">
        <x:v>01702582340</x:v>
      </x:c>
      <x:c r="P769" s="43" t="str"/>
      <x:c r="Q769" s="43" t="str"/>
      <x:c r="R769" s="43" t="str">
        <x:v>Queued for contact research</x:v>
      </x:c>
      <x:c r="S769" s="43" t="str">
        <x:v>Not reviewed</x:v>
      </x:c>
      <x:c r="T769" s="43" t="str">
        <x:v>Hold</x:v>
      </x:c>
      <x:c r="U769" s="43" t="str">
        <x:v>No</x:v>
      </x:c>
      <x:c r="V769" s="44"/>
      <x:c r="W769" s="43" t="str"/>
      <x:c r="X769" s="43" t="str"/>
      <x:c r="Y769" s="43" t="str"/>
      <x:c r="Z769" s="43" t="str">
        <x:v>https://www.get-information-schools.service.gov.uk/Downloads</x:v>
      </x:c>
    </x:row>
    <x:row r="770">
      <x:c r="A770" s="43" t="str">
        <x:v>UK independent</x:v>
      </x:c>
      <x:c r="B770" s="43" t="str">
        <x:v>134417</x:v>
      </x:c>
      <x:c r="C770" s="43" t="n">
        <x:f>IF(K770="Boarding school",30,0)+IF(J770&gt;=18,20,0)+IF(I770&lt;=11,10,0)+IF(L770="Has a sixth form",15,0)+IF(M770&gt;=200,10,0)+IF(N770&lt;&gt;"",10,0)</x:f>
        <x:v>30</x:v>
      </x:c>
      <x:c r="D770" s="43" t="str">
        <x:f>IF(C770&gt;=85,"A",IF(C770&gt;=65,"B","C"))</x:f>
        <x:v>C</x:v>
      </x:c>
      <x:c r="E770" s="43" t="str">
        <x:v>Azhar Academy Girls School</x:v>
      </x:c>
      <x:c r="F770" s="43" t="str">
        <x:v>London</x:v>
      </x:c>
      <x:c r="G770" s="43" t="str"/>
      <x:c r="H770" s="43" t="str">
        <x:v>E15 4DR</x:v>
      </x:c>
      <x:c r="I770" s="43" t="n">
        <x:v>3</x:v>
      </x:c>
      <x:c r="J770" s="43" t="n">
        <x:v>16</x:v>
      </x:c>
      <x:c r="K770" s="43" t="str">
        <x:v>No boarders</x:v>
      </x:c>
      <x:c r="L770" s="43" t="str">
        <x:v>Does not have a sixth form</x:v>
      </x:c>
      <x:c r="M770" s="43" t="n">
        <x:v>585</x:v>
      </x:c>
      <x:c r="N770" s="43" t="str">
        <x:v>https://www.aags.azharacademy.org</x:v>
      </x:c>
      <x:c r="O770" s="43" t="str">
        <x:v>02085555959</x:v>
      </x:c>
      <x:c r="P770" s="43" t="str"/>
      <x:c r="Q770" s="43" t="str"/>
      <x:c r="R770" s="43" t="str">
        <x:v>Queued for contact research</x:v>
      </x:c>
      <x:c r="S770" s="43" t="str">
        <x:v>Not reviewed</x:v>
      </x:c>
      <x:c r="T770" s="43" t="str">
        <x:v>Hold</x:v>
      </x:c>
      <x:c r="U770" s="43" t="str">
        <x:v>No</x:v>
      </x:c>
      <x:c r="V770" s="44"/>
      <x:c r="W770" s="43" t="str"/>
      <x:c r="X770" s="43" t="str"/>
      <x:c r="Y770" s="43" t="str"/>
      <x:c r="Z770" s="43" t="str">
        <x:v>https://www.get-information-schools.service.gov.uk/Downloads</x:v>
      </x:c>
    </x:row>
    <x:row r="771">
      <x:c r="A771" s="43" t="str">
        <x:v>UK independent</x:v>
      </x:c>
      <x:c r="B771" s="43" t="str">
        <x:v>125389</x:v>
      </x:c>
      <x:c r="C771" s="43" t="n">
        <x:f>IF(K771="Boarding school",30,0)+IF(J771&gt;=18,20,0)+IF(I771&lt;=11,10,0)+IF(L771="Has a sixth form",15,0)+IF(M771&gt;=200,10,0)+IF(N771&lt;&gt;"",10,0)</x:f>
        <x:v>30</x:v>
      </x:c>
      <x:c r="D771" s="43" t="str">
        <x:f>IF(C771&gt;=85,"A",IF(C771&gt;=65,"B","C"))</x:f>
        <x:v>C</x:v>
      </x:c>
      <x:c r="E771" s="43" t="str">
        <x:v>Danes Hill School</x:v>
      </x:c>
      <x:c r="F771" s="43" t="str">
        <x:v>Surrey</x:v>
      </x:c>
      <x:c r="G771" s="43" t="str"/>
      <x:c r="H771" s="43" t="str">
        <x:v>KT22 0JG</x:v>
      </x:c>
      <x:c r="I771" s="43" t="n">
        <x:v>2</x:v>
      </x:c>
      <x:c r="J771" s="43" t="n">
        <x:v>14</x:v>
      </x:c>
      <x:c r="K771" s="43" t="str">
        <x:v>No boarders</x:v>
      </x:c>
      <x:c r="L771" s="43" t="str">
        <x:v>Does not have a sixth form</x:v>
      </x:c>
      <x:c r="M771" s="43" t="n">
        <x:v>574</x:v>
      </x:c>
      <x:c r="N771" s="43" t="str">
        <x:v>https://www.daneshillschool.co.uk</x:v>
      </x:c>
      <x:c r="O771" s="43" t="str">
        <x:v>01372842509</x:v>
      </x:c>
      <x:c r="P771" s="43" t="str"/>
      <x:c r="Q771" s="43" t="str"/>
      <x:c r="R771" s="43" t="str">
        <x:v>Queued for contact research</x:v>
      </x:c>
      <x:c r="S771" s="43" t="str">
        <x:v>Not reviewed</x:v>
      </x:c>
      <x:c r="T771" s="43" t="str">
        <x:v>Hold</x:v>
      </x:c>
      <x:c r="U771" s="43" t="str">
        <x:v>No</x:v>
      </x:c>
      <x:c r="V771" s="44"/>
      <x:c r="W771" s="43" t="str"/>
      <x:c r="X771" s="43" t="str"/>
      <x:c r="Y771" s="43" t="str"/>
      <x:c r="Z771" s="43" t="str">
        <x:v>https://www.get-information-schools.service.gov.uk/Downloads</x:v>
      </x:c>
    </x:row>
    <x:row r="772">
      <x:c r="A772" s="43" t="str">
        <x:v>UK independent</x:v>
      </x:c>
      <x:c r="B772" s="43" t="str">
        <x:v>117653</x:v>
      </x:c>
      <x:c r="C772" s="43" t="n">
        <x:f>IF(K772="Boarding school",30,0)+IF(J772&gt;=18,20,0)+IF(I772&lt;=11,10,0)+IF(L772="Has a sixth form",15,0)+IF(M772&gt;=200,10,0)+IF(N772&lt;&gt;"",10,0)</x:f>
        <x:v>30</x:v>
      </x:c>
      <x:c r="D772" s="43" t="str">
        <x:f>IF(C772&gt;=85,"A",IF(C772&gt;=65,"B","C"))</x:f>
        <x:v>C</x:v>
      </x:c>
      <x:c r="E772" s="43" t="str">
        <x:v>Berkhamsted Prep and Pre-Prep School</x:v>
      </x:c>
      <x:c r="F772" s="43" t="str">
        <x:v>Berkhamsted</x:v>
      </x:c>
      <x:c r="G772" s="43" t="str">
        <x:v>Hertfordshire</x:v>
      </x:c>
      <x:c r="H772" s="43" t="str">
        <x:v>HP4 2SZ</x:v>
      </x:c>
      <x:c r="I772" s="43" t="n">
        <x:v>0</x:v>
      </x:c>
      <x:c r="J772" s="43" t="n">
        <x:v>11</x:v>
      </x:c>
      <x:c r="K772" s="43" t="str">
        <x:v>No boarders</x:v>
      </x:c>
      <x:c r="L772" s="43" t="str">
        <x:v>Does not have a sixth form</x:v>
      </x:c>
      <x:c r="M772" s="43" t="n">
        <x:v>563</x:v>
      </x:c>
      <x:c r="N772" s="43" t="str">
        <x:v>http://www.berkhamsted.com</x:v>
      </x:c>
      <x:c r="O772" s="43" t="str">
        <x:v>01442358188</x:v>
      </x:c>
      <x:c r="P772" s="43" t="str"/>
      <x:c r="Q772" s="43" t="str"/>
      <x:c r="R772" s="43" t="str">
        <x:v>Queued for contact research</x:v>
      </x:c>
      <x:c r="S772" s="43" t="str">
        <x:v>Not reviewed</x:v>
      </x:c>
      <x:c r="T772" s="43" t="str">
        <x:v>Hold</x:v>
      </x:c>
      <x:c r="U772" s="43" t="str">
        <x:v>No</x:v>
      </x:c>
      <x:c r="V772" s="44"/>
      <x:c r="W772" s="43" t="str"/>
      <x:c r="X772" s="43" t="str"/>
      <x:c r="Y772" s="43" t="str"/>
      <x:c r="Z772" s="43" t="str">
        <x:v>https://www.get-information-schools.service.gov.uk/Downloads</x:v>
      </x:c>
    </x:row>
    <x:row r="773">
      <x:c r="A773" s="43" t="str">
        <x:v>UK independent</x:v>
      </x:c>
      <x:c r="B773" s="43" t="str">
        <x:v>101082</x:v>
      </x:c>
      <x:c r="C773" s="43" t="n">
        <x:f>IF(K773="Boarding school",30,0)+IF(J773&gt;=18,20,0)+IF(I773&lt;=11,10,0)+IF(L773="Has a sixth form",15,0)+IF(M773&gt;=200,10,0)+IF(N773&lt;&gt;"",10,0)</x:f>
        <x:v>30</x:v>
      </x:c>
      <x:c r="D773" s="43" t="str">
        <x:f>IF(C773&gt;=85,"A",IF(C773&gt;=65,"B","C"))</x:f>
        <x:v>C</x:v>
      </x:c>
      <x:c r="E773" s="43" t="str">
        <x:v>Newton Preparatory School</x:v>
      </x:c>
      <x:c r="F773" s="43" t="str">
        <x:v>London</x:v>
      </x:c>
      <x:c r="G773" s="43" t="str"/>
      <x:c r="H773" s="43" t="str">
        <x:v>SW8 4BX</x:v>
      </x:c>
      <x:c r="I773" s="43" t="n">
        <x:v>3</x:v>
      </x:c>
      <x:c r="J773" s="43" t="n">
        <x:v>13</x:v>
      </x:c>
      <x:c r="K773" s="43" t="str">
        <x:v>No boarders</x:v>
      </x:c>
      <x:c r="L773" s="43" t="str">
        <x:v>Does not have a sixth form</x:v>
      </x:c>
      <x:c r="M773" s="43" t="n">
        <x:v>559</x:v>
      </x:c>
      <x:c r="N773" s="43" t="str">
        <x:v>https://www.newtonprepschool.co.uk</x:v>
      </x:c>
      <x:c r="O773" s="43" t="str">
        <x:v>02077204091</x:v>
      </x:c>
      <x:c r="P773" s="43" t="str"/>
      <x:c r="Q773" s="43" t="str"/>
      <x:c r="R773" s="43" t="str">
        <x:v>Queued for contact research</x:v>
      </x:c>
      <x:c r="S773" s="43" t="str">
        <x:v>Not reviewed</x:v>
      </x:c>
      <x:c r="T773" s="43" t="str">
        <x:v>Hold</x:v>
      </x:c>
      <x:c r="U773" s="43" t="str">
        <x:v>No</x:v>
      </x:c>
      <x:c r="V773" s="44"/>
      <x:c r="W773" s="43" t="str"/>
      <x:c r="X773" s="43" t="str"/>
      <x:c r="Y773" s="43" t="str"/>
      <x:c r="Z773" s="43" t="str">
        <x:v>https://www.get-information-schools.service.gov.uk/Downloads</x:v>
      </x:c>
    </x:row>
    <x:row r="774">
      <x:c r="A774" s="43" t="str">
        <x:v>UK independent</x:v>
      </x:c>
      <x:c r="B774" s="43" t="str">
        <x:v>125443</x:v>
      </x:c>
      <x:c r="C774" s="43" t="n">
        <x:f>IF(K774="Boarding school",30,0)+IF(J774&gt;=18,20,0)+IF(I774&lt;=11,10,0)+IF(L774="Has a sixth form",15,0)+IF(M774&gt;=200,10,0)+IF(N774&lt;&gt;"",10,0)</x:f>
        <x:v>30</x:v>
      </x:c>
      <x:c r="D774" s="43" t="str">
        <x:f>IF(C774&gt;=85,"A",IF(C774&gt;=65,"B","C"))</x:f>
        <x:v>C</x:v>
      </x:c>
      <x:c r="E774" s="43" t="str">
        <x:v>St George's Junior School</x:v>
      </x:c>
      <x:c r="F774" s="43" t="str">
        <x:v>Weybridge</x:v>
      </x:c>
      <x:c r="G774" s="43" t="str">
        <x:v>Surrey</x:v>
      </x:c>
      <x:c r="H774" s="43" t="str">
        <x:v>KT13 8NL</x:v>
      </x:c>
      <x:c r="I774" s="43" t="n">
        <x:v>2</x:v>
      </x:c>
      <x:c r="J774" s="43" t="n">
        <x:v>11</x:v>
      </x:c>
      <x:c r="K774" s="43" t="str">
        <x:v>No boarders</x:v>
      </x:c>
      <x:c r="L774" s="43" t="str">
        <x:v>Not applicable</x:v>
      </x:c>
      <x:c r="M774" s="43" t="n">
        <x:v>550</x:v>
      </x:c>
      <x:c r="N774" s="43" t="str">
        <x:v>https://www.stgeorgesweybridge.org.uk</x:v>
      </x:c>
      <x:c r="O774" s="43" t="str">
        <x:v>01932839400</x:v>
      </x:c>
      <x:c r="P774" s="43" t="str"/>
      <x:c r="Q774" s="43" t="str"/>
      <x:c r="R774" s="43" t="str">
        <x:v>Queued for contact research</x:v>
      </x:c>
      <x:c r="S774" s="43" t="str">
        <x:v>Not reviewed</x:v>
      </x:c>
      <x:c r="T774" s="43" t="str">
        <x:v>Hold</x:v>
      </x:c>
      <x:c r="U774" s="43" t="str">
        <x:v>No</x:v>
      </x:c>
      <x:c r="V774" s="44"/>
      <x:c r="W774" s="43" t="str"/>
      <x:c r="X774" s="43" t="str"/>
      <x:c r="Y774" s="43" t="str"/>
      <x:c r="Z774" s="43" t="str">
        <x:v>https://www.get-information-schools.service.gov.uk/Downloads</x:v>
      </x:c>
    </x:row>
    <x:row r="775">
      <x:c r="A775" s="43" t="str">
        <x:v>UK independent</x:v>
      </x:c>
      <x:c r="B775" s="43" t="str">
        <x:v>125397</x:v>
      </x:c>
      <x:c r="C775" s="43" t="n">
        <x:f>IF(K775="Boarding school",30,0)+IF(J775&gt;=18,20,0)+IF(I775&lt;=11,10,0)+IF(L775="Has a sixth form",15,0)+IF(M775&gt;=200,10,0)+IF(N775&lt;&gt;"",10,0)</x:f>
        <x:v>30</x:v>
      </x:c>
      <x:c r="D775" s="43" t="str">
        <x:f>IF(C775&gt;=85,"A",IF(C775&gt;=65,"B","C"))</x:f>
        <x:v>C</x:v>
      </x:c>
      <x:c r="E775" s="43" t="str">
        <x:v>Hoe Bridge School</x:v>
      </x:c>
      <x:c r="F775" s="43" t="str">
        <x:v>Surrey</x:v>
      </x:c>
      <x:c r="G775" s="43" t="str"/>
      <x:c r="H775" s="43" t="str">
        <x:v>GU22 8JE</x:v>
      </x:c>
      <x:c r="I775" s="43" t="n">
        <x:v>2</x:v>
      </x:c>
      <x:c r="J775" s="43" t="n">
        <x:v>16</x:v>
      </x:c>
      <x:c r="K775" s="43" t="str">
        <x:v>No boarders</x:v>
      </x:c>
      <x:c r="L775" s="43" t="str">
        <x:v>Does not have a sixth form</x:v>
      </x:c>
      <x:c r="M775" s="43" t="n">
        <x:v>548</x:v>
      </x:c>
      <x:c r="N775" s="43" t="str">
        <x:v>https://www.hoebridgeschool.co.uk</x:v>
      </x:c>
      <x:c r="O775" s="43" t="str">
        <x:v>01483760018</x:v>
      </x:c>
      <x:c r="P775" s="43" t="str"/>
      <x:c r="Q775" s="43" t="str"/>
      <x:c r="R775" s="43" t="str">
        <x:v>Queued for contact research</x:v>
      </x:c>
      <x:c r="S775" s="43" t="str">
        <x:v>Not reviewed</x:v>
      </x:c>
      <x:c r="T775" s="43" t="str">
        <x:v>Hold</x:v>
      </x:c>
      <x:c r="U775" s="43" t="str">
        <x:v>No</x:v>
      </x:c>
      <x:c r="V775" s="44"/>
      <x:c r="W775" s="43" t="str"/>
      <x:c r="X775" s="43" t="str"/>
      <x:c r="Y775" s="43" t="str"/>
      <x:c r="Z775" s="43" t="str">
        <x:v>https://www.get-information-schools.service.gov.uk/Downloads</x:v>
      </x:c>
    </x:row>
    <x:row r="776">
      <x:c r="A776" s="43" t="str">
        <x:v>UK independent</x:v>
      </x:c>
      <x:c r="B776" s="43" t="str">
        <x:v>100530</x:v>
      </x:c>
      <x:c r="C776" s="43" t="n">
        <x:f>IF(K776="Boarding school",30,0)+IF(J776&gt;=18,20,0)+IF(I776&lt;=11,10,0)+IF(L776="Has a sixth form",15,0)+IF(M776&gt;=200,10,0)+IF(N776&lt;&gt;"",10,0)</x:f>
        <x:v>30</x:v>
      </x:c>
      <x:c r="D776" s="43" t="str">
        <x:f>IF(C776&gt;=85,"A",IF(C776&gt;=65,"B","C"))</x:f>
        <x:v>C</x:v>
      </x:c>
      <x:c r="E776" s="43" t="str">
        <x:v>Thomas's Battersea</x:v>
      </x:c>
      <x:c r="F776" s="43" t="str">
        <x:v>London</x:v>
      </x:c>
      <x:c r="G776" s="43" t="str"/>
      <x:c r="H776" s="43" t="str">
        <x:v>SW11 3JB</x:v>
      </x:c>
      <x:c r="I776" s="43" t="n">
        <x:v>3</x:v>
      </x:c>
      <x:c r="J776" s="43" t="n">
        <x:v>13</x:v>
      </x:c>
      <x:c r="K776" s="43" t="str">
        <x:v>No boarders</x:v>
      </x:c>
      <x:c r="L776" s="43" t="str">
        <x:v>Does not have a sixth form</x:v>
      </x:c>
      <x:c r="M776" s="43" t="n">
        <x:v>547</x:v>
      </x:c>
      <x:c r="N776" s="43" t="str">
        <x:v>https://www.thomas-s.co.uk</x:v>
      </x:c>
      <x:c r="O776" s="43" t="str">
        <x:v>02079780900</x:v>
      </x:c>
      <x:c r="P776" s="43" t="str"/>
      <x:c r="Q776" s="43" t="str"/>
      <x:c r="R776" s="43" t="str">
        <x:v>Queued for contact research</x:v>
      </x:c>
      <x:c r="S776" s="43" t="str">
        <x:v>Not reviewed</x:v>
      </x:c>
      <x:c r="T776" s="43" t="str">
        <x:v>Hold</x:v>
      </x:c>
      <x:c r="U776" s="43" t="str">
        <x:v>No</x:v>
      </x:c>
      <x:c r="V776" s="44"/>
      <x:c r="W776" s="43" t="str"/>
      <x:c r="X776" s="43" t="str"/>
      <x:c r="Y776" s="43" t="str"/>
      <x:c r="Z776" s="43" t="str">
        <x:v>https://www.get-information-schools.service.gov.uk/Downloads</x:v>
      </x:c>
    </x:row>
    <x:row r="777">
      <x:c r="A777" s="43" t="str">
        <x:v>UK independent</x:v>
      </x:c>
      <x:c r="B777" s="43" t="str">
        <x:v>110913</x:v>
      </x:c>
      <x:c r="C777" s="43" t="n">
        <x:f>IF(K777="Boarding school",30,0)+IF(J777&gt;=18,20,0)+IF(I777&lt;=11,10,0)+IF(L777="Has a sixth form",15,0)+IF(M777&gt;=200,10,0)+IF(N777&lt;&gt;"",10,0)</x:f>
        <x:v>30</x:v>
      </x:c>
      <x:c r="D777" s="43" t="str">
        <x:f>IF(C777&gt;=85,"A",IF(C777&gt;=65,"B","C"))</x:f>
        <x:v>C</x:v>
      </x:c>
      <x:c r="E777" s="43" t="str">
        <x:v>St Faith's School</x:v>
      </x:c>
      <x:c r="F777" s="43" t="str">
        <x:v>Cambridge</x:v>
      </x:c>
      <x:c r="G777" s="43" t="str">
        <x:v>Cambridgeshire</x:v>
      </x:c>
      <x:c r="H777" s="43" t="str">
        <x:v>CB2 8AG</x:v>
      </x:c>
      <x:c r="I777" s="43" t="n">
        <x:v>3</x:v>
      </x:c>
      <x:c r="J777" s="43" t="n">
        <x:v>13</x:v>
      </x:c>
      <x:c r="K777" s="43" t="str">
        <x:v>No boarders</x:v>
      </x:c>
      <x:c r="L777" s="43" t="str">
        <x:v>Does not have a sixth form</x:v>
      </x:c>
      <x:c r="M777" s="43" t="n">
        <x:v>532</x:v>
      </x:c>
      <x:c r="N777" s="43" t="str">
        <x:v>https://www.stfaiths.co.uk</x:v>
      </x:c>
      <x:c r="O777" s="43" t="str">
        <x:v>01223352073</x:v>
      </x:c>
      <x:c r="P777" s="43" t="str"/>
      <x:c r="Q777" s="43" t="str"/>
      <x:c r="R777" s="43" t="str">
        <x:v>Queued for contact research</x:v>
      </x:c>
      <x:c r="S777" s="43" t="str">
        <x:v>Not reviewed</x:v>
      </x:c>
      <x:c r="T777" s="43" t="str">
        <x:v>Hold</x:v>
      </x:c>
      <x:c r="U777" s="43" t="str">
        <x:v>No</x:v>
      </x:c>
      <x:c r="V777" s="44"/>
      <x:c r="W777" s="43" t="str"/>
      <x:c r="X777" s="43" t="str"/>
      <x:c r="Y777" s="43" t="str"/>
      <x:c r="Z777" s="43" t="str">
        <x:v>https://www.get-information-schools.service.gov.uk/Downloads</x:v>
      </x:c>
    </x:row>
    <x:row r="778">
      <x:c r="A778" s="43" t="str">
        <x:v>UK independent</x:v>
      </x:c>
      <x:c r="B778" s="43" t="str">
        <x:v>118960</x:v>
      </x:c>
      <x:c r="C778" s="43" t="n">
        <x:f>IF(K778="Boarding school",30,0)+IF(J778&gt;=18,20,0)+IF(I778&lt;=11,10,0)+IF(L778="Has a sixth form",15,0)+IF(M778&gt;=200,10,0)+IF(N778&lt;&gt;"",10,0)</x:f>
        <x:v>30</x:v>
      </x:c>
      <x:c r="D778" s="43" t="str">
        <x:f>IF(C778&gt;=85,"A",IF(C778&gt;=65,"B","C"))</x:f>
        <x:v>C</x:v>
      </x:c>
      <x:c r="E778" s="43" t="str">
        <x:v>Somerhill</x:v>
      </x:c>
      <x:c r="F778" s="43" t="str"/>
      <x:c r="G778" s="43" t="str"/>
      <x:c r="H778" s="43" t="str">
        <x:v>TN11 0NJ</x:v>
      </x:c>
      <x:c r="I778" s="43" t="n">
        <x:v>2</x:v>
      </x:c>
      <x:c r="J778" s="43" t="n">
        <x:v>13</x:v>
      </x:c>
      <x:c r="K778" s="43" t="str">
        <x:v>No boarders</x:v>
      </x:c>
      <x:c r="L778" s="43" t="str">
        <x:v>Does not have a sixth form</x:v>
      </x:c>
      <x:c r="M778" s="43" t="n">
        <x:v>518</x:v>
      </x:c>
      <x:c r="N778" s="43" t="str">
        <x:v>https://www.somerhill.org</x:v>
      </x:c>
      <x:c r="O778" s="43" t="str">
        <x:v>01732352124</x:v>
      </x:c>
      <x:c r="P778" s="43" t="str"/>
      <x:c r="Q778" s="43" t="str"/>
      <x:c r="R778" s="43" t="str">
        <x:v>Queued for contact research</x:v>
      </x:c>
      <x:c r="S778" s="43" t="str">
        <x:v>Not reviewed</x:v>
      </x:c>
      <x:c r="T778" s="43" t="str">
        <x:v>Hold</x:v>
      </x:c>
      <x:c r="U778" s="43" t="str">
        <x:v>No</x:v>
      </x:c>
      <x:c r="V778" s="44"/>
      <x:c r="W778" s="43" t="str"/>
      <x:c r="X778" s="43" t="str"/>
      <x:c r="Y778" s="43" t="str"/>
      <x:c r="Z778" s="43" t="str">
        <x:v>https://www.get-information-schools.service.gov.uk/Downloads</x:v>
      </x:c>
    </x:row>
    <x:row r="779">
      <x:c r="A779" s="43" t="str">
        <x:v>UK independent</x:v>
      </x:c>
      <x:c r="B779" s="43" t="str">
        <x:v>100980</x:v>
      </x:c>
      <x:c r="C779" s="43" t="n">
        <x:f>IF(K779="Boarding school",30,0)+IF(J779&gt;=18,20,0)+IF(I779&lt;=11,10,0)+IF(L779="Has a sixth form",15,0)+IF(M779&gt;=200,10,0)+IF(N779&lt;&gt;"",10,0)</x:f>
        <x:v>30</x:v>
      </x:c>
      <x:c r="D779" s="43" t="str">
        <x:f>IF(C779&gt;=85,"A",IF(C779&gt;=65,"B","C"))</x:f>
        <x:v>C</x:v>
      </x:c>
      <x:c r="E779" s="43" t="str">
        <x:v>Gatehouse School</x:v>
      </x:c>
      <x:c r="F779" s="43" t="str">
        <x:v>London</x:v>
      </x:c>
      <x:c r="G779" s="43" t="str"/>
      <x:c r="H779" s="43" t="str">
        <x:v>E2 9JG</x:v>
      </x:c>
      <x:c r="I779" s="43" t="n">
        <x:v>3</x:v>
      </x:c>
      <x:c r="J779" s="43" t="n">
        <x:v>11</x:v>
      </x:c>
      <x:c r="K779" s="43" t="str">
        <x:v>No boarders</x:v>
      </x:c>
      <x:c r="L779" s="43" t="str">
        <x:v>Does not have a sixth form</x:v>
      </x:c>
      <x:c r="M779" s="43" t="n">
        <x:v>494</x:v>
      </x:c>
      <x:c r="N779" s="43" t="str">
        <x:v>https://www.gatehouseschool.co.uk</x:v>
      </x:c>
      <x:c r="O779" s="43" t="str">
        <x:v>02089802978</x:v>
      </x:c>
      <x:c r="P779" s="43" t="str"/>
      <x:c r="Q779" s="43" t="str"/>
      <x:c r="R779" s="43" t="str">
        <x:v>Queued for contact research</x:v>
      </x:c>
      <x:c r="S779" s="43" t="str">
        <x:v>Not reviewed</x:v>
      </x:c>
      <x:c r="T779" s="43" t="str">
        <x:v>Hold</x:v>
      </x:c>
      <x:c r="U779" s="43" t="str">
        <x:v>No</x:v>
      </x:c>
      <x:c r="V779" s="44"/>
      <x:c r="W779" s="43" t="str"/>
      <x:c r="X779" s="43" t="str"/>
      <x:c r="Y779" s="43" t="str"/>
      <x:c r="Z779" s="43" t="str">
        <x:v>https://www.get-information-schools.service.gov.uk/Downloads</x:v>
      </x:c>
    </x:row>
    <x:row r="780">
      <x:c r="A780" s="43" t="str">
        <x:v>UK independent</x:v>
      </x:c>
      <x:c r="B780" s="43" t="str">
        <x:v>107786</x:v>
      </x:c>
      <x:c r="C780" s="43" t="n">
        <x:f>IF(K780="Boarding school",30,0)+IF(J780&gt;=18,20,0)+IF(I780&lt;=11,10,0)+IF(L780="Has a sixth form",15,0)+IF(M780&gt;=200,10,0)+IF(N780&lt;&gt;"",10,0)</x:f>
        <x:v>30</x:v>
      </x:c>
      <x:c r="D780" s="43" t="str">
        <x:f>IF(C780&gt;=85,"A",IF(C780&gt;=65,"B","C"))</x:f>
        <x:v>C</x:v>
      </x:c>
      <x:c r="E780" s="43" t="str">
        <x:v>Huddersfield Grammar School</x:v>
      </x:c>
      <x:c r="F780" s="43" t="str">
        <x:v>Huddersfield</x:v>
      </x:c>
      <x:c r="G780" s="43" t="str">
        <x:v>West Yorkshire</x:v>
      </x:c>
      <x:c r="H780" s="43" t="str">
        <x:v>HD1 4QX</x:v>
      </x:c>
      <x:c r="I780" s="43" t="n">
        <x:v>3</x:v>
      </x:c>
      <x:c r="J780" s="43" t="n">
        <x:v>16</x:v>
      </x:c>
      <x:c r="K780" s="43" t="str">
        <x:v>No boarders</x:v>
      </x:c>
      <x:c r="L780" s="43" t="str">
        <x:v>Does not have a sixth form</x:v>
      </x:c>
      <x:c r="M780" s="43" t="n">
        <x:v>493</x:v>
      </x:c>
      <x:c r="N780" s="43" t="str">
        <x:v>https://www.huddersfield-grammar.co.uk</x:v>
      </x:c>
      <x:c r="O780" s="43" t="str">
        <x:v>01484424549</x:v>
      </x:c>
      <x:c r="P780" s="43" t="str"/>
      <x:c r="Q780" s="43" t="str"/>
      <x:c r="R780" s="43" t="str">
        <x:v>Queued for contact research</x:v>
      </x:c>
      <x:c r="S780" s="43" t="str">
        <x:v>Not reviewed</x:v>
      </x:c>
      <x:c r="T780" s="43" t="str">
        <x:v>Hold</x:v>
      </x:c>
      <x:c r="U780" s="43" t="str">
        <x:v>No</x:v>
      </x:c>
      <x:c r="V780" s="44"/>
      <x:c r="W780" s="43" t="str"/>
      <x:c r="X780" s="43" t="str"/>
      <x:c r="Y780" s="43" t="str"/>
      <x:c r="Z780" s="43" t="str">
        <x:v>https://www.get-information-schools.service.gov.uk/Downloads</x:v>
      </x:c>
    </x:row>
    <x:row r="781">
      <x:c r="A781" s="43" t="str">
        <x:v>UK independent</x:v>
      </x:c>
      <x:c r="B781" s="43" t="str">
        <x:v>125355</x:v>
      </x:c>
      <x:c r="C781" s="43" t="n">
        <x:f>IF(K781="Boarding school",30,0)+IF(J781&gt;=18,20,0)+IF(I781&lt;=11,10,0)+IF(L781="Has a sixth form",15,0)+IF(M781&gt;=200,10,0)+IF(N781&lt;&gt;"",10,0)</x:f>
        <x:v>30</x:v>
      </x:c>
      <x:c r="D781" s="43" t="str">
        <x:f>IF(C781&gt;=85,"A",IF(C781&gt;=65,"B","C"))</x:f>
        <x:v>C</x:v>
      </x:c>
      <x:c r="E781" s="43" t="str">
        <x:v>The Hawthorns School</x:v>
      </x:c>
      <x:c r="F781" s="43" t="str">
        <x:v>Redhill</x:v>
      </x:c>
      <x:c r="G781" s="43" t="str">
        <x:v>Surrey</x:v>
      </x:c>
      <x:c r="H781" s="43" t="str">
        <x:v>RH1 4QJ</x:v>
      </x:c>
      <x:c r="I781" s="43" t="n">
        <x:v>0</x:v>
      </x:c>
      <x:c r="J781" s="43" t="n">
        <x:v>13</x:v>
      </x:c>
      <x:c r="K781" s="43" t="str">
        <x:v>No boarders</x:v>
      </x:c>
      <x:c r="L781" s="43" t="str">
        <x:v>Does not have a sixth form</x:v>
      </x:c>
      <x:c r="M781" s="43" t="n">
        <x:v>489</x:v>
      </x:c>
      <x:c r="N781" s="43" t="str">
        <x:v>http://www.hawthorns.com/</x:v>
      </x:c>
      <x:c r="O781" s="43" t="str">
        <x:v>01883743048</x:v>
      </x:c>
      <x:c r="P781" s="43" t="str"/>
      <x:c r="Q781" s="43" t="str"/>
      <x:c r="R781" s="43" t="str">
        <x:v>Queued for contact research</x:v>
      </x:c>
      <x:c r="S781" s="43" t="str">
        <x:v>Not reviewed</x:v>
      </x:c>
      <x:c r="T781" s="43" t="str">
        <x:v>Hold</x:v>
      </x:c>
      <x:c r="U781" s="43" t="str">
        <x:v>No</x:v>
      </x:c>
      <x:c r="V781" s="44"/>
      <x:c r="W781" s="43" t="str"/>
      <x:c r="X781" s="43" t="str"/>
      <x:c r="Y781" s="43" t="str"/>
      <x:c r="Z781" s="43" t="str">
        <x:v>https://www.get-information-schools.service.gov.uk/Downloads</x:v>
      </x:c>
    </x:row>
    <x:row r="782">
      <x:c r="A782" s="43" t="str">
        <x:v>UK independent</x:v>
      </x:c>
      <x:c r="B782" s="43" t="str">
        <x:v>125780</x:v>
      </x:c>
      <x:c r="C782" s="43" t="n">
        <x:f>IF(K782="Boarding school",30,0)+IF(J782&gt;=18,20,0)+IF(I782&lt;=11,10,0)+IF(L782="Has a sixth form",15,0)+IF(M782&gt;=200,10,0)+IF(N782&lt;&gt;"",10,0)</x:f>
        <x:v>30</x:v>
      </x:c>
      <x:c r="D782" s="43" t="str">
        <x:f>IF(C782&gt;=85,"A",IF(C782&gt;=65,"B","C"))</x:f>
        <x:v>C</x:v>
      </x:c>
      <x:c r="E782" s="43" t="str">
        <x:v>Warwick Preparatory School</x:v>
      </x:c>
      <x:c r="F782" s="43" t="str">
        <x:v>Warwick</x:v>
      </x:c>
      <x:c r="G782" s="43" t="str">
        <x:v>Warwickshire</x:v>
      </x:c>
      <x:c r="H782" s="43" t="str">
        <x:v>CV34 6PL</x:v>
      </x:c>
      <x:c r="I782" s="43" t="n">
        <x:v>3</x:v>
      </x:c>
      <x:c r="J782" s="43" t="n">
        <x:v>11</x:v>
      </x:c>
      <x:c r="K782" s="43" t="str">
        <x:v>No boarders</x:v>
      </x:c>
      <x:c r="L782" s="43" t="str">
        <x:v>Does not have a sixth form</x:v>
      </x:c>
      <x:c r="M782" s="43" t="n">
        <x:v>484</x:v>
      </x:c>
      <x:c r="N782" s="43" t="str">
        <x:v>https://www.warwickprep.com</x:v>
      </x:c>
      <x:c r="O782" s="43" t="str">
        <x:v>01926491545</x:v>
      </x:c>
      <x:c r="P782" s="43" t="str"/>
      <x:c r="Q782" s="43" t="str"/>
      <x:c r="R782" s="43" t="str">
        <x:v>Queued for contact research</x:v>
      </x:c>
      <x:c r="S782" s="43" t="str">
        <x:v>Not reviewed</x:v>
      </x:c>
      <x:c r="T782" s="43" t="str">
        <x:v>Hold</x:v>
      </x:c>
      <x:c r="U782" s="43" t="str">
        <x:v>No</x:v>
      </x:c>
      <x:c r="V782" s="44"/>
      <x:c r="W782" s="43" t="str"/>
      <x:c r="X782" s="43" t="str"/>
      <x:c r="Y782" s="43" t="str"/>
      <x:c r="Z782" s="43" t="str">
        <x:v>https://www.get-information-schools.service.gov.uk/Downloads</x:v>
      </x:c>
    </x:row>
    <x:row r="783">
      <x:c r="A783" s="43" t="str">
        <x:v>UK independent</x:v>
      </x:c>
      <x:c r="B783" s="43" t="str">
        <x:v>106149</x:v>
      </x:c>
      <x:c r="C783" s="43" t="n">
        <x:f>IF(K783="Boarding school",30,0)+IF(J783&gt;=18,20,0)+IF(I783&lt;=11,10,0)+IF(L783="Has a sixth form",15,0)+IF(M783&gt;=200,10,0)+IF(N783&lt;&gt;"",10,0)</x:f>
        <x:v>30</x:v>
      </x:c>
      <x:c r="D783" s="43" t="str">
        <x:f>IF(C783&gt;=85,"A",IF(C783&gt;=65,"B","C"))</x:f>
        <x:v>C</x:v>
      </x:c>
      <x:c r="E783" s="43" t="str">
        <x:v>Lady Barn House School</x:v>
      </x:c>
      <x:c r="F783" s="43" t="str">
        <x:v>Cheadle</x:v>
      </x:c>
      <x:c r="G783" s="43" t="str">
        <x:v>Cheshire</x:v>
      </x:c>
      <x:c r="H783" s="43" t="str">
        <x:v>SK8 1JE</x:v>
      </x:c>
      <x:c r="I783" s="43" t="n">
        <x:v>3</x:v>
      </x:c>
      <x:c r="J783" s="43" t="n">
        <x:v>11</x:v>
      </x:c>
      <x:c r="K783" s="43" t="str">
        <x:v>No boarders</x:v>
      </x:c>
      <x:c r="L783" s="43" t="str">
        <x:v>Does not have a sixth form</x:v>
      </x:c>
      <x:c r="M783" s="43" t="n">
        <x:v>472</x:v>
      </x:c>
      <x:c r="N783" s="43" t="str">
        <x:v>https://www.ladybarnhouse.org</x:v>
      </x:c>
      <x:c r="O783" s="43" t="str">
        <x:v>01614282912</x:v>
      </x:c>
      <x:c r="P783" s="43" t="str"/>
      <x:c r="Q783" s="43" t="str"/>
      <x:c r="R783" s="43" t="str">
        <x:v>Queued for contact research</x:v>
      </x:c>
      <x:c r="S783" s="43" t="str">
        <x:v>Not reviewed</x:v>
      </x:c>
      <x:c r="T783" s="43" t="str">
        <x:v>Hold</x:v>
      </x:c>
      <x:c r="U783" s="43" t="str">
        <x:v>No</x:v>
      </x:c>
      <x:c r="V783" s="44"/>
      <x:c r="W783" s="43" t="str"/>
      <x:c r="X783" s="43" t="str"/>
      <x:c r="Y783" s="43" t="str"/>
      <x:c r="Z783" s="43" t="str">
        <x:v>https://www.get-information-schools.service.gov.uk/Downloads</x:v>
      </x:c>
    </x:row>
    <x:row r="784">
      <x:c r="A784" s="43" t="str">
        <x:v>UK independent</x:v>
      </x:c>
      <x:c r="B784" s="43" t="str">
        <x:v>109349</x:v>
      </x:c>
      <x:c r="C784" s="43" t="n">
        <x:f>IF(K784="Boarding school",30,0)+IF(J784&gt;=18,20,0)+IF(I784&lt;=11,10,0)+IF(L784="Has a sixth form",15,0)+IF(M784&gt;=200,10,0)+IF(N784&lt;&gt;"",10,0)</x:f>
        <x:v>30</x:v>
      </x:c>
      <x:c r="D784" s="43" t="str">
        <x:f>IF(C784&gt;=85,"A",IF(C784&gt;=65,"B","C"))</x:f>
        <x:v>C</x:v>
      </x:c>
      <x:c r="E784" s="43" t="str">
        <x:v>Kingswood Preparatory School</x:v>
      </x:c>
      <x:c r="F784" s="43" t="str">
        <x:v>Bath</x:v>
      </x:c>
      <x:c r="G784" s="43" t="str"/>
      <x:c r="H784" s="43" t="str">
        <x:v>BA1 5SD</x:v>
      </x:c>
      <x:c r="I784" s="43" t="n">
        <x:v>1</x:v>
      </x:c>
      <x:c r="J784" s="43" t="n">
        <x:v>11</x:v>
      </x:c>
      <x:c r="K784" s="43" t="str">
        <x:v>No boarders</x:v>
      </x:c>
      <x:c r="L784" s="43" t="str">
        <x:v>Not applicable</x:v>
      </x:c>
      <x:c r="M784" s="43" t="n">
        <x:v>469</x:v>
      </x:c>
      <x:c r="N784" s="43" t="str">
        <x:v>https://www.kingswood.bath.sch.uk/</x:v>
      </x:c>
      <x:c r="O784" s="43" t="str">
        <x:v>01225734460</x:v>
      </x:c>
      <x:c r="P784" s="43" t="str"/>
      <x:c r="Q784" s="43" t="str"/>
      <x:c r="R784" s="43" t="str">
        <x:v>Queued for contact research</x:v>
      </x:c>
      <x:c r="S784" s="43" t="str">
        <x:v>Not reviewed</x:v>
      </x:c>
      <x:c r="T784" s="43" t="str">
        <x:v>Hold</x:v>
      </x:c>
      <x:c r="U784" s="43" t="str">
        <x:v>No</x:v>
      </x:c>
      <x:c r="V784" s="44"/>
      <x:c r="W784" s="43" t="str"/>
      <x:c r="X784" s="43" t="str"/>
      <x:c r="Y784" s="43" t="str"/>
      <x:c r="Z784" s="43" t="str">
        <x:v>https://www.get-information-schools.service.gov.uk/Downloads</x:v>
      </x:c>
    </x:row>
    <x:row r="785">
      <x:c r="A785" s="43" t="str">
        <x:v>UK independent</x:v>
      </x:c>
      <x:c r="B785" s="43" t="str">
        <x:v>102248</x:v>
      </x:c>
      <x:c r="C785" s="43" t="n">
        <x:f>IF(K785="Boarding school",30,0)+IF(J785&gt;=18,20,0)+IF(I785&lt;=11,10,0)+IF(L785="Has a sixth form",15,0)+IF(M785&gt;=200,10,0)+IF(N785&lt;&gt;"",10,0)</x:f>
        <x:v>30</x:v>
      </x:c>
      <x:c r="D785" s="43" t="str">
        <x:f>IF(C785&gt;=85,"A",IF(C785&gt;=65,"B","C"))</x:f>
        <x:v>C</x:v>
      </x:c>
      <x:c r="E785" s="43" t="str">
        <x:v>Orley Farm School</x:v>
      </x:c>
      <x:c r="F785" s="43" t="str">
        <x:v>Harrow</x:v>
      </x:c>
      <x:c r="G785" s="43" t="str">
        <x:v>Middlesex</x:v>
      </x:c>
      <x:c r="H785" s="43" t="str">
        <x:v>HA1 3NU</x:v>
      </x:c>
      <x:c r="I785" s="43" t="n">
        <x:v>4</x:v>
      </x:c>
      <x:c r="J785" s="43" t="n">
        <x:v>13</x:v>
      </x:c>
      <x:c r="K785" s="43" t="str">
        <x:v>No boarders</x:v>
      </x:c>
      <x:c r="L785" s="43" t="str">
        <x:v>Does not have a sixth form</x:v>
      </x:c>
      <x:c r="M785" s="43" t="n">
        <x:v>467</x:v>
      </x:c>
      <x:c r="N785" s="43" t="str">
        <x:v>https://www.orleyfarm.harrow.sch.uk</x:v>
      </x:c>
      <x:c r="O785" s="43" t="str">
        <x:v>02088697600</x:v>
      </x:c>
      <x:c r="P785" s="43" t="str"/>
      <x:c r="Q785" s="43" t="str"/>
      <x:c r="R785" s="43" t="str">
        <x:v>Queued for contact research</x:v>
      </x:c>
      <x:c r="S785" s="43" t="str">
        <x:v>Not reviewed</x:v>
      </x:c>
      <x:c r="T785" s="43" t="str">
        <x:v>Hold</x:v>
      </x:c>
      <x:c r="U785" s="43" t="str">
        <x:v>No</x:v>
      </x:c>
      <x:c r="V785" s="44"/>
      <x:c r="W785" s="43" t="str"/>
      <x:c r="X785" s="43" t="str"/>
      <x:c r="Y785" s="43" t="str"/>
      <x:c r="Z785" s="43" t="str">
        <x:v>https://www.get-information-schools.service.gov.uk/Downloads</x:v>
      </x:c>
    </x:row>
    <x:row r="786">
      <x:c r="A786" s="43" t="str">
        <x:v>UK independent</x:v>
      </x:c>
      <x:c r="B786" s="43" t="str">
        <x:v>100064</x:v>
      </x:c>
      <x:c r="C786" s="43" t="n">
        <x:f>IF(K786="Boarding school",30,0)+IF(J786&gt;=18,20,0)+IF(I786&lt;=11,10,0)+IF(L786="Has a sixth form",15,0)+IF(M786&gt;=200,10,0)+IF(N786&lt;&gt;"",10,0)</x:f>
        <x:v>30</x:v>
      </x:c>
      <x:c r="D786" s="43" t="str">
        <x:f>IF(C786&gt;=85,"A",IF(C786&gt;=65,"B","C"))</x:f>
        <x:v>C</x:v>
      </x:c>
      <x:c r="E786" s="43" t="str">
        <x:v>The Hall School</x:v>
      </x:c>
      <x:c r="F786" s="43" t="str">
        <x:v>London</x:v>
      </x:c>
      <x:c r="G786" s="43" t="str"/>
      <x:c r="H786" s="43" t="str">
        <x:v>NW3 4NU</x:v>
      </x:c>
      <x:c r="I786" s="43" t="n">
        <x:v>4</x:v>
      </x:c>
      <x:c r="J786" s="43" t="n">
        <x:v>13</x:v>
      </x:c>
      <x:c r="K786" s="43" t="str">
        <x:v>No boarders</x:v>
      </x:c>
      <x:c r="L786" s="43" t="str">
        <x:v>Does not have a sixth form</x:v>
      </x:c>
      <x:c r="M786" s="43" t="n">
        <x:v>463</x:v>
      </x:c>
      <x:c r="N786" s="43" t="str">
        <x:v>https://www.hallschool.co.uk</x:v>
      </x:c>
      <x:c r="O786" s="43" t="str">
        <x:v>02077221700</x:v>
      </x:c>
      <x:c r="P786" s="43" t="str"/>
      <x:c r="Q786" s="43" t="str"/>
      <x:c r="R786" s="43" t="str">
        <x:v>Queued for contact research</x:v>
      </x:c>
      <x:c r="S786" s="43" t="str">
        <x:v>Not reviewed</x:v>
      </x:c>
      <x:c r="T786" s="43" t="str">
        <x:v>Hold</x:v>
      </x:c>
      <x:c r="U786" s="43" t="str">
        <x:v>No</x:v>
      </x:c>
      <x:c r="V786" s="44"/>
      <x:c r="W786" s="43" t="str"/>
      <x:c r="X786" s="43" t="str"/>
      <x:c r="Y786" s="43" t="str"/>
      <x:c r="Z786" s="43" t="str">
        <x:v>https://www.get-information-schools.service.gov.uk/Downloads</x:v>
      </x:c>
    </x:row>
    <x:row r="787">
      <x:c r="A787" s="43" t="str">
        <x:v>UK independent</x:v>
      </x:c>
      <x:c r="B787" s="43" t="str">
        <x:v>117658</x:v>
      </x:c>
      <x:c r="C787" s="43" t="n">
        <x:f>IF(K787="Boarding school",30,0)+IF(J787&gt;=18,20,0)+IF(I787&lt;=11,10,0)+IF(L787="Has a sixth form",15,0)+IF(M787&gt;=200,10,0)+IF(N787&lt;&gt;"",10,0)</x:f>
        <x:v>30</x:v>
      </x:c>
      <x:c r="D787" s="43" t="str">
        <x:f>IF(C787&gt;=85,"A",IF(C787&gt;=65,"B","C"))</x:f>
        <x:v>C</x:v>
      </x:c>
      <x:c r="E787" s="43" t="str">
        <x:v>Manor Lodge School</x:v>
      </x:c>
      <x:c r="F787" s="43" t="str">
        <x:v>Shenley</x:v>
      </x:c>
      <x:c r="G787" s="43" t="str">
        <x:v>Hertfordshire</x:v>
      </x:c>
      <x:c r="H787" s="43" t="str">
        <x:v>WD7 9BG</x:v>
      </x:c>
      <x:c r="I787" s="43" t="n">
        <x:v>2</x:v>
      </x:c>
      <x:c r="J787" s="43" t="n">
        <x:v>11</x:v>
      </x:c>
      <x:c r="K787" s="43" t="str">
        <x:v>No boarders</x:v>
      </x:c>
      <x:c r="L787" s="43" t="str">
        <x:v>Does not have a sixth form</x:v>
      </x:c>
      <x:c r="M787" s="43" t="n">
        <x:v>458</x:v>
      </x:c>
      <x:c r="N787" s="43" t="str">
        <x:v>https://www.manorlodgeschool.com/</x:v>
      </x:c>
      <x:c r="O787" s="43" t="str">
        <x:v>01707642424</x:v>
      </x:c>
      <x:c r="P787" s="43" t="str"/>
      <x:c r="Q787" s="43" t="str"/>
      <x:c r="R787" s="43" t="str">
        <x:v>Queued for contact research</x:v>
      </x:c>
      <x:c r="S787" s="43" t="str">
        <x:v>Not reviewed</x:v>
      </x:c>
      <x:c r="T787" s="43" t="str">
        <x:v>Hold</x:v>
      </x:c>
      <x:c r="U787" s="43" t="str">
        <x:v>No</x:v>
      </x:c>
      <x:c r="V787" s="44"/>
      <x:c r="W787" s="43" t="str"/>
      <x:c r="X787" s="43" t="str"/>
      <x:c r="Y787" s="43" t="str"/>
      <x:c r="Z787" s="43" t="str">
        <x:v>https://www.get-information-schools.service.gov.uk/Downloads</x:v>
      </x:c>
    </x:row>
    <x:row r="788">
      <x:c r="A788" s="43" t="str">
        <x:v>UK independent</x:v>
      </x:c>
      <x:c r="B788" s="43" t="str">
        <x:v>116524</x:v>
      </x:c>
      <x:c r="C788" s="43" t="n">
        <x:f>IF(K788="Boarding school",30,0)+IF(J788&gt;=18,20,0)+IF(I788&lt;=11,10,0)+IF(L788="Has a sixth form",15,0)+IF(M788&gt;=200,10,0)+IF(N788&lt;&gt;"",10,0)</x:f>
        <x:v>30</x:v>
      </x:c>
      <x:c r="D788" s="43" t="str">
        <x:f>IF(C788&gt;=85,"A",IF(C788&gt;=65,"B","C"))</x:f>
        <x:v>C</x:v>
      </x:c>
      <x:c r="E788" s="43" t="str">
        <x:v>Ballard School</x:v>
      </x:c>
      <x:c r="F788" s="43" t="str">
        <x:v>New Milton</x:v>
      </x:c>
      <x:c r="G788" s="43" t="str">
        <x:v>Hampshire</x:v>
      </x:c>
      <x:c r="H788" s="43" t="str">
        <x:v>BH25 5SU</x:v>
      </x:c>
      <x:c r="I788" s="43" t="n">
        <x:v>2</x:v>
      </x:c>
      <x:c r="J788" s="43" t="n">
        <x:v>16</x:v>
      </x:c>
      <x:c r="K788" s="43" t="str">
        <x:v>No boarders</x:v>
      </x:c>
      <x:c r="L788" s="43" t="str">
        <x:v>Does not have a sixth form</x:v>
      </x:c>
      <x:c r="M788" s="43" t="n">
        <x:v>456</x:v>
      </x:c>
      <x:c r="N788" s="43" t="str">
        <x:v>https://www.ballardschool.co.uk</x:v>
      </x:c>
      <x:c r="O788" s="43" t="str">
        <x:v>01425626900</x:v>
      </x:c>
      <x:c r="P788" s="43" t="str"/>
      <x:c r="Q788" s="43" t="str"/>
      <x:c r="R788" s="43" t="str">
        <x:v>Queued for contact research</x:v>
      </x:c>
      <x:c r="S788" s="43" t="str">
        <x:v>Not reviewed</x:v>
      </x:c>
      <x:c r="T788" s="43" t="str">
        <x:v>Hold</x:v>
      </x:c>
      <x:c r="U788" s="43" t="str">
        <x:v>No</x:v>
      </x:c>
      <x:c r="V788" s="44"/>
      <x:c r="W788" s="43" t="str"/>
      <x:c r="X788" s="43" t="str"/>
      <x:c r="Y788" s="43" t="str"/>
      <x:c r="Z788" s="43" t="str">
        <x:v>https://www.get-information-schools.service.gov.uk/Downloads</x:v>
      </x:c>
    </x:row>
    <x:row r="789">
      <x:c r="A789" s="43" t="str">
        <x:v>UK independent</x:v>
      </x:c>
      <x:c r="B789" s="43" t="str">
        <x:v>110553</x:v>
      </x:c>
      <x:c r="C789" s="43" t="n">
        <x:f>IF(K789="Boarding school",30,0)+IF(J789&gt;=18,20,0)+IF(I789&lt;=11,10,0)+IF(L789="Has a sixth form",15,0)+IF(M789&gt;=200,10,0)+IF(N789&lt;&gt;"",10,0)</x:f>
        <x:v>30</x:v>
      </x:c>
      <x:c r="D789" s="43" t="str">
        <x:f>IF(C789&gt;=85,"A",IF(C789&gt;=65,"B","C"))</x:f>
        <x:v>C</x:v>
      </x:c>
      <x:c r="E789" s="43" t="str">
        <x:v>The Beacon School</x:v>
      </x:c>
      <x:c r="F789" s="43" t="str">
        <x:v>Amersham</x:v>
      </x:c>
      <x:c r="G789" s="43" t="str">
        <x:v>Buckinghamshire</x:v>
      </x:c>
      <x:c r="H789" s="43" t="str">
        <x:v>HP6 5PF</x:v>
      </x:c>
      <x:c r="I789" s="43" t="n">
        <x:v>3</x:v>
      </x:c>
      <x:c r="J789" s="43" t="n">
        <x:v>13</x:v>
      </x:c>
      <x:c r="K789" s="43" t="str">
        <x:v>No boarders</x:v>
      </x:c>
      <x:c r="L789" s="43" t="str">
        <x:v>Does not have a sixth form</x:v>
      </x:c>
      <x:c r="M789" s="43" t="n">
        <x:v>453</x:v>
      </x:c>
      <x:c r="N789" s="43" t="str">
        <x:v>https://www.beaconschool.co.uk</x:v>
      </x:c>
      <x:c r="O789" s="43" t="str">
        <x:v>01494433654</x:v>
      </x:c>
      <x:c r="P789" s="43" t="str"/>
      <x:c r="Q789" s="43" t="str"/>
      <x:c r="R789" s="43" t="str">
        <x:v>Queued for contact research</x:v>
      </x:c>
      <x:c r="S789" s="43" t="str">
        <x:v>Not reviewed</x:v>
      </x:c>
      <x:c r="T789" s="43" t="str">
        <x:v>Hold</x:v>
      </x:c>
      <x:c r="U789" s="43" t="str">
        <x:v>No</x:v>
      </x:c>
      <x:c r="V789" s="44"/>
      <x:c r="W789" s="43" t="str"/>
      <x:c r="X789" s="43" t="str"/>
      <x:c r="Y789" s="43" t="str"/>
      <x:c r="Z789" s="43" t="str">
        <x:v>https://www.get-information-schools.service.gov.uk/Downloads</x:v>
      </x:c>
    </x:row>
    <x:row r="790">
      <x:c r="A790" s="43" t="str">
        <x:v>UK independent</x:v>
      </x:c>
      <x:c r="B790" s="43" t="str">
        <x:v>103568</x:v>
      </x:c>
      <x:c r="C790" s="43" t="n">
        <x:f>IF(K790="Boarding school",30,0)+IF(J790&gt;=18,20,0)+IF(I790&lt;=11,10,0)+IF(L790="Has a sixth form",15,0)+IF(M790&gt;=200,10,0)+IF(N790&lt;&gt;"",10,0)</x:f>
        <x:v>30</x:v>
      </x:c>
      <x:c r="D790" s="43" t="str">
        <x:f>IF(C790&gt;=85,"A",IF(C790&gt;=65,"B","C"))</x:f>
        <x:v>C</x:v>
      </x:c>
      <x:c r="E790" s="43" t="str">
        <x:v>Hallfield School</x:v>
      </x:c>
      <x:c r="F790" s="43" t="str"/>
      <x:c r="G790" s="43" t="str"/>
      <x:c r="H790" s="43" t="str">
        <x:v>B15 3SJ</x:v>
      </x:c>
      <x:c r="I790" s="43" t="n">
        <x:v>0</x:v>
      </x:c>
      <x:c r="J790" s="43" t="n">
        <x:v>13</x:v>
      </x:c>
      <x:c r="K790" s="43" t="str">
        <x:v>No boarders</x:v>
      </x:c>
      <x:c r="L790" s="43" t="str">
        <x:v>Does not have a sixth form</x:v>
      </x:c>
      <x:c r="M790" s="43" t="n">
        <x:v>452</x:v>
      </x:c>
      <x:c r="N790" s="43" t="str">
        <x:v>https://www.hallfieldschool.co.uk</x:v>
      </x:c>
      <x:c r="O790" s="43" t="str">
        <x:v>01214541496</x:v>
      </x:c>
      <x:c r="P790" s="43" t="str"/>
      <x:c r="Q790" s="43" t="str"/>
      <x:c r="R790" s="43" t="str">
        <x:v>Queued for contact research</x:v>
      </x:c>
      <x:c r="S790" s="43" t="str">
        <x:v>Not reviewed</x:v>
      </x:c>
      <x:c r="T790" s="43" t="str">
        <x:v>Hold</x:v>
      </x:c>
      <x:c r="U790" s="43" t="str">
        <x:v>No</x:v>
      </x:c>
      <x:c r="V790" s="44"/>
      <x:c r="W790" s="43" t="str"/>
      <x:c r="X790" s="43" t="str"/>
      <x:c r="Y790" s="43" t="str"/>
      <x:c r="Z790" s="43" t="str">
        <x:v>https://www.get-information-schools.service.gov.uk/Downloads</x:v>
      </x:c>
    </x:row>
    <x:row r="791">
      <x:c r="A791" s="43" t="str">
        <x:v>UK independent</x:v>
      </x:c>
      <x:c r="B791" s="43" t="str">
        <x:v>110126</x:v>
      </x:c>
      <x:c r="C791" s="43" t="n">
        <x:f>IF(K791="Boarding school",30,0)+IF(J791&gt;=18,20,0)+IF(I791&lt;=11,10,0)+IF(L791="Has a sixth form",15,0)+IF(M791&gt;=200,10,0)+IF(N791&lt;&gt;"",10,0)</x:f>
        <x:v>30</x:v>
      </x:c>
      <x:c r="D791" s="43" t="str">
        <x:f>IF(C791&gt;=85,"A",IF(C791&gt;=65,"B","C"))</x:f>
        <x:v>C</x:v>
      </x:c>
      <x:c r="E791" s="43" t="str">
        <x:v>St Piran's School</x:v>
      </x:c>
      <x:c r="F791" s="43" t="str">
        <x:v>Maidenhead</x:v>
      </x:c>
      <x:c r="G791" s="43" t="str">
        <x:v>Berkshire</x:v>
      </x:c>
      <x:c r="H791" s="43" t="str">
        <x:v>SL6 7LZ</x:v>
      </x:c>
      <x:c r="I791" s="43" t="n">
        <x:v>2</x:v>
      </x:c>
      <x:c r="J791" s="43" t="n">
        <x:v>11</x:v>
      </x:c>
      <x:c r="K791" s="43" t="str">
        <x:v>No boarders</x:v>
      </x:c>
      <x:c r="L791" s="43" t="str">
        <x:v>Does not have a sixth form</x:v>
      </x:c>
      <x:c r="M791" s="43" t="n">
        <x:v>451</x:v>
      </x:c>
      <x:c r="N791" s="43" t="str">
        <x:v>https://www.stpirans.co.uk/</x:v>
      </x:c>
      <x:c r="O791" s="43" t="str">
        <x:v>01628594300</x:v>
      </x:c>
      <x:c r="P791" s="43" t="str"/>
      <x:c r="Q791" s="43" t="str"/>
      <x:c r="R791" s="43" t="str">
        <x:v>Queued for contact research</x:v>
      </x:c>
      <x:c r="S791" s="43" t="str">
        <x:v>Not reviewed</x:v>
      </x:c>
      <x:c r="T791" s="43" t="str">
        <x:v>Hold</x:v>
      </x:c>
      <x:c r="U791" s="43" t="str">
        <x:v>No</x:v>
      </x:c>
      <x:c r="V791" s="44"/>
      <x:c r="W791" s="43" t="str"/>
      <x:c r="X791" s="43" t="str"/>
      <x:c r="Y791" s="43" t="str"/>
      <x:c r="Z791" s="43" t="str">
        <x:v>https://www.get-information-schools.service.gov.uk/Downloads</x:v>
      </x:c>
    </x:row>
    <x:row r="792">
      <x:c r="A792" s="43" t="str">
        <x:v>UK independent</x:v>
      </x:c>
      <x:c r="B792" s="43" t="str">
        <x:v>118954</x:v>
      </x:c>
      <x:c r="C792" s="43" t="n">
        <x:f>IF(K792="Boarding school",30,0)+IF(J792&gt;=18,20,0)+IF(I792&lt;=11,10,0)+IF(L792="Has a sixth form",15,0)+IF(M792&gt;=200,10,0)+IF(N792&lt;&gt;"",10,0)</x:f>
        <x:v>30</x:v>
      </x:c>
      <x:c r="D792" s="43" t="str">
        <x:f>IF(C792&gt;=85,"A",IF(C792&gt;=65,"B","C"))</x:f>
        <x:v>C</x:v>
      </x:c>
      <x:c r="E792" s="43" t="str">
        <x:v>St Michael's Prep School</x:v>
      </x:c>
      <x:c r="F792" s="43" t="str">
        <x:v>Otford</x:v>
      </x:c>
      <x:c r="G792" s="43" t="str"/>
      <x:c r="H792" s="43" t="str">
        <x:v>TN14 5RY</x:v>
      </x:c>
      <x:c r="I792" s="43" t="n">
        <x:v>2</x:v>
      </x:c>
      <x:c r="J792" s="43" t="n">
        <x:v>13</x:v>
      </x:c>
      <x:c r="K792" s="43" t="str">
        <x:v>No boarders</x:v>
      </x:c>
      <x:c r="L792" s="43" t="str">
        <x:v>Does not have a sixth form</x:v>
      </x:c>
      <x:c r="M792" s="43" t="n">
        <x:v>447</x:v>
      </x:c>
      <x:c r="N792" s="43" t="str">
        <x:v>https://www.stmichaels.kent.sch.uk</x:v>
      </x:c>
      <x:c r="O792" s="43" t="str">
        <x:v>01959522137</x:v>
      </x:c>
      <x:c r="P792" s="43" t="str"/>
      <x:c r="Q792" s="43" t="str"/>
      <x:c r="R792" s="43" t="str">
        <x:v>Queued for contact research</x:v>
      </x:c>
      <x:c r="S792" s="43" t="str">
        <x:v>Not reviewed</x:v>
      </x:c>
      <x:c r="T792" s="43" t="str">
        <x:v>Hold</x:v>
      </x:c>
      <x:c r="U792" s="43" t="str">
        <x:v>No</x:v>
      </x:c>
      <x:c r="V792" s="44"/>
      <x:c r="W792" s="43" t="str"/>
      <x:c r="X792" s="43" t="str"/>
      <x:c r="Y792" s="43" t="str"/>
      <x:c r="Z792" s="43" t="str">
        <x:v>https://www.get-information-schools.service.gov.uk/Downloads</x:v>
      </x:c>
    </x:row>
    <x:row r="793">
      <x:c r="A793" s="43" t="str">
        <x:v>UK independent</x:v>
      </x:c>
      <x:c r="B793" s="43" t="str">
        <x:v>125416</x:v>
      </x:c>
      <x:c r="C793" s="43" t="n">
        <x:f>IF(K793="Boarding school",30,0)+IF(J793&gt;=18,20,0)+IF(I793&lt;=11,10,0)+IF(L793="Has a sixth form",15,0)+IF(M793&gt;=200,10,0)+IF(N793&lt;&gt;"",10,0)</x:f>
        <x:v>30</x:v>
      </x:c>
      <x:c r="D793" s="43" t="str">
        <x:f>IF(C793&gt;=85,"A",IF(C793&gt;=65,"B","C"))</x:f>
        <x:v>C</x:v>
      </x:c>
      <x:c r="E793" s="43" t="str">
        <x:v>Cranmore</x:v>
      </x:c>
      <x:c r="F793" s="43" t="str">
        <x:v>Leatherhead</x:v>
      </x:c>
      <x:c r="G793" s="43" t="str">
        <x:v>Surrey</x:v>
      </x:c>
      <x:c r="H793" s="43" t="str">
        <x:v>KT24 6AT</x:v>
      </x:c>
      <x:c r="I793" s="43" t="n">
        <x:v>2</x:v>
      </x:c>
      <x:c r="J793" s="43" t="n">
        <x:v>16</x:v>
      </x:c>
      <x:c r="K793" s="43" t="str">
        <x:v>No boarders</x:v>
      </x:c>
      <x:c r="L793" s="43" t="str">
        <x:v>Does not have a sixth form</x:v>
      </x:c>
      <x:c r="M793" s="43" t="n">
        <x:v>445</x:v>
      </x:c>
      <x:c r="N793" s="43" t="str">
        <x:v>https://www.cranmore.org</x:v>
      </x:c>
      <x:c r="O793" s="43" t="str">
        <x:v>01483280340</x:v>
      </x:c>
      <x:c r="P793" s="43" t="str"/>
      <x:c r="Q793" s="43" t="str"/>
      <x:c r="R793" s="43" t="str">
        <x:v>Queued for contact research</x:v>
      </x:c>
      <x:c r="S793" s="43" t="str">
        <x:v>Not reviewed</x:v>
      </x:c>
      <x:c r="T793" s="43" t="str">
        <x:v>Hold</x:v>
      </x:c>
      <x:c r="U793" s="43" t="str">
        <x:v>No</x:v>
      </x:c>
      <x:c r="V793" s="44"/>
      <x:c r="W793" s="43" t="str"/>
      <x:c r="X793" s="43" t="str"/>
      <x:c r="Y793" s="43" t="str"/>
      <x:c r="Z793" s="43" t="str">
        <x:v>https://www.get-information-schools.service.gov.uk/Downloads</x:v>
      </x:c>
    </x:row>
    <x:row r="794">
      <x:c r="A794" s="43" t="str">
        <x:v>UK independent</x:v>
      </x:c>
      <x:c r="B794" s="43" t="str">
        <x:v>115417</x:v>
      </x:c>
      <x:c r="C794" s="43" t="n">
        <x:f>IF(K794="Boarding school",30,0)+IF(J794&gt;=18,20,0)+IF(I794&lt;=11,10,0)+IF(L794="Has a sixth form",15,0)+IF(M794&gt;=200,10,0)+IF(N794&lt;&gt;"",10,0)</x:f>
        <x:v>30</x:v>
      </x:c>
      <x:c r="D794" s="43" t="str">
        <x:f>IF(C794&gt;=85,"A",IF(C794&gt;=65,"B","C"))</x:f>
        <x:v>C</x:v>
      </x:c>
      <x:c r="E794" s="43" t="str">
        <x:v>Saint Nicholas School</x:v>
      </x:c>
      <x:c r="F794" s="43" t="str">
        <x:v>Essex</x:v>
      </x:c>
      <x:c r="G794" s="43" t="str">
        <x:v>Essex</x:v>
      </x:c>
      <x:c r="H794" s="43" t="str">
        <x:v>CM17 0NJ</x:v>
      </x:c>
      <x:c r="I794" s="43" t="n">
        <x:v>2</x:v>
      </x:c>
      <x:c r="J794" s="43" t="n">
        <x:v>16</x:v>
      </x:c>
      <x:c r="K794" s="43" t="str">
        <x:v>No boarders</x:v>
      </x:c>
      <x:c r="L794" s="43" t="str">
        <x:v>Does not have a sixth form</x:v>
      </x:c>
      <x:c r="M794" s="43" t="n">
        <x:v>439</x:v>
      </x:c>
      <x:c r="N794" s="43" t="str">
        <x:v>https://www.saintnicholasschool.net</x:v>
      </x:c>
      <x:c r="O794" s="43" t="str">
        <x:v>01279429910</x:v>
      </x:c>
      <x:c r="P794" s="43" t="str"/>
      <x:c r="Q794" s="43" t="str"/>
      <x:c r="R794" s="43" t="str">
        <x:v>Queued for contact research</x:v>
      </x:c>
      <x:c r="S794" s="43" t="str">
        <x:v>Not reviewed</x:v>
      </x:c>
      <x:c r="T794" s="43" t="str">
        <x:v>Hold</x:v>
      </x:c>
      <x:c r="U794" s="43" t="str">
        <x:v>No</x:v>
      </x:c>
      <x:c r="V794" s="44"/>
      <x:c r="W794" s="43" t="str"/>
      <x:c r="X794" s="43" t="str"/>
      <x:c r="Y794" s="43" t="str"/>
      <x:c r="Z794" s="43" t="str">
        <x:v>https://www.get-information-schools.service.gov.uk/Downloads</x:v>
      </x:c>
    </x:row>
    <x:row r="795">
      <x:c r="A795" s="43" t="str">
        <x:v>UK independent</x:v>
      </x:c>
      <x:c r="B795" s="43" t="str">
        <x:v>102864</x:v>
      </x:c>
      <x:c r="C795" s="43" t="n">
        <x:f>IF(K795="Boarding school",30,0)+IF(J795&gt;=18,20,0)+IF(I795&lt;=11,10,0)+IF(L795="Has a sixth form",15,0)+IF(M795&gt;=200,10,0)+IF(N795&lt;&gt;"",10,0)</x:f>
        <x:v>30</x:v>
      </x:c>
      <x:c r="D795" s="43" t="str">
        <x:f>IF(C795&gt;=85,"A",IF(C795&gt;=65,"B","C"))</x:f>
        <x:v>C</x:v>
      </x:c>
      <x:c r="E795" s="43" t="str">
        <x:v>St Aubyn's School</x:v>
      </x:c>
      <x:c r="F795" s="43" t="str">
        <x:v>Woodford Green</x:v>
      </x:c>
      <x:c r="G795" s="43" t="str">
        <x:v>Essex</x:v>
      </x:c>
      <x:c r="H795" s="43" t="str">
        <x:v>IG8 9DU</x:v>
      </x:c>
      <x:c r="I795" s="43" t="n">
        <x:v>3</x:v>
      </x:c>
      <x:c r="J795" s="43" t="n">
        <x:v>11</x:v>
      </x:c>
      <x:c r="K795" s="43" t="str">
        <x:v>No boarders</x:v>
      </x:c>
      <x:c r="L795" s="43" t="str">
        <x:v>Does not have a sixth form</x:v>
      </x:c>
      <x:c r="M795" s="43" t="n">
        <x:v>438</x:v>
      </x:c>
      <x:c r="N795" s="43" t="str">
        <x:v>https://www.staubyns.com</x:v>
      </x:c>
      <x:c r="O795" s="43" t="str">
        <x:v>02085041577</x:v>
      </x:c>
      <x:c r="P795" s="43" t="str"/>
      <x:c r="Q795" s="43" t="str"/>
      <x:c r="R795" s="43" t="str">
        <x:v>Queued for contact research</x:v>
      </x:c>
      <x:c r="S795" s="43" t="str">
        <x:v>Not reviewed</x:v>
      </x:c>
      <x:c r="T795" s="43" t="str">
        <x:v>Hold</x:v>
      </x:c>
      <x:c r="U795" s="43" t="str">
        <x:v>No</x:v>
      </x:c>
      <x:c r="V795" s="44"/>
      <x:c r="W795" s="43" t="str"/>
      <x:c r="X795" s="43" t="str"/>
      <x:c r="Y795" s="43" t="str"/>
      <x:c r="Z795" s="43" t="str">
        <x:v>https://www.get-information-schools.service.gov.uk/Downloads</x:v>
      </x:c>
    </x:row>
    <x:row r="796">
      <x:c r="A796" s="43" t="str">
        <x:v>UK independent</x:v>
      </x:c>
      <x:c r="B796" s="43" t="str">
        <x:v>101684</x:v>
      </x:c>
      <x:c r="C796" s="43" t="n">
        <x:f>IF(K796="Boarding school",30,0)+IF(J796&gt;=18,20,0)+IF(I796&lt;=11,10,0)+IF(L796="Has a sixth form",15,0)+IF(M796&gt;=200,10,0)+IF(N796&lt;&gt;"",10,0)</x:f>
        <x:v>30</x:v>
      </x:c>
      <x:c r="D796" s="43" t="str">
        <x:f>IF(C796&gt;=85,"A",IF(C796&gt;=65,"B","C"))</x:f>
        <x:v>C</x:v>
      </x:c>
      <x:c r="E796" s="43" t="str">
        <x:v>Breaside Preparatory School</x:v>
      </x:c>
      <x:c r="F796" s="43" t="str">
        <x:v>Bromley</x:v>
      </x:c>
      <x:c r="G796" s="43" t="str">
        <x:v>Kent</x:v>
      </x:c>
      <x:c r="H796" s="43" t="str">
        <x:v>BR1 2PR</x:v>
      </x:c>
      <x:c r="I796" s="43" t="n">
        <x:v>2</x:v>
      </x:c>
      <x:c r="J796" s="43" t="n">
        <x:v>11</x:v>
      </x:c>
      <x:c r="K796" s="43" t="str">
        <x:v>No boarders</x:v>
      </x:c>
      <x:c r="L796" s="43" t="str">
        <x:v>Does not have a sixth form</x:v>
      </x:c>
      <x:c r="M796" s="43" t="n">
        <x:v>435</x:v>
      </x:c>
      <x:c r="N796" s="43" t="str">
        <x:v>https://www.breaside.co.uk</x:v>
      </x:c>
      <x:c r="O796" s="43" t="str">
        <x:v>02084600916</x:v>
      </x:c>
      <x:c r="P796" s="43" t="str"/>
      <x:c r="Q796" s="43" t="str"/>
      <x:c r="R796" s="43" t="str">
        <x:v>Queued for contact research</x:v>
      </x:c>
      <x:c r="S796" s="43" t="str">
        <x:v>Not reviewed</x:v>
      </x:c>
      <x:c r="T796" s="43" t="str">
        <x:v>Hold</x:v>
      </x:c>
      <x:c r="U796" s="43" t="str">
        <x:v>No</x:v>
      </x:c>
      <x:c r="V796" s="44"/>
      <x:c r="W796" s="43" t="str"/>
      <x:c r="X796" s="43" t="str"/>
      <x:c r="Y796" s="43" t="str"/>
      <x:c r="Z796" s="43" t="str">
        <x:v>https://www.get-information-schools.service.gov.uk/Downloads</x:v>
      </x:c>
    </x:row>
    <x:row r="797">
      <x:c r="A797" s="43" t="str">
        <x:v>UK independent</x:v>
      </x:c>
      <x:c r="B797" s="43" t="str">
        <x:v>101078</x:v>
      </x:c>
      <x:c r="C797" s="43" t="n">
        <x:f>IF(K797="Boarding school",30,0)+IF(J797&gt;=18,20,0)+IF(I797&lt;=11,10,0)+IF(L797="Has a sixth form",15,0)+IF(M797&gt;=200,10,0)+IF(N797&lt;&gt;"",10,0)</x:f>
        <x:v>30</x:v>
      </x:c>
      <x:c r="D797" s="43" t="str">
        <x:f>IF(C797&gt;=85,"A",IF(C797&gt;=65,"B","C"))</x:f>
        <x:v>C</x:v>
      </x:c>
      <x:c r="E797" s="43" t="str">
        <x:v>Hornsby House School</x:v>
      </x:c>
      <x:c r="F797" s="43" t="str">
        <x:v>London</x:v>
      </x:c>
      <x:c r="G797" s="43" t="str"/>
      <x:c r="H797" s="43" t="str">
        <x:v>SW12 8RS</x:v>
      </x:c>
      <x:c r="I797" s="43" t="n">
        <x:v>4</x:v>
      </x:c>
      <x:c r="J797" s="43" t="n">
        <x:v>11</x:v>
      </x:c>
      <x:c r="K797" s="43" t="str">
        <x:v>No boarders</x:v>
      </x:c>
      <x:c r="L797" s="43" t="str">
        <x:v>Does not have a sixth form</x:v>
      </x:c>
      <x:c r="M797" s="43" t="n">
        <x:v>433</x:v>
      </x:c>
      <x:c r="N797" s="43" t="str">
        <x:v>https://www.hornsbyhouse.org.uk</x:v>
      </x:c>
      <x:c r="O797" s="43" t="str">
        <x:v>02086737573</x:v>
      </x:c>
      <x:c r="P797" s="43" t="str"/>
      <x:c r="Q797" s="43" t="str"/>
      <x:c r="R797" s="43" t="str">
        <x:v>Queued for contact research</x:v>
      </x:c>
      <x:c r="S797" s="43" t="str">
        <x:v>Not reviewed</x:v>
      </x:c>
      <x:c r="T797" s="43" t="str">
        <x:v>Hold</x:v>
      </x:c>
      <x:c r="U797" s="43" t="str">
        <x:v>No</x:v>
      </x:c>
      <x:c r="V797" s="44"/>
      <x:c r="W797" s="43" t="str"/>
      <x:c r="X797" s="43" t="str"/>
      <x:c r="Y797" s="43" t="str"/>
      <x:c r="Z797" s="43" t="str">
        <x:v>https://www.get-information-schools.service.gov.uk/Downloads</x:v>
      </x:c>
    </x:row>
    <x:row r="798">
      <x:c r="A798" s="43" t="str">
        <x:v>UK independent</x:v>
      </x:c>
      <x:c r="B798" s="43" t="str">
        <x:v>125328</x:v>
      </x:c>
      <x:c r="C798" s="43" t="n">
        <x:f>IF(K798="Boarding school",30,0)+IF(J798&gt;=18,20,0)+IF(I798&lt;=11,10,0)+IF(L798="Has a sixth form",15,0)+IF(M798&gt;=200,10,0)+IF(N798&lt;&gt;"",10,0)</x:f>
        <x:v>30</x:v>
      </x:c>
      <x:c r="D798" s="43" t="str">
        <x:f>IF(C798&gt;=85,"A",IF(C798&gt;=65,"B","C"))</x:f>
        <x:v>C</x:v>
      </x:c>
      <x:c r="E798" s="43" t="str">
        <x:v>Bishopsgate School</x:v>
      </x:c>
      <x:c r="F798" s="43" t="str"/>
      <x:c r="G798" s="43" t="str"/>
      <x:c r="H798" s="43" t="str">
        <x:v>TW20 0YJ</x:v>
      </x:c>
      <x:c r="I798" s="43" t="n">
        <x:v>3</x:v>
      </x:c>
      <x:c r="J798" s="43" t="n">
        <x:v>14</x:v>
      </x:c>
      <x:c r="K798" s="43" t="str">
        <x:v>No boarders</x:v>
      </x:c>
      <x:c r="L798" s="43" t="str">
        <x:v>Does not have a sixth form</x:v>
      </x:c>
      <x:c r="M798" s="43" t="n">
        <x:v>431</x:v>
      </x:c>
      <x:c r="N798" s="43" t="str">
        <x:v>https://www.bishopsgate-school.co.uk</x:v>
      </x:c>
      <x:c r="O798" s="43" t="str">
        <x:v>01784432109</x:v>
      </x:c>
      <x:c r="P798" s="43" t="str"/>
      <x:c r="Q798" s="43" t="str"/>
      <x:c r="R798" s="43" t="str">
        <x:v>Queued for contact research</x:v>
      </x:c>
      <x:c r="S798" s="43" t="str">
        <x:v>Not reviewed</x:v>
      </x:c>
      <x:c r="T798" s="43" t="str">
        <x:v>Hold</x:v>
      </x:c>
      <x:c r="U798" s="43" t="str">
        <x:v>No</x:v>
      </x:c>
      <x:c r="V798" s="44"/>
      <x:c r="W798" s="43" t="str"/>
      <x:c r="X798" s="43" t="str"/>
      <x:c r="Y798" s="43" t="str"/>
      <x:c r="Z798" s="43" t="str">
        <x:v>https://www.get-information-schools.service.gov.uk/Downloads</x:v>
      </x:c>
    </x:row>
    <x:row r="799">
      <x:c r="A799" s="43" t="str">
        <x:v>UK independent</x:v>
      </x:c>
      <x:c r="B799" s="43" t="str">
        <x:v>120344</x:v>
      </x:c>
      <x:c r="C799" s="43" t="n">
        <x:f>IF(K799="Boarding school",30,0)+IF(J799&gt;=18,20,0)+IF(I799&lt;=11,10,0)+IF(L799="Has a sixth form",15,0)+IF(M799&gt;=200,10,0)+IF(N799&lt;&gt;"",10,0)</x:f>
        <x:v>30</x:v>
      </x:c>
      <x:c r="D799" s="43" t="str">
        <x:f>IF(C799&gt;=85,"A",IF(C799&gt;=65,"B","C"))</x:f>
        <x:v>C</x:v>
      </x:c>
      <x:c r="E799" s="43" t="str">
        <x:v>Fairfield Prep School</x:v>
      </x:c>
      <x:c r="F799" s="43" t="str"/>
      <x:c r="G799" s="43" t="str"/>
      <x:c r="H799" s="43" t="str">
        <x:v>LE11 2AE</x:v>
      </x:c>
      <x:c r="I799" s="43" t="n">
        <x:v>3</x:v>
      </x:c>
      <x:c r="J799" s="43" t="n">
        <x:v>11</x:v>
      </x:c>
      <x:c r="K799" s="43" t="str">
        <x:v>No boarders</x:v>
      </x:c>
      <x:c r="L799" s="43" t="str">
        <x:v>Does not have a sixth form</x:v>
      </x:c>
      <x:c r="M799" s="43" t="n">
        <x:v>431</x:v>
      </x:c>
      <x:c r="N799" s="43" t="str">
        <x:v>https://lsf.org/fairfield/</x:v>
      </x:c>
      <x:c r="O799" s="43" t="str">
        <x:v>01509215172</x:v>
      </x:c>
      <x:c r="P799" s="43" t="str"/>
      <x:c r="Q799" s="43" t="str"/>
      <x:c r="R799" s="43" t="str">
        <x:v>Queued for contact research</x:v>
      </x:c>
      <x:c r="S799" s="43" t="str">
        <x:v>Not reviewed</x:v>
      </x:c>
      <x:c r="T799" s="43" t="str">
        <x:v>Hold</x:v>
      </x:c>
      <x:c r="U799" s="43" t="str">
        <x:v>No</x:v>
      </x:c>
      <x:c r="V799" s="44"/>
      <x:c r="W799" s="43" t="str"/>
      <x:c r="X799" s="43" t="str"/>
      <x:c r="Y799" s="43" t="str"/>
      <x:c r="Z799" s="43" t="str">
        <x:v>https://www.get-information-schools.service.gov.uk/Downloads</x:v>
      </x:c>
    </x:row>
    <x:row r="800">
      <x:c r="A800" s="43" t="str">
        <x:v>UK independent</x:v>
      </x:c>
      <x:c r="B800" s="43" t="str">
        <x:v>100080</x:v>
      </x:c>
      <x:c r="C800" s="43" t="n">
        <x:f>IF(K800="Boarding school",30,0)+IF(J800&gt;=18,20,0)+IF(I800&lt;=11,10,0)+IF(L800="Has a sixth form",15,0)+IF(M800&gt;=200,10,0)+IF(N800&lt;&gt;"",10,0)</x:f>
        <x:v>30</x:v>
      </x:c>
      <x:c r="D800" s="43" t="str">
        <x:f>IF(C800&gt;=85,"A",IF(C800&gt;=65,"B","C"))</x:f>
        <x:v>C</x:v>
      </x:c>
      <x:c r="E800" s="43" t="str">
        <x:v>Devonshire House Preparatory School</x:v>
      </x:c>
      <x:c r="F800" s="43" t="str">
        <x:v>London</x:v>
      </x:c>
      <x:c r="G800" s="43" t="str"/>
      <x:c r="H800" s="43" t="str">
        <x:v>NW3 6AE</x:v>
      </x:c>
      <x:c r="I800" s="43" t="n">
        <x:v>2</x:v>
      </x:c>
      <x:c r="J800" s="43" t="n">
        <x:v>13</x:v>
      </x:c>
      <x:c r="K800" s="43" t="str">
        <x:v>No boarders</x:v>
      </x:c>
      <x:c r="L800" s="43" t="str">
        <x:v>Does not have a sixth form</x:v>
      </x:c>
      <x:c r="M800" s="43" t="n">
        <x:v>430</x:v>
      </x:c>
      <x:c r="N800" s="43" t="str">
        <x:v>http://www.devonshirehouseschool.co.uk/</x:v>
      </x:c>
      <x:c r="O800" s="43" t="str">
        <x:v>02074351916</x:v>
      </x:c>
      <x:c r="P800" s="43" t="str"/>
      <x:c r="Q800" s="43" t="str"/>
      <x:c r="R800" s="43" t="str">
        <x:v>Queued for contact research</x:v>
      </x:c>
      <x:c r="S800" s="43" t="str">
        <x:v>Not reviewed</x:v>
      </x:c>
      <x:c r="T800" s="43" t="str">
        <x:v>Hold</x:v>
      </x:c>
      <x:c r="U800" s="43" t="str">
        <x:v>No</x:v>
      </x:c>
      <x:c r="V800" s="44"/>
      <x:c r="W800" s="43" t="str"/>
      <x:c r="X800" s="43" t="str"/>
      <x:c r="Y800" s="43" t="str"/>
      <x:c r="Z800" s="43" t="str">
        <x:v>https://www.get-information-schools.service.gov.uk/Downloads</x:v>
      </x:c>
    </x:row>
    <x:row r="801">
      <x:c r="A801" s="43" t="str">
        <x:v>UK independent</x:v>
      </x:c>
      <x:c r="B801" s="43" t="str">
        <x:v>116575</x:v>
      </x:c>
      <x:c r="C801" s="43" t="n">
        <x:f>IF(K801="Boarding school",30,0)+IF(J801&gt;=18,20,0)+IF(I801&lt;=11,10,0)+IF(L801="Has a sixth form",15,0)+IF(M801&gt;=200,10,0)+IF(N801&lt;&gt;"",10,0)</x:f>
        <x:v>30</x:v>
      </x:c>
      <x:c r="D801" s="43" t="str">
        <x:f>IF(C801&gt;=85,"A",IF(C801&gt;=65,"B","C"))</x:f>
        <x:v>C</x:v>
      </x:c>
      <x:c r="E801" s="43" t="str">
        <x:v>Ditcham Park School</x:v>
      </x:c>
      <x:c r="F801" s="43" t="str">
        <x:v>Petersfield</x:v>
      </x:c>
      <x:c r="G801" s="43" t="str">
        <x:v>Hampshire</x:v>
      </x:c>
      <x:c r="H801" s="43" t="str">
        <x:v>GU31 5RN</x:v>
      </x:c>
      <x:c r="I801" s="43" t="n">
        <x:v>4</x:v>
      </x:c>
      <x:c r="J801" s="43" t="n">
        <x:v>16</x:v>
      </x:c>
      <x:c r="K801" s="43" t="str">
        <x:v>No boarders</x:v>
      </x:c>
      <x:c r="L801" s="43" t="str">
        <x:v>Does not have a sixth form</x:v>
      </x:c>
      <x:c r="M801" s="43" t="n">
        <x:v>428</x:v>
      </x:c>
      <x:c r="N801" s="43" t="str">
        <x:v>https://www.ditchampark.com</x:v>
      </x:c>
      <x:c r="O801" s="43" t="str">
        <x:v>01730825659</x:v>
      </x:c>
      <x:c r="P801" s="43" t="str"/>
      <x:c r="Q801" s="43" t="str"/>
      <x:c r="R801" s="43" t="str">
        <x:v>Queued for contact research</x:v>
      </x:c>
      <x:c r="S801" s="43" t="str">
        <x:v>Not reviewed</x:v>
      </x:c>
      <x:c r="T801" s="43" t="str">
        <x:v>Hold</x:v>
      </x:c>
      <x:c r="U801" s="43" t="str">
        <x:v>No</x:v>
      </x:c>
      <x:c r="V801" s="44"/>
      <x:c r="W801" s="43" t="str"/>
      <x:c r="X801" s="43" t="str"/>
      <x:c r="Y801" s="43" t="str"/>
      <x:c r="Z801" s="43" t="str">
        <x:v>https://www.get-information-schools.service.gov.uk/Downloads</x:v>
      </x:c>
    </x:row>
    <x:row r="802">
      <x:c r="A802" s="43" t="str">
        <x:v>UK independent</x:v>
      </x:c>
      <x:c r="B802" s="43" t="str">
        <x:v>121237</x:v>
      </x:c>
      <x:c r="C802" s="43" t="n">
        <x:f>IF(K802="Boarding school",30,0)+IF(J802&gt;=18,20,0)+IF(I802&lt;=11,10,0)+IF(L802="Has a sixth form",15,0)+IF(M802&gt;=200,10,0)+IF(N802&lt;&gt;"",10,0)</x:f>
        <x:v>30</x:v>
      </x:c>
      <x:c r="D802" s="43" t="str">
        <x:f>IF(C802&gt;=85,"A",IF(C802&gt;=65,"B","C"))</x:f>
        <x:v>C</x:v>
      </x:c>
      <x:c r="E802" s="43" t="str">
        <x:v>Town Close Co-Educational Preparatory School</x:v>
      </x:c>
      <x:c r="F802" s="43" t="str">
        <x:v>Norwich</x:v>
      </x:c>
      <x:c r="G802" s="43" t="str">
        <x:v>Norfolk</x:v>
      </x:c>
      <x:c r="H802" s="43" t="str">
        <x:v>NR2 2LR</x:v>
      </x:c>
      <x:c r="I802" s="43" t="n">
        <x:v>2</x:v>
      </x:c>
      <x:c r="J802" s="43" t="n">
        <x:v>14</x:v>
      </x:c>
      <x:c r="K802" s="43" t="str">
        <x:v>No boarders</x:v>
      </x:c>
      <x:c r="L802" s="43" t="str">
        <x:v>Does not have a sixth form</x:v>
      </x:c>
      <x:c r="M802" s="43" t="n">
        <x:v>428</x:v>
      </x:c>
      <x:c r="N802" s="43" t="str">
        <x:v>https://www.townclose.com</x:v>
      </x:c>
      <x:c r="O802" s="43" t="str">
        <x:v>01603620180</x:v>
      </x:c>
      <x:c r="P802" s="43" t="str"/>
      <x:c r="Q802" s="43" t="str"/>
      <x:c r="R802" s="43" t="str">
        <x:v>Queued for contact research</x:v>
      </x:c>
      <x:c r="S802" s="43" t="str">
        <x:v>Not reviewed</x:v>
      </x:c>
      <x:c r="T802" s="43" t="str">
        <x:v>Hold</x:v>
      </x:c>
      <x:c r="U802" s="43" t="str">
        <x:v>No</x:v>
      </x:c>
      <x:c r="V802" s="44"/>
      <x:c r="W802" s="43" t="str"/>
      <x:c r="X802" s="43" t="str"/>
      <x:c r="Y802" s="43" t="str"/>
      <x:c r="Z802" s="43" t="str">
        <x:v>https://www.get-information-schools.service.gov.uk/Downloads</x:v>
      </x:c>
    </x:row>
    <x:row r="803">
      <x:c r="A803" s="43" t="str">
        <x:v>UK independent</x:v>
      </x:c>
      <x:c r="B803" s="43" t="str">
        <x:v>100531</x:v>
      </x:c>
      <x:c r="C803" s="43" t="n">
        <x:f>IF(K803="Boarding school",30,0)+IF(J803&gt;=18,20,0)+IF(I803&lt;=11,10,0)+IF(L803="Has a sixth form",15,0)+IF(M803&gt;=200,10,0)+IF(N803&lt;&gt;"",10,0)</x:f>
        <x:v>30</x:v>
      </x:c>
      <x:c r="D803" s="43" t="str">
        <x:f>IF(C803&gt;=85,"A",IF(C803&gt;=65,"B","C"))</x:f>
        <x:v>C</x:v>
      </x:c>
      <x:c r="E803" s="43" t="str">
        <x:v>Pembridge Hall School</x:v>
      </x:c>
      <x:c r="F803" s="43" t="str">
        <x:v>London</x:v>
      </x:c>
      <x:c r="G803" s="43" t="str"/>
      <x:c r="H803" s="43" t="str">
        <x:v>W2 4EH</x:v>
      </x:c>
      <x:c r="I803" s="43" t="n">
        <x:v>4</x:v>
      </x:c>
      <x:c r="J803" s="43" t="n">
        <x:v>11</x:v>
      </x:c>
      <x:c r="K803" s="43" t="str">
        <x:v>No boarders</x:v>
      </x:c>
      <x:c r="L803" s="43" t="str">
        <x:v>Does not have a sixth form</x:v>
      </x:c>
      <x:c r="M803" s="43" t="n">
        <x:v>426</x:v>
      </x:c>
      <x:c r="N803" s="43" t="str">
        <x:v>https://www.pembridgehall.co.uk</x:v>
      </x:c>
      <x:c r="O803" s="43" t="str">
        <x:v>02072290121</x:v>
      </x:c>
      <x:c r="P803" s="43" t="str"/>
      <x:c r="Q803" s="43" t="str"/>
      <x:c r="R803" s="43" t="str">
        <x:v>Queued for contact research</x:v>
      </x:c>
      <x:c r="S803" s="43" t="str">
        <x:v>Not reviewed</x:v>
      </x:c>
      <x:c r="T803" s="43" t="str">
        <x:v>Hold</x:v>
      </x:c>
      <x:c r="U803" s="43" t="str">
        <x:v>No</x:v>
      </x:c>
      <x:c r="V803" s="44"/>
      <x:c r="W803" s="43" t="str"/>
      <x:c r="X803" s="43" t="str"/>
      <x:c r="Y803" s="43" t="str"/>
      <x:c r="Z803" s="43" t="str">
        <x:v>https://www.get-information-schools.service.gov.uk/Downloads</x:v>
      </x:c>
    </x:row>
    <x:row r="804">
      <x:c r="A804" s="43" t="str">
        <x:v>UK independent</x:v>
      </x:c>
      <x:c r="B804" s="43" t="str">
        <x:v>100373</x:v>
      </x:c>
      <x:c r="C804" s="43" t="n">
        <x:f>IF(K804="Boarding school",30,0)+IF(J804&gt;=18,20,0)+IF(I804&lt;=11,10,0)+IF(L804="Has a sixth form",15,0)+IF(M804&gt;=200,10,0)+IF(N804&lt;&gt;"",10,0)</x:f>
        <x:v>30</x:v>
      </x:c>
      <x:c r="D804" s="43" t="str">
        <x:f>IF(C804&gt;=85,"A",IF(C804&gt;=65,"B","C"))</x:f>
        <x:v>C</x:v>
      </x:c>
      <x:c r="E804" s="43" t="str">
        <x:v>Ravenscourt Park Preparatory School</x:v>
      </x:c>
      <x:c r="F804" s="43" t="str">
        <x:v>London</x:v>
      </x:c>
      <x:c r="G804" s="43" t="str"/>
      <x:c r="H804" s="43" t="str">
        <x:v>W6 0SL</x:v>
      </x:c>
      <x:c r="I804" s="43" t="n">
        <x:v>4</x:v>
      </x:c>
      <x:c r="J804" s="43" t="n">
        <x:v>11</x:v>
      </x:c>
      <x:c r="K804" s="43" t="str">
        <x:v>No boarders</x:v>
      </x:c>
      <x:c r="L804" s="43" t="str">
        <x:v>Does not have a sixth form</x:v>
      </x:c>
      <x:c r="M804" s="43" t="n">
        <x:v>422</x:v>
      </x:c>
      <x:c r="N804" s="43" t="str">
        <x:v>https://www.rpps.co.uk</x:v>
      </x:c>
      <x:c r="O804" s="43" t="str">
        <x:v>02088469153</x:v>
      </x:c>
      <x:c r="P804" s="43" t="str"/>
      <x:c r="Q804" s="43" t="str"/>
      <x:c r="R804" s="43" t="str">
        <x:v>Queued for contact research</x:v>
      </x:c>
      <x:c r="S804" s="43" t="str">
        <x:v>Not reviewed</x:v>
      </x:c>
      <x:c r="T804" s="43" t="str">
        <x:v>Hold</x:v>
      </x:c>
      <x:c r="U804" s="43" t="str">
        <x:v>No</x:v>
      </x:c>
      <x:c r="V804" s="44"/>
      <x:c r="W804" s="43" t="str"/>
      <x:c r="X804" s="43" t="str"/>
      <x:c r="Y804" s="43" t="str"/>
      <x:c r="Z804" s="43" t="str">
        <x:v>https://www.get-information-schools.service.gov.uk/Downloads</x:v>
      </x:c>
    </x:row>
    <x:row r="805">
      <x:c r="A805" s="43" t="str">
        <x:v>UK independent</x:v>
      </x:c>
      <x:c r="B805" s="43" t="str">
        <x:v>102931</x:v>
      </x:c>
      <x:c r="C805" s="43" t="n">
        <x:f>IF(K805="Boarding school",30,0)+IF(J805&gt;=18,20,0)+IF(I805&lt;=11,10,0)+IF(L805="Has a sixth form",15,0)+IF(M805&gt;=200,10,0)+IF(N805&lt;&gt;"",10,0)</x:f>
        <x:v>30</x:v>
      </x:c>
      <x:c r="D805" s="43" t="str">
        <x:f>IF(C805&gt;=85,"A",IF(C805&gt;=65,"B","C"))</x:f>
        <x:v>C</x:v>
      </x:c>
      <x:c r="E805" s="43" t="str">
        <x:v>King's House School</x:v>
      </x:c>
      <x:c r="F805" s="43" t="str">
        <x:v>Richmond</x:v>
      </x:c>
      <x:c r="G805" s="43" t="str">
        <x:v>Surrey</x:v>
      </x:c>
      <x:c r="H805" s="43" t="str">
        <x:v>TW10 6ES</x:v>
      </x:c>
      <x:c r="I805" s="43" t="n">
        <x:v>2</x:v>
      </x:c>
      <x:c r="J805" s="43" t="n">
        <x:v>14</x:v>
      </x:c>
      <x:c r="K805" s="43" t="str">
        <x:v>No boarders</x:v>
      </x:c>
      <x:c r="L805" s="43" t="str">
        <x:v>Does not have a sixth form</x:v>
      </x:c>
      <x:c r="M805" s="43" t="n">
        <x:v>418</x:v>
      </x:c>
      <x:c r="N805" s="43" t="str">
        <x:v>https://www.kingshouseschool.org</x:v>
      </x:c>
      <x:c r="O805" s="43" t="str">
        <x:v>02089401878</x:v>
      </x:c>
      <x:c r="P805" s="43" t="str"/>
      <x:c r="Q805" s="43" t="str"/>
      <x:c r="R805" s="43" t="str">
        <x:v>Queued for contact research</x:v>
      </x:c>
      <x:c r="S805" s="43" t="str">
        <x:v>Not reviewed</x:v>
      </x:c>
      <x:c r="T805" s="43" t="str">
        <x:v>Hold</x:v>
      </x:c>
      <x:c r="U805" s="43" t="str">
        <x:v>No</x:v>
      </x:c>
      <x:c r="V805" s="44"/>
      <x:c r="W805" s="43" t="str"/>
      <x:c r="X805" s="43" t="str"/>
      <x:c r="Y805" s="43" t="str"/>
      <x:c r="Z805" s="43" t="str">
        <x:v>https://www.get-information-schools.service.gov.uk/Downloads</x:v>
      </x:c>
    </x:row>
    <x:row r="806">
      <x:c r="A806" s="43" t="str">
        <x:v>UK independent</x:v>
      </x:c>
      <x:c r="B806" s="43" t="str">
        <x:v>116573</x:v>
      </x:c>
      <x:c r="C806" s="43" t="n">
        <x:f>IF(K806="Boarding school",30,0)+IF(J806&gt;=18,20,0)+IF(I806&lt;=11,10,0)+IF(L806="Has a sixth form",15,0)+IF(M806&gt;=200,10,0)+IF(N806&lt;&gt;"",10,0)</x:f>
        <x:v>30</x:v>
      </x:c>
      <x:c r="D806" s="43" t="str">
        <x:f>IF(C806&gt;=85,"A",IF(C806&gt;=65,"B","C"))</x:f>
        <x:v>C</x:v>
      </x:c>
      <x:c r="E806" s="43" t="str">
        <x:v>Mayville High School</x:v>
      </x:c>
      <x:c r="F806" s="43" t="str">
        <x:v>Southsea</x:v>
      </x:c>
      <x:c r="G806" s="43" t="str"/>
      <x:c r="H806" s="43" t="str">
        <x:v>PO5 2PE</x:v>
      </x:c>
      <x:c r="I806" s="43" t="n">
        <x:v>2</x:v>
      </x:c>
      <x:c r="J806" s="43" t="n">
        <x:v>16</x:v>
      </x:c>
      <x:c r="K806" s="43" t="str">
        <x:v>No boarders</x:v>
      </x:c>
      <x:c r="L806" s="43" t="str">
        <x:v>Does not have a sixth form</x:v>
      </x:c>
      <x:c r="M806" s="43" t="n">
        <x:v>405</x:v>
      </x:c>
      <x:c r="N806" s="43" t="str">
        <x:v>http://www.mayvillehighschool.com/</x:v>
      </x:c>
      <x:c r="O806" s="43" t="str">
        <x:v>02392734847</x:v>
      </x:c>
      <x:c r="P806" s="43" t="str"/>
      <x:c r="Q806" s="43" t="str"/>
      <x:c r="R806" s="43" t="str">
        <x:v>Queued for contact research</x:v>
      </x:c>
      <x:c r="S806" s="43" t="str">
        <x:v>Not reviewed</x:v>
      </x:c>
      <x:c r="T806" s="43" t="str">
        <x:v>Hold</x:v>
      </x:c>
      <x:c r="U806" s="43" t="str">
        <x:v>No</x:v>
      </x:c>
      <x:c r="V806" s="44"/>
      <x:c r="W806" s="43" t="str"/>
      <x:c r="X806" s="43" t="str"/>
      <x:c r="Y806" s="43" t="str"/>
      <x:c r="Z806" s="43" t="str">
        <x:v>https://www.get-information-schools.service.gov.uk/Downloads</x:v>
      </x:c>
    </x:row>
    <x:row r="807">
      <x:c r="A807" s="43" t="str">
        <x:v>UK independent</x:v>
      </x:c>
      <x:c r="B807" s="43" t="str">
        <x:v>117630</x:v>
      </x:c>
      <x:c r="C807" s="43" t="n">
        <x:f>IF(K807="Boarding school",30,0)+IF(J807&gt;=18,20,0)+IF(I807&lt;=11,10,0)+IF(L807="Has a sixth form",15,0)+IF(M807&gt;=200,10,0)+IF(N807&lt;&gt;"",10,0)</x:f>
        <x:v>30</x:v>
      </x:c>
      <x:c r="D807" s="43" t="str">
        <x:f>IF(C807&gt;=85,"A",IF(C807&gt;=65,"B","C"))</x:f>
        <x:v>C</x:v>
      </x:c>
      <x:c r="E807" s="43" t="str">
        <x:v>Kingshott School</x:v>
      </x:c>
      <x:c r="F807" s="43" t="str">
        <x:v>Hitchin</x:v>
      </x:c>
      <x:c r="G807" s="43" t="str">
        <x:v>Hertfordshire</x:v>
      </x:c>
      <x:c r="H807" s="43" t="str">
        <x:v>SG4 7JX</x:v>
      </x:c>
      <x:c r="I807" s="43" t="n">
        <x:v>3</x:v>
      </x:c>
      <x:c r="J807" s="43" t="n">
        <x:v>16</x:v>
      </x:c>
      <x:c r="K807" s="43" t="str">
        <x:v>No boarders</x:v>
      </x:c>
      <x:c r="L807" s="43" t="str">
        <x:v>Does not have a sixth form</x:v>
      </x:c>
      <x:c r="M807" s="43" t="n">
        <x:v>403</x:v>
      </x:c>
      <x:c r="N807" s="43" t="str">
        <x:v>https://www.kingshottschool.com</x:v>
      </x:c>
      <x:c r="O807" s="43" t="str">
        <x:v>01462432009</x:v>
      </x:c>
      <x:c r="P807" s="43" t="str"/>
      <x:c r="Q807" s="43" t="str"/>
      <x:c r="R807" s="43" t="str">
        <x:v>Queued for contact research</x:v>
      </x:c>
      <x:c r="S807" s="43" t="str">
        <x:v>Not reviewed</x:v>
      </x:c>
      <x:c r="T807" s="43" t="str">
        <x:v>Hold</x:v>
      </x:c>
      <x:c r="U807" s="43" t="str">
        <x:v>No</x:v>
      </x:c>
      <x:c r="V807" s="44"/>
      <x:c r="W807" s="43" t="str"/>
      <x:c r="X807" s="43" t="str"/>
      <x:c r="Y807" s="43" t="str"/>
      <x:c r="Z807" s="43" t="str">
        <x:v>https://www.get-information-schools.service.gov.uk/Downloads</x:v>
      </x:c>
    </x:row>
    <x:row r="808">
      <x:c r="A808" s="43" t="str">
        <x:v>UK independent</x:v>
      </x:c>
      <x:c r="B808" s="43" t="str">
        <x:v>100518</x:v>
      </x:c>
      <x:c r="C808" s="43" t="n">
        <x:f>IF(K808="Boarding school",30,0)+IF(J808&gt;=18,20,0)+IF(I808&lt;=11,10,0)+IF(L808="Has a sixth form",15,0)+IF(M808&gt;=200,10,0)+IF(N808&lt;&gt;"",10,0)</x:f>
        <x:v>30</x:v>
      </x:c>
      <x:c r="D808" s="43" t="str">
        <x:f>IF(C808&gt;=85,"A",IF(C808&gt;=65,"B","C"))</x:f>
        <x:v>C</x:v>
      </x:c>
      <x:c r="E808" s="43" t="str">
        <x:v>Hill House School</x:v>
      </x:c>
      <x:c r="F808" s="43" t="str">
        <x:v>London</x:v>
      </x:c>
      <x:c r="G808" s="43" t="str"/>
      <x:c r="H808" s="43" t="str">
        <x:v>SW1X 0EP</x:v>
      </x:c>
      <x:c r="I808" s="43" t="n">
        <x:v>4</x:v>
      </x:c>
      <x:c r="J808" s="43" t="n">
        <x:v>13</x:v>
      </x:c>
      <x:c r="K808" s="43" t="str">
        <x:v>No boarders</x:v>
      </x:c>
      <x:c r="L808" s="43" t="str">
        <x:v>Does not have a sixth form</x:v>
      </x:c>
      <x:c r="M808" s="43" t="n">
        <x:v>396</x:v>
      </x:c>
      <x:c r="N808" s="43" t="str">
        <x:v>https://www.hillhouseschool.co.uk</x:v>
      </x:c>
      <x:c r="O808" s="43" t="str">
        <x:v>02075841331</x:v>
      </x:c>
      <x:c r="P808" s="43" t="str"/>
      <x:c r="Q808" s="43" t="str"/>
      <x:c r="R808" s="43" t="str">
        <x:v>Queued for contact research</x:v>
      </x:c>
      <x:c r="S808" s="43" t="str">
        <x:v>Not reviewed</x:v>
      </x:c>
      <x:c r="T808" s="43" t="str">
        <x:v>Hold</x:v>
      </x:c>
      <x:c r="U808" s="43" t="str">
        <x:v>No</x:v>
      </x:c>
      <x:c r="V808" s="44"/>
      <x:c r="W808" s="43" t="str"/>
      <x:c r="X808" s="43" t="str"/>
      <x:c r="Y808" s="43" t="str"/>
      <x:c r="Z808" s="43" t="str">
        <x:v>https://www.get-information-schools.service.gov.uk/Downloads</x:v>
      </x:c>
    </x:row>
    <x:row r="809">
      <x:c r="A809" s="43" t="str">
        <x:v>UK independent</x:v>
      </x:c>
      <x:c r="B809" s="43" t="str">
        <x:v>101067</x:v>
      </x:c>
      <x:c r="C809" s="43" t="n">
        <x:f>IF(K809="Boarding school",30,0)+IF(J809&gt;=18,20,0)+IF(I809&lt;=11,10,0)+IF(L809="Has a sixth form",15,0)+IF(M809&gt;=200,10,0)+IF(N809&lt;&gt;"",10,0)</x:f>
        <x:v>30</x:v>
      </x:c>
      <x:c r="D809" s="43" t="str">
        <x:f>IF(C809&gt;=85,"A",IF(C809&gt;=65,"B","C"))</x:f>
        <x:v>C</x:v>
      </x:c>
      <x:c r="E809" s="43" t="str">
        <x:v>Hurlingham School</x:v>
      </x:c>
      <x:c r="F809" s="43" t="str">
        <x:v>London</x:v>
      </x:c>
      <x:c r="G809" s="43" t="str"/>
      <x:c r="H809" s="43" t="str">
        <x:v>SW15 2NQ</x:v>
      </x:c>
      <x:c r="I809" s="43" t="n">
        <x:v>2</x:v>
      </x:c>
      <x:c r="J809" s="43" t="n">
        <x:v>11</x:v>
      </x:c>
      <x:c r="K809" s="43" t="str">
        <x:v>No boarders</x:v>
      </x:c>
      <x:c r="L809" s="43" t="str">
        <x:v>Does not have a sixth form</x:v>
      </x:c>
      <x:c r="M809" s="43" t="n">
        <x:v>395</x:v>
      </x:c>
      <x:c r="N809" s="43" t="str">
        <x:v>https://www.hurlinghamschool.co.uk</x:v>
      </x:c>
      <x:c r="O809" s="43" t="str">
        <x:v>02088747186</x:v>
      </x:c>
      <x:c r="P809" s="43" t="str"/>
      <x:c r="Q809" s="43" t="str"/>
      <x:c r="R809" s="43" t="str">
        <x:v>Queued for contact research</x:v>
      </x:c>
      <x:c r="S809" s="43" t="str">
        <x:v>Not reviewed</x:v>
      </x:c>
      <x:c r="T809" s="43" t="str">
        <x:v>Hold</x:v>
      </x:c>
      <x:c r="U809" s="43" t="str">
        <x:v>No</x:v>
      </x:c>
      <x:c r="V809" s="44"/>
      <x:c r="W809" s="43" t="str"/>
      <x:c r="X809" s="43" t="str"/>
      <x:c r="Y809" s="43" t="str"/>
      <x:c r="Z809" s="43" t="str">
        <x:v>https://www.get-information-schools.service.gov.uk/Downloads</x:v>
      </x:c>
    </x:row>
    <x:row r="810">
      <x:c r="A810" s="43" t="str">
        <x:v>UK independent</x:v>
      </x:c>
      <x:c r="B810" s="43" t="str">
        <x:v>122133</x:v>
      </x:c>
      <x:c r="C810" s="43" t="n">
        <x:f>IF(K810="Boarding school",30,0)+IF(J810&gt;=18,20,0)+IF(I810&lt;=11,10,0)+IF(L810="Has a sixth form",15,0)+IF(M810&gt;=200,10,0)+IF(N810&lt;&gt;"",10,0)</x:f>
        <x:v>30</x:v>
      </x:c>
      <x:c r="D810" s="43" t="str">
        <x:f>IF(C810&gt;=85,"A",IF(C810&gt;=65,"B","C"))</x:f>
        <x:v>C</x:v>
      </x:c>
      <x:c r="E810" s="43" t="str">
        <x:v>Spratton Hall School</x:v>
      </x:c>
      <x:c r="F810" s="43" t="str"/>
      <x:c r="G810" s="43" t="str"/>
      <x:c r="H810" s="43" t="str">
        <x:v>NN6 8HP</x:v>
      </x:c>
      <x:c r="I810" s="43" t="n">
        <x:v>4</x:v>
      </x:c>
      <x:c r="J810" s="43" t="n">
        <x:v>13</x:v>
      </x:c>
      <x:c r="K810" s="43" t="str">
        <x:v>No boarders</x:v>
      </x:c>
      <x:c r="L810" s="43" t="str">
        <x:v>Does not have a sixth form</x:v>
      </x:c>
      <x:c r="M810" s="43" t="n">
        <x:v>394</x:v>
      </x:c>
      <x:c r="N810" s="43" t="str">
        <x:v>https://www.sprattonhall.com</x:v>
      </x:c>
      <x:c r="O810" s="43" t="str">
        <x:v>01604847292</x:v>
      </x:c>
      <x:c r="P810" s="43" t="str"/>
      <x:c r="Q810" s="43" t="str"/>
      <x:c r="R810" s="43" t="str">
        <x:v>Queued for contact research</x:v>
      </x:c>
      <x:c r="S810" s="43" t="str">
        <x:v>Not reviewed</x:v>
      </x:c>
      <x:c r="T810" s="43" t="str">
        <x:v>Hold</x:v>
      </x:c>
      <x:c r="U810" s="43" t="str">
        <x:v>No</x:v>
      </x:c>
      <x:c r="V810" s="44"/>
      <x:c r="W810" s="43" t="str"/>
      <x:c r="X810" s="43" t="str"/>
      <x:c r="Y810" s="43" t="str"/>
      <x:c r="Z810" s="43" t="str">
        <x:v>https://www.get-information-schools.service.gov.uk/Downloads</x:v>
      </x:c>
    </x:row>
    <x:row r="811">
      <x:c r="A811" s="43" t="str">
        <x:v>UK independent</x:v>
      </x:c>
      <x:c r="B811" s="43" t="str">
        <x:v>102934</x:v>
      </x:c>
      <x:c r="C811" s="43" t="n">
        <x:f>IF(K811="Boarding school",30,0)+IF(J811&gt;=18,20,0)+IF(I811&lt;=11,10,0)+IF(L811="Has a sixth form",15,0)+IF(M811&gt;=200,10,0)+IF(N811&lt;&gt;"",10,0)</x:f>
        <x:v>30</x:v>
      </x:c>
      <x:c r="D811" s="43" t="str">
        <x:f>IF(C811&gt;=85,"A",IF(C811&gt;=65,"B","C"))</x:f>
        <x:v>C</x:v>
      </x:c>
      <x:c r="E811" s="43" t="str">
        <x:v>Newland House School</x:v>
      </x:c>
      <x:c r="F811" s="43" t="str">
        <x:v>Twickenham</x:v>
      </x:c>
      <x:c r="G811" s="43" t="str"/>
      <x:c r="H811" s="43" t="str">
        <x:v>TW1 4TQ</x:v>
      </x:c>
      <x:c r="I811" s="43" t="n">
        <x:v>3</x:v>
      </x:c>
      <x:c r="J811" s="43" t="n">
        <x:v>13</x:v>
      </x:c>
      <x:c r="K811" s="43" t="str">
        <x:v>No boarders</x:v>
      </x:c>
      <x:c r="L811" s="43" t="str">
        <x:v>Does not have a sixth form</x:v>
      </x:c>
      <x:c r="M811" s="43" t="n">
        <x:v>392</x:v>
      </x:c>
      <x:c r="N811" s="43" t="str">
        <x:v>https://www.newlandhouse.net</x:v>
      </x:c>
      <x:c r="O811" s="43" t="str">
        <x:v>02088651234</x:v>
      </x:c>
      <x:c r="P811" s="43" t="str"/>
      <x:c r="Q811" s="43" t="str"/>
      <x:c r="R811" s="43" t="str">
        <x:v>Queued for contact research</x:v>
      </x:c>
      <x:c r="S811" s="43" t="str">
        <x:v>Not reviewed</x:v>
      </x:c>
      <x:c r="T811" s="43" t="str">
        <x:v>Hold</x:v>
      </x:c>
      <x:c r="U811" s="43" t="str">
        <x:v>No</x:v>
      </x:c>
      <x:c r="V811" s="44"/>
      <x:c r="W811" s="43" t="str"/>
      <x:c r="X811" s="43" t="str"/>
      <x:c r="Y811" s="43" t="str"/>
      <x:c r="Z811" s="43" t="str">
        <x:v>https://www.get-information-schools.service.gov.uk/Downloads</x:v>
      </x:c>
    </x:row>
    <x:row r="812">
      <x:c r="A812" s="43" t="str">
        <x:v>UK independent</x:v>
      </x:c>
      <x:c r="B812" s="43" t="str">
        <x:v>100199</x:v>
      </x:c>
      <x:c r="C812" s="43" t="n">
        <x:f>IF(K812="Boarding school",30,0)+IF(J812&gt;=18,20,0)+IF(I812&lt;=11,10,0)+IF(L812="Has a sixth form",15,0)+IF(M812&gt;=200,10,0)+IF(N812&lt;&gt;"",10,0)</x:f>
        <x:v>30</x:v>
      </x:c>
      <x:c r="D812" s="43" t="str">
        <x:f>IF(C812&gt;=85,"A",IF(C812&gt;=65,"B","C"))</x:f>
        <x:v>C</x:v>
      </x:c>
      <x:c r="E812" s="43" t="str">
        <x:v>Blackheath Prep</x:v>
      </x:c>
      <x:c r="F812" s="43" t="str">
        <x:v>London</x:v>
      </x:c>
      <x:c r="G812" s="43" t="str"/>
      <x:c r="H812" s="43" t="str">
        <x:v>SE3 0NJ</x:v>
      </x:c>
      <x:c r="I812" s="43" t="n">
        <x:v>3</x:v>
      </x:c>
      <x:c r="J812" s="43" t="n">
        <x:v>11</x:v>
      </x:c>
      <x:c r="K812" s="43" t="str">
        <x:v>No boarders</x:v>
      </x:c>
      <x:c r="L812" s="43" t="str">
        <x:v>Does not have a sixth form</x:v>
      </x:c>
      <x:c r="M812" s="43" t="n">
        <x:v>390</x:v>
      </x:c>
      <x:c r="N812" s="43" t="str">
        <x:v>https://www.blackheathprep.co.uk</x:v>
      </x:c>
      <x:c r="O812" s="43" t="str">
        <x:v>02088580692</x:v>
      </x:c>
      <x:c r="P812" s="43" t="str"/>
      <x:c r="Q812" s="43" t="str"/>
      <x:c r="R812" s="43" t="str">
        <x:v>Queued for contact research</x:v>
      </x:c>
      <x:c r="S812" s="43" t="str">
        <x:v>Not reviewed</x:v>
      </x:c>
      <x:c r="T812" s="43" t="str">
        <x:v>Hold</x:v>
      </x:c>
      <x:c r="U812" s="43" t="str">
        <x:v>No</x:v>
      </x:c>
      <x:c r="V812" s="44"/>
      <x:c r="W812" s="43" t="str"/>
      <x:c r="X812" s="43" t="str"/>
      <x:c r="Y812" s="43" t="str"/>
      <x:c r="Z812" s="43" t="str">
        <x:v>https://www.get-information-schools.service.gov.uk/Downloads</x:v>
      </x:c>
    </x:row>
    <x:row r="813">
      <x:c r="A813" s="43" t="str">
        <x:v>UK independent</x:v>
      </x:c>
      <x:c r="B813" s="43" t="str">
        <x:v>130239</x:v>
      </x:c>
      <x:c r="C813" s="43" t="n">
        <x:f>IF(K813="Boarding school",30,0)+IF(J813&gt;=18,20,0)+IF(I813&lt;=11,10,0)+IF(L813="Has a sixth form",15,0)+IF(M813&gt;=200,10,0)+IF(N813&lt;&gt;"",10,0)</x:f>
        <x:v>30</x:v>
      </x:c>
      <x:c r="D813" s="43" t="str">
        <x:f>IF(C813&gt;=85,"A",IF(C813&gt;=65,"B","C"))</x:f>
        <x:v>C</x:v>
      </x:c>
      <x:c r="E813" s="43" t="str">
        <x:v>Thomas's Fulham</x:v>
      </x:c>
      <x:c r="F813" s="43" t="str">
        <x:v>London</x:v>
      </x:c>
      <x:c r="G813" s="43" t="str"/>
      <x:c r="H813" s="43" t="str">
        <x:v>SW6 3ES</x:v>
      </x:c>
      <x:c r="I813" s="43" t="n">
        <x:v>4</x:v>
      </x:c>
      <x:c r="J813" s="43" t="n">
        <x:v>11</x:v>
      </x:c>
      <x:c r="K813" s="43" t="str">
        <x:v>No boarders</x:v>
      </x:c>
      <x:c r="L813" s="43" t="str">
        <x:v>Does not have a sixth form</x:v>
      </x:c>
      <x:c r="M813" s="43" t="n">
        <x:v>388</x:v>
      </x:c>
      <x:c r="N813" s="43" t="str">
        <x:v>https://www.thomas-s.co.uk</x:v>
      </x:c>
      <x:c r="O813" s="43" t="str">
        <x:v>02077518200</x:v>
      </x:c>
      <x:c r="P813" s="43" t="str"/>
      <x:c r="Q813" s="43" t="str"/>
      <x:c r="R813" s="43" t="str">
        <x:v>Queued for contact research</x:v>
      </x:c>
      <x:c r="S813" s="43" t="str">
        <x:v>Not reviewed</x:v>
      </x:c>
      <x:c r="T813" s="43" t="str">
        <x:v>Hold</x:v>
      </x:c>
      <x:c r="U813" s="43" t="str">
        <x:v>No</x:v>
      </x:c>
      <x:c r="V813" s="44"/>
      <x:c r="W813" s="43" t="str"/>
      <x:c r="X813" s="43" t="str"/>
      <x:c r="Y813" s="43" t="str"/>
      <x:c r="Z813" s="43" t="str">
        <x:v>https://www.get-information-schools.service.gov.uk/Downloads</x:v>
      </x:c>
    </x:row>
    <x:row r="814">
      <x:c r="A814" s="43" t="str">
        <x:v>UK independent</x:v>
      </x:c>
      <x:c r="B814" s="43" t="str">
        <x:v>136057</x:v>
      </x:c>
      <x:c r="C814" s="43" t="n">
        <x:f>IF(K814="Boarding school",30,0)+IF(J814&gt;=18,20,0)+IF(I814&lt;=11,10,0)+IF(L814="Has a sixth form",15,0)+IF(M814&gt;=200,10,0)+IF(N814&lt;&gt;"",10,0)</x:f>
        <x:v>30</x:v>
      </x:c>
      <x:c r="D814" s="43" t="str">
        <x:f>IF(C814&gt;=85,"A",IF(C814&gt;=65,"B","C"))</x:f>
        <x:v>C</x:v>
      </x:c>
      <x:c r="E814" s="43" t="str">
        <x:v>Chepstow House School</x:v>
      </x:c>
      <x:c r="F814" s="43" t="str">
        <x:v>London</x:v>
      </x:c>
      <x:c r="G814" s="43" t="str"/>
      <x:c r="H814" s="43" t="str">
        <x:v>W11 1QS</x:v>
      </x:c>
      <x:c r="I814" s="43" t="n">
        <x:v>2</x:v>
      </x:c>
      <x:c r="J814" s="43" t="n">
        <x:v>11</x:v>
      </x:c>
      <x:c r="K814" s="43" t="str">
        <x:v>No boarders</x:v>
      </x:c>
      <x:c r="L814" s="43" t="str">
        <x:v>Does not have a sixth form</x:v>
      </x:c>
      <x:c r="M814" s="43" t="n">
        <x:v>384</x:v>
      </x:c>
      <x:c r="N814" s="43" t="str">
        <x:v>https://www.chepstowhouseschool.co.uk</x:v>
      </x:c>
      <x:c r="O814" s="43" t="str">
        <x:v>02072430243</x:v>
      </x:c>
      <x:c r="P814" s="43" t="str"/>
      <x:c r="Q814" s="43" t="str"/>
      <x:c r="R814" s="43" t="str">
        <x:v>Queued for contact research</x:v>
      </x:c>
      <x:c r="S814" s="43" t="str">
        <x:v>Not reviewed</x:v>
      </x:c>
      <x:c r="T814" s="43" t="str">
        <x:v>Hold</x:v>
      </x:c>
      <x:c r="U814" s="43" t="str">
        <x:v>No</x:v>
      </x:c>
      <x:c r="V814" s="44"/>
      <x:c r="W814" s="43" t="str"/>
      <x:c r="X814" s="43" t="str"/>
      <x:c r="Y814" s="43" t="str"/>
      <x:c r="Z814" s="43" t="str">
        <x:v>https://www.get-information-schools.service.gov.uk/Downloads</x:v>
      </x:c>
    </x:row>
    <x:row r="815">
      <x:c r="A815" s="43" t="str">
        <x:v>UK independent</x:v>
      </x:c>
      <x:c r="B815" s="43" t="str">
        <x:v>117600</x:v>
      </x:c>
      <x:c r="C815" s="43" t="n">
        <x:f>IF(K815="Boarding school",30,0)+IF(J815&gt;=18,20,0)+IF(I815&lt;=11,10,0)+IF(L815="Has a sixth form",15,0)+IF(M815&gt;=200,10,0)+IF(N815&lt;&gt;"",10,0)</x:f>
        <x:v>30</x:v>
      </x:c>
      <x:c r="D815" s="43" t="str">
        <x:f>IF(C815&gt;=85,"A",IF(C815&gt;=65,"B","C"))</x:f>
        <x:v>C</x:v>
      </x:c>
      <x:c r="E815" s="43" t="str">
        <x:v>Abbot's Hill School</x:v>
      </x:c>
      <x:c r="F815" s="43" t="str">
        <x:v>Hemel Hempstead</x:v>
      </x:c>
      <x:c r="G815" s="43" t="str">
        <x:v>Hertfordshire</x:v>
      </x:c>
      <x:c r="H815" s="43" t="str">
        <x:v>HP3 8RP</x:v>
      </x:c>
      <x:c r="I815" s="43" t="n">
        <x:v>0</x:v>
      </x:c>
      <x:c r="J815" s="43" t="n">
        <x:v>16</x:v>
      </x:c>
      <x:c r="K815" s="43" t="str">
        <x:v>No boarders</x:v>
      </x:c>
      <x:c r="L815" s="43" t="str">
        <x:v>Does not have a sixth form</x:v>
      </x:c>
      <x:c r="M815" s="43" t="n">
        <x:v>380</x:v>
      </x:c>
      <x:c r="N815" s="43" t="str">
        <x:v>http://www.abbotshill.herts.sch.uk</x:v>
      </x:c>
      <x:c r="O815" s="43" t="str">
        <x:v>01442240333</x:v>
      </x:c>
      <x:c r="P815" s="43" t="str"/>
      <x:c r="Q815" s="43" t="str"/>
      <x:c r="R815" s="43" t="str">
        <x:v>Queued for contact research</x:v>
      </x:c>
      <x:c r="S815" s="43" t="str">
        <x:v>Not reviewed</x:v>
      </x:c>
      <x:c r="T815" s="43" t="str">
        <x:v>Hold</x:v>
      </x:c>
      <x:c r="U815" s="43" t="str">
        <x:v>No</x:v>
      </x:c>
      <x:c r="V815" s="44"/>
      <x:c r="W815" s="43" t="str"/>
      <x:c r="X815" s="43" t="str"/>
      <x:c r="Y815" s="43" t="str"/>
      <x:c r="Z815" s="43" t="str">
        <x:v>https://www.get-information-schools.service.gov.uk/Downloads</x:v>
      </x:c>
    </x:row>
    <x:row r="816">
      <x:c r="A816" s="43" t="str">
        <x:v>UK independent</x:v>
      </x:c>
      <x:c r="B816" s="43" t="str">
        <x:v>102612</x:v>
      </x:c>
      <x:c r="C816" s="43" t="n">
        <x:f>IF(K816="Boarding school",30,0)+IF(J816&gt;=18,20,0)+IF(I816&lt;=11,10,0)+IF(L816="Has a sixth form",15,0)+IF(M816&gt;=200,10,0)+IF(N816&lt;&gt;"",10,0)</x:f>
        <x:v>30</x:v>
      </x:c>
      <x:c r="D816" s="43" t="str">
        <x:f>IF(C816&gt;=85,"A",IF(C816&gt;=65,"B","C"))</x:f>
        <x:v>C</x:v>
      </x:c>
      <x:c r="E816" s="43" t="str">
        <x:v>Rokeby School</x:v>
      </x:c>
      <x:c r="F816" s="43" t="str">
        <x:v>Kingston upon Thames</x:v>
      </x:c>
      <x:c r="G816" s="43" t="str">
        <x:v>Surrey</x:v>
      </x:c>
      <x:c r="H816" s="43" t="str">
        <x:v>KT2 7PB</x:v>
      </x:c>
      <x:c r="I816" s="43" t="n">
        <x:v>4</x:v>
      </x:c>
      <x:c r="J816" s="43" t="n">
        <x:v>13</x:v>
      </x:c>
      <x:c r="K816" s="43" t="str">
        <x:v>No boarders</x:v>
      </x:c>
      <x:c r="L816" s="43" t="str">
        <x:v>Does not have a sixth form</x:v>
      </x:c>
      <x:c r="M816" s="43" t="n">
        <x:v>376</x:v>
      </x:c>
      <x:c r="N816" s="43" t="str">
        <x:v>https://www.rokebyschool.co.uk</x:v>
      </x:c>
      <x:c r="O816" s="43" t="str">
        <x:v>02089422247</x:v>
      </x:c>
      <x:c r="P816" s="43" t="str"/>
      <x:c r="Q816" s="43" t="str"/>
      <x:c r="R816" s="43" t="str">
        <x:v>Queued for contact research</x:v>
      </x:c>
      <x:c r="S816" s="43" t="str">
        <x:v>Not reviewed</x:v>
      </x:c>
      <x:c r="T816" s="43" t="str">
        <x:v>Hold</x:v>
      </x:c>
      <x:c r="U816" s="43" t="str">
        <x:v>No</x:v>
      </x:c>
      <x:c r="V816" s="44"/>
      <x:c r="W816" s="43" t="str"/>
      <x:c r="X816" s="43" t="str"/>
      <x:c r="Y816" s="43" t="str"/>
      <x:c r="Z816" s="43" t="str">
        <x:v>https://www.get-information-schools.service.gov.uk/Downloads</x:v>
      </x:c>
    </x:row>
    <x:row r="817">
      <x:c r="A817" s="43" t="str">
        <x:v>UK independent</x:v>
      </x:c>
      <x:c r="B817" s="43" t="str">
        <x:v>123308</x:v>
      </x:c>
      <x:c r="C817" s="43" t="n">
        <x:f>IF(K817="Boarding school",30,0)+IF(J817&gt;=18,20,0)+IF(I817&lt;=11,10,0)+IF(L817="Has a sixth form",15,0)+IF(M817&gt;=200,10,0)+IF(N817&lt;&gt;"",10,0)</x:f>
        <x:v>30</x:v>
      </x:c>
      <x:c r="D817" s="43" t="str">
        <x:f>IF(C817&gt;=85,"A",IF(C817&gt;=65,"B","C"))</x:f>
        <x:v>C</x:v>
      </x:c>
      <x:c r="E817" s="43" t="str">
        <x:v>The Manor Preparatory School</x:v>
      </x:c>
      <x:c r="F817" s="43" t="str">
        <x:v>Abingdon</x:v>
      </x:c>
      <x:c r="G817" s="43" t="str">
        <x:v>Oxfordshire</x:v>
      </x:c>
      <x:c r="H817" s="43" t="str">
        <x:v>OX13 6LN</x:v>
      </x:c>
      <x:c r="I817" s="43" t="n">
        <x:v>2</x:v>
      </x:c>
      <x:c r="J817" s="43" t="n">
        <x:v>11</x:v>
      </x:c>
      <x:c r="K817" s="43" t="str">
        <x:v>No boarders</x:v>
      </x:c>
      <x:c r="L817" s="43" t="str">
        <x:v>Does not have a sixth form</x:v>
      </x:c>
      <x:c r="M817" s="43" t="n">
        <x:v>376</x:v>
      </x:c>
      <x:c r="N817" s="43" t="str">
        <x:v>https://www.manorprep.org</x:v>
      </x:c>
      <x:c r="O817" s="43" t="str">
        <x:v>01235858458</x:v>
      </x:c>
      <x:c r="P817" s="43" t="str"/>
      <x:c r="Q817" s="43" t="str"/>
      <x:c r="R817" s="43" t="str">
        <x:v>Queued for contact research</x:v>
      </x:c>
      <x:c r="S817" s="43" t="str">
        <x:v>Not reviewed</x:v>
      </x:c>
      <x:c r="T817" s="43" t="str">
        <x:v>Hold</x:v>
      </x:c>
      <x:c r="U817" s="43" t="str">
        <x:v>No</x:v>
      </x:c>
      <x:c r="V817" s="44"/>
      <x:c r="W817" s="43" t="str"/>
      <x:c r="X817" s="43" t="str"/>
      <x:c r="Y817" s="43" t="str"/>
      <x:c r="Z817" s="43" t="str">
        <x:v>https://www.get-information-schools.service.gov.uk/Downloads</x:v>
      </x:c>
    </x:row>
    <x:row r="818">
      <x:c r="A818" s="43" t="str">
        <x:v>UK independent</x:v>
      </x:c>
      <x:c r="B818" s="43" t="str">
        <x:v>110552</x:v>
      </x:c>
      <x:c r="C818" s="43" t="n">
        <x:f>IF(K818="Boarding school",30,0)+IF(J818&gt;=18,20,0)+IF(I818&lt;=11,10,0)+IF(L818="Has a sixth form",15,0)+IF(M818&gt;=200,10,0)+IF(N818&lt;&gt;"",10,0)</x:f>
        <x:v>30</x:v>
      </x:c>
      <x:c r="D818" s="43" t="str">
        <x:f>IF(C818&gt;=85,"A",IF(C818&gt;=65,"B","C"))</x:f>
        <x:v>C</x:v>
      </x:c>
      <x:c r="E818" s="43" t="str">
        <x:v>Chesham Preparatory School</x:v>
      </x:c>
      <x:c r="F818" s="43" t="str">
        <x:v>Chesham</x:v>
      </x:c>
      <x:c r="G818" s="43" t="str">
        <x:v>Buckinghamshire</x:v>
      </x:c>
      <x:c r="H818" s="43" t="str">
        <x:v>HP5 3QF</x:v>
      </x:c>
      <x:c r="I818" s="43" t="n">
        <x:v>3</x:v>
      </x:c>
      <x:c r="J818" s="43" t="n">
        <x:v>11</x:v>
      </x:c>
      <x:c r="K818" s="43" t="str">
        <x:v>No boarders</x:v>
      </x:c>
      <x:c r="L818" s="43" t="str">
        <x:v>Does not have a sixth form</x:v>
      </x:c>
      <x:c r="M818" s="43" t="n">
        <x:v>375</x:v>
      </x:c>
      <x:c r="N818" s="43" t="str">
        <x:v>https://www.cheshamprep.co.uk</x:v>
      </x:c>
      <x:c r="O818" s="43" t="str">
        <x:v>01494782619</x:v>
      </x:c>
      <x:c r="P818" s="43" t="str"/>
      <x:c r="Q818" s="43" t="str"/>
      <x:c r="R818" s="43" t="str">
        <x:v>Queued for contact research</x:v>
      </x:c>
      <x:c r="S818" s="43" t="str">
        <x:v>Not reviewed</x:v>
      </x:c>
      <x:c r="T818" s="43" t="str">
        <x:v>Hold</x:v>
      </x:c>
      <x:c r="U818" s="43" t="str">
        <x:v>No</x:v>
      </x:c>
      <x:c r="V818" s="44"/>
      <x:c r="W818" s="43" t="str"/>
      <x:c r="X818" s="43" t="str"/>
      <x:c r="Y818" s="43" t="str"/>
      <x:c r="Z818" s="43" t="str">
        <x:v>https://www.get-information-schools.service.gov.uk/Downloads</x:v>
      </x:c>
    </x:row>
    <x:row r="819">
      <x:c r="A819" s="43" t="str">
        <x:v>UK independent</x:v>
      </x:c>
      <x:c r="B819" s="43" t="str">
        <x:v>114621</x:v>
      </x:c>
      <x:c r="C819" s="43" t="n">
        <x:f>IF(K819="Boarding school",30,0)+IF(J819&gt;=18,20,0)+IF(I819&lt;=11,10,0)+IF(L819="Has a sixth form",15,0)+IF(M819&gt;=200,10,0)+IF(N819&lt;&gt;"",10,0)</x:f>
        <x:v>30</x:v>
      </x:c>
      <x:c r="D819" s="43" t="str">
        <x:f>IF(C819&gt;=85,"A",IF(C819&gt;=65,"B","C"))</x:f>
        <x:v>C</x:v>
      </x:c>
      <x:c r="E819" s="43" t="str">
        <x:v>Brighton College Prep School</x:v>
      </x:c>
      <x:c r="F819" s="43" t="str">
        <x:v>Brighton</x:v>
      </x:c>
      <x:c r="G819" s="43" t="str"/>
      <x:c r="H819" s="43" t="str">
        <x:v>BN2 5JJ</x:v>
      </x:c>
      <x:c r="I819" s="43" t="n">
        <x:v>3</x:v>
      </x:c>
      <x:c r="J819" s="43" t="n">
        <x:v>12</x:v>
      </x:c>
      <x:c r="K819" s="43" t="str">
        <x:v>No boarders</x:v>
      </x:c>
      <x:c r="L819" s="43" t="str">
        <x:v>Does not have a sixth form</x:v>
      </x:c>
      <x:c r="M819" s="43" t="n">
        <x:v>370</x:v>
      </x:c>
      <x:c r="N819" s="43" t="str">
        <x:v>https://www.brightoncollege.org.uk/</x:v>
      </x:c>
      <x:c r="O819" s="43" t="str">
        <x:v>01273704259</x:v>
      </x:c>
      <x:c r="P819" s="43" t="str"/>
      <x:c r="Q819" s="43" t="str"/>
      <x:c r="R819" s="43" t="str">
        <x:v>Queued for contact research</x:v>
      </x:c>
      <x:c r="S819" s="43" t="str">
        <x:v>Not reviewed</x:v>
      </x:c>
      <x:c r="T819" s="43" t="str">
        <x:v>Hold</x:v>
      </x:c>
      <x:c r="U819" s="43" t="str">
        <x:v>No</x:v>
      </x:c>
      <x:c r="V819" s="44"/>
      <x:c r="W819" s="43" t="str"/>
      <x:c r="X819" s="43" t="str"/>
      <x:c r="Y819" s="43" t="str"/>
      <x:c r="Z819" s="43" t="str">
        <x:v>https://www.get-information-schools.service.gov.uk/Downloads</x:v>
      </x:c>
    </x:row>
    <x:row r="820">
      <x:c r="A820" s="43" t="str">
        <x:v>UK independent</x:v>
      </x:c>
      <x:c r="B820" s="43" t="str">
        <x:v>100522</x:v>
      </x:c>
      <x:c r="C820" s="43" t="n">
        <x:f>IF(K820="Boarding school",30,0)+IF(J820&gt;=18,20,0)+IF(I820&lt;=11,10,0)+IF(L820="Has a sixth form",15,0)+IF(M820&gt;=200,10,0)+IF(N820&lt;&gt;"",10,0)</x:f>
        <x:v>30</x:v>
      </x:c>
      <x:c r="D820" s="43" t="str">
        <x:f>IF(C820&gt;=85,"A",IF(C820&gt;=65,"B","C"))</x:f>
        <x:v>C</x:v>
      </x:c>
      <x:c r="E820" s="43" t="str">
        <x:v>Garden House School</x:v>
      </x:c>
      <x:c r="F820" s="43" t="str">
        <x:v>London</x:v>
      </x:c>
      <x:c r="G820" s="43" t="str"/>
      <x:c r="H820" s="43" t="str">
        <x:v>SW3 4TW</x:v>
      </x:c>
      <x:c r="I820" s="43" t="n">
        <x:v>3</x:v>
      </x:c>
      <x:c r="J820" s="43" t="n">
        <x:v>11</x:v>
      </x:c>
      <x:c r="K820" s="43" t="str">
        <x:v>No boarders</x:v>
      </x:c>
      <x:c r="L820" s="43" t="str">
        <x:v>Does not have a sixth form</x:v>
      </x:c>
      <x:c r="M820" s="43" t="n">
        <x:v>369</x:v>
      </x:c>
      <x:c r="N820" s="43" t="str">
        <x:v>https://www.gardenhouseschool.co.uk</x:v>
      </x:c>
      <x:c r="O820" s="43" t="str">
        <x:v>02077301652</x:v>
      </x:c>
      <x:c r="P820" s="43" t="str"/>
      <x:c r="Q820" s="43" t="str"/>
      <x:c r="R820" s="43" t="str">
        <x:v>Queued for contact research</x:v>
      </x:c>
      <x:c r="S820" s="43" t="str">
        <x:v>Not reviewed</x:v>
      </x:c>
      <x:c r="T820" s="43" t="str">
        <x:v>Hold</x:v>
      </x:c>
      <x:c r="U820" s="43" t="str">
        <x:v>No</x:v>
      </x:c>
      <x:c r="V820" s="44"/>
      <x:c r="W820" s="43" t="str"/>
      <x:c r="X820" s="43" t="str"/>
      <x:c r="Y820" s="43" t="str"/>
      <x:c r="Z820" s="43" t="str">
        <x:v>https://www.get-information-schools.service.gov.uk/Downloads</x:v>
      </x:c>
    </x:row>
    <x:row r="821">
      <x:c r="A821" s="43" t="str">
        <x:v>UK independent</x:v>
      </x:c>
      <x:c r="B821" s="43" t="str">
        <x:v>118953</x:v>
      </x:c>
      <x:c r="C821" s="43" t="n">
        <x:f>IF(K821="Boarding school",30,0)+IF(J821&gt;=18,20,0)+IF(I821&lt;=11,10,0)+IF(L821="Has a sixth form",15,0)+IF(M821&gt;=200,10,0)+IF(N821&lt;&gt;"",10,0)</x:f>
        <x:v>30</x:v>
      </x:c>
      <x:c r="D821" s="43" t="str">
        <x:f>IF(C821&gt;=85,"A",IF(C821&gt;=65,"B","C"))</x:f>
        <x:v>C</x:v>
      </x:c>
      <x:c r="E821" s="43" t="str">
        <x:v>Sevenoaks Preparatory School</x:v>
      </x:c>
      <x:c r="F821" s="43" t="str">
        <x:v>Sevenoaks</x:v>
      </x:c>
      <x:c r="G821" s="43" t="str">
        <x:v>Kent</x:v>
      </x:c>
      <x:c r="H821" s="43" t="str">
        <x:v>TN15 0JU</x:v>
      </x:c>
      <x:c r="I821" s="43" t="n">
        <x:v>2</x:v>
      </x:c>
      <x:c r="J821" s="43" t="n">
        <x:v>14</x:v>
      </x:c>
      <x:c r="K821" s="43" t="str">
        <x:v>No boarders</x:v>
      </x:c>
      <x:c r="L821" s="43" t="str">
        <x:v>Does not have a sixth form</x:v>
      </x:c>
      <x:c r="M821" s="43" t="n">
        <x:v>369</x:v>
      </x:c>
      <x:c r="N821" s="43" t="str">
        <x:v>http://www.theprep.org.uk</x:v>
      </x:c>
      <x:c r="O821" s="43" t="str">
        <x:v>01732762336</x:v>
      </x:c>
      <x:c r="P821" s="43" t="str"/>
      <x:c r="Q821" s="43" t="str"/>
      <x:c r="R821" s="43" t="str">
        <x:v>Queued for contact research</x:v>
      </x:c>
      <x:c r="S821" s="43" t="str">
        <x:v>Not reviewed</x:v>
      </x:c>
      <x:c r="T821" s="43" t="str">
        <x:v>Hold</x:v>
      </x:c>
      <x:c r="U821" s="43" t="str">
        <x:v>No</x:v>
      </x:c>
      <x:c r="V821" s="44"/>
      <x:c r="W821" s="43" t="str"/>
      <x:c r="X821" s="43" t="str"/>
      <x:c r="Y821" s="43" t="str"/>
      <x:c r="Z821" s="43" t="str">
        <x:v>https://www.get-information-schools.service.gov.uk/Downloads</x:v>
      </x:c>
    </x:row>
    <x:row r="822">
      <x:c r="A822" s="43" t="str">
        <x:v>UK independent</x:v>
      </x:c>
      <x:c r="B822" s="43" t="str">
        <x:v>102866</x:v>
      </x:c>
      <x:c r="C822" s="43" t="n">
        <x:f>IF(K822="Boarding school",30,0)+IF(J822&gt;=18,20,0)+IF(I822&lt;=11,10,0)+IF(L822="Has a sixth form",15,0)+IF(M822&gt;=200,10,0)+IF(N822&lt;&gt;"",10,0)</x:f>
        <x:v>30</x:v>
      </x:c>
      <x:c r="D822" s="43" t="str">
        <x:f>IF(C822&gt;=85,"A",IF(C822&gt;=65,"B","C"))</x:f>
        <x:v>C</x:v>
      </x:c>
      <x:c r="E822" s="43" t="str">
        <x:v>Woodford Green Preparatory School</x:v>
      </x:c>
      <x:c r="F822" s="43" t="str">
        <x:v>Woodford Green</x:v>
      </x:c>
      <x:c r="G822" s="43" t="str">
        <x:v>Essex</x:v>
      </x:c>
      <x:c r="H822" s="43" t="str">
        <x:v>IG8 0BZ</x:v>
      </x:c>
      <x:c r="I822" s="43" t="n">
        <x:v>3</x:v>
      </x:c>
      <x:c r="J822" s="43" t="n">
        <x:v>11</x:v>
      </x:c>
      <x:c r="K822" s="43" t="str">
        <x:v>No boarders</x:v>
      </x:c>
      <x:c r="L822" s="43" t="str">
        <x:v>Does not have a sixth form</x:v>
      </x:c>
      <x:c r="M822" s="43" t="n">
        <x:v>366</x:v>
      </x:c>
      <x:c r="N822" s="43" t="str">
        <x:v>https://www.wgprep.co.uk</x:v>
      </x:c>
      <x:c r="O822" s="43" t="str">
        <x:v>02085045045</x:v>
      </x:c>
      <x:c r="P822" s="43" t="str"/>
      <x:c r="Q822" s="43" t="str"/>
      <x:c r="R822" s="43" t="str">
        <x:v>Queued for contact research</x:v>
      </x:c>
      <x:c r="S822" s="43" t="str">
        <x:v>Not reviewed</x:v>
      </x:c>
      <x:c r="T822" s="43" t="str">
        <x:v>Hold</x:v>
      </x:c>
      <x:c r="U822" s="43" t="str">
        <x:v>No</x:v>
      </x:c>
      <x:c r="V822" s="44"/>
      <x:c r="W822" s="43" t="str"/>
      <x:c r="X822" s="43" t="str"/>
      <x:c r="Y822" s="43" t="str"/>
      <x:c r="Z822" s="43" t="str">
        <x:v>https://www.get-information-schools.service.gov.uk/Downloads</x:v>
      </x:c>
    </x:row>
    <x:row r="823">
      <x:c r="A823" s="43" t="str">
        <x:v>UK independent</x:v>
      </x:c>
      <x:c r="B823" s="43" t="str">
        <x:v>110921</x:v>
      </x:c>
      <x:c r="C823" s="43" t="n">
        <x:f>IF(K823="Boarding school",30,0)+IF(J823&gt;=18,20,0)+IF(I823&lt;=11,10,0)+IF(L823="Has a sixth form",15,0)+IF(M823&gt;=200,10,0)+IF(N823&lt;&gt;"",10,0)</x:f>
        <x:v>30</x:v>
      </x:c>
      <x:c r="D823" s="43" t="str">
        <x:f>IF(C823&gt;=85,"A",IF(C823&gt;=65,"B","C"))</x:f>
        <x:v>C</x:v>
      </x:c>
      <x:c r="E823" s="43" t="str">
        <x:v>Sancton Wood School</x:v>
      </x:c>
      <x:c r="F823" s="43" t="str"/>
      <x:c r="G823" s="43" t="str"/>
      <x:c r="H823" s="43" t="str">
        <x:v>CB1 2EZ</x:v>
      </x:c>
      <x:c r="I823" s="43" t="n">
        <x:v>1</x:v>
      </x:c>
      <x:c r="J823" s="43" t="n">
        <x:v>16</x:v>
      </x:c>
      <x:c r="K823" s="43" t="str">
        <x:v>No boarders</x:v>
      </x:c>
      <x:c r="L823" s="43" t="str">
        <x:v>Does not have a sixth form</x:v>
      </x:c>
      <x:c r="M823" s="43" t="n">
        <x:v>363</x:v>
      </x:c>
      <x:c r="N823" s="43" t="str">
        <x:v>https://www.sanctonwood.co.uk</x:v>
      </x:c>
      <x:c r="O823" s="43" t="str">
        <x:v>01223471703</x:v>
      </x:c>
      <x:c r="P823" s="43" t="str"/>
      <x:c r="Q823" s="43" t="str"/>
      <x:c r="R823" s="43" t="str">
        <x:v>Queued for contact research</x:v>
      </x:c>
      <x:c r="S823" s="43" t="str">
        <x:v>Not reviewed</x:v>
      </x:c>
      <x:c r="T823" s="43" t="str">
        <x:v>Hold</x:v>
      </x:c>
      <x:c r="U823" s="43" t="str">
        <x:v>No</x:v>
      </x:c>
      <x:c r="V823" s="44"/>
      <x:c r="W823" s="43" t="str"/>
      <x:c r="X823" s="43" t="str"/>
      <x:c r="Y823" s="43" t="str"/>
      <x:c r="Z823" s="43" t="str">
        <x:v>https://www.get-information-schools.service.gov.uk/Downloads</x:v>
      </x:c>
    </x:row>
    <x:row r="824">
      <x:c r="A824" s="43" t="str">
        <x:v>UK independent</x:v>
      </x:c>
      <x:c r="B824" s="43" t="str">
        <x:v>132119</x:v>
      </x:c>
      <x:c r="C824" s="43" t="n">
        <x:f>IF(K824="Boarding school",30,0)+IF(J824&gt;=18,20,0)+IF(I824&lt;=11,10,0)+IF(L824="Has a sixth form",15,0)+IF(M824&gt;=200,10,0)+IF(N824&lt;&gt;"",10,0)</x:f>
        <x:v>30</x:v>
      </x:c>
      <x:c r="D824" s="43" t="str">
        <x:f>IF(C824&gt;=85,"A",IF(C824&gt;=65,"B","C"))</x:f>
        <x:v>C</x:v>
      </x:c>
      <x:c r="E824" s="43" t="str">
        <x:v>Auckland College</x:v>
      </x:c>
      <x:c r="F824" s="43" t="str">
        <x:v>Liverpool</x:v>
      </x:c>
      <x:c r="G824" s="43" t="str">
        <x:v>Merseyside</x:v>
      </x:c>
      <x:c r="H824" s="43" t="str">
        <x:v>L17 4LE</x:v>
      </x:c>
      <x:c r="I824" s="43" t="n">
        <x:v>3</x:v>
      </x:c>
      <x:c r="J824" s="43" t="n">
        <x:v>16</x:v>
      </x:c>
      <x:c r="K824" s="43" t="str">
        <x:v>No boarders</x:v>
      </x:c>
      <x:c r="L824" s="43" t="str">
        <x:v>Does not have a sixth form</x:v>
      </x:c>
      <x:c r="M824" s="43" t="n">
        <x:v>362</x:v>
      </x:c>
      <x:c r="N824" s="43" t="str">
        <x:v>https://www.aucklandcollege.com</x:v>
      </x:c>
      <x:c r="O824" s="43" t="str">
        <x:v>01517270083</x:v>
      </x:c>
      <x:c r="P824" s="43" t="str"/>
      <x:c r="Q824" s="43" t="str"/>
      <x:c r="R824" s="43" t="str">
        <x:v>Queued for contact research</x:v>
      </x:c>
      <x:c r="S824" s="43" t="str">
        <x:v>Not reviewed</x:v>
      </x:c>
      <x:c r="T824" s="43" t="str">
        <x:v>Hold</x:v>
      </x:c>
      <x:c r="U824" s="43" t="str">
        <x:v>No</x:v>
      </x:c>
      <x:c r="V824" s="44"/>
      <x:c r="W824" s="43" t="str"/>
      <x:c r="X824" s="43" t="str"/>
      <x:c r="Y824" s="43" t="str"/>
      <x:c r="Z824" s="43" t="str">
        <x:v>https://www.get-information-schools.service.gov.uk/Downloads</x:v>
      </x:c>
    </x:row>
    <x:row r="825">
      <x:c r="A825" s="43" t="str">
        <x:v>UK independent</x:v>
      </x:c>
      <x:c r="B825" s="43" t="str">
        <x:v>110565</x:v>
      </x:c>
      <x:c r="C825" s="43" t="n">
        <x:f>IF(K825="Boarding school",30,0)+IF(J825&gt;=18,20,0)+IF(I825&lt;=11,10,0)+IF(L825="Has a sixth form",15,0)+IF(M825&gt;=200,10,0)+IF(N825&lt;&gt;"",10,0)</x:f>
        <x:v>30</x:v>
      </x:c>
      <x:c r="D825" s="43" t="str">
        <x:f>IF(C825&gt;=85,"A",IF(C825&gt;=65,"B","C"))</x:f>
        <x:v>C</x:v>
      </x:c>
      <x:c r="E825" s="43" t="str">
        <x:v>Milton Keynes Preparatory School</x:v>
      </x:c>
      <x:c r="F825" s="43" t="str">
        <x:v>Milton Keynes</x:v>
      </x:c>
      <x:c r="G825" s="43" t="str">
        <x:v>Buckinghamshire</x:v>
      </x:c>
      <x:c r="H825" s="43" t="str">
        <x:v>MK3 7EG</x:v>
      </x:c>
      <x:c r="I825" s="43" t="n">
        <x:v>0</x:v>
      </x:c>
      <x:c r="J825" s="43" t="n">
        <x:v>11</x:v>
      </x:c>
      <x:c r="K825" s="43" t="str">
        <x:v>No boarders</x:v>
      </x:c>
      <x:c r="L825" s="43" t="str">
        <x:v>Does not have a sixth form</x:v>
      </x:c>
      <x:c r="M825" s="43" t="n">
        <x:v>362</x:v>
      </x:c>
      <x:c r="N825" s="43" t="str">
        <x:v>https://www.mkps.co.uk</x:v>
      </x:c>
      <x:c r="O825" s="43" t="str">
        <x:v>01908642111</x:v>
      </x:c>
      <x:c r="P825" s="43" t="str"/>
      <x:c r="Q825" s="43" t="str"/>
      <x:c r="R825" s="43" t="str">
        <x:v>Queued for contact research</x:v>
      </x:c>
      <x:c r="S825" s="43" t="str">
        <x:v>Not reviewed</x:v>
      </x:c>
      <x:c r="T825" s="43" t="str">
        <x:v>Hold</x:v>
      </x:c>
      <x:c r="U825" s="43" t="str">
        <x:v>No</x:v>
      </x:c>
      <x:c r="V825" s="44"/>
      <x:c r="W825" s="43" t="str"/>
      <x:c r="X825" s="43" t="str"/>
      <x:c r="Y825" s="43" t="str"/>
      <x:c r="Z825" s="43" t="str">
        <x:v>https://www.get-information-schools.service.gov.uk/Downloads</x:v>
      </x:c>
    </x:row>
    <x:row r="826">
      <x:c r="A826" s="43" t="str">
        <x:v>UK independent</x:v>
      </x:c>
      <x:c r="B826" s="43" t="str">
        <x:v>100520</x:v>
      </x:c>
      <x:c r="C826" s="43" t="n">
        <x:f>IF(K826="Boarding school",30,0)+IF(J826&gt;=18,20,0)+IF(I826&lt;=11,10,0)+IF(L826="Has a sixth form",15,0)+IF(M826&gt;=200,10,0)+IF(N826&lt;&gt;"",10,0)</x:f>
        <x:v>30</x:v>
      </x:c>
      <x:c r="D826" s="43" t="str">
        <x:f>IF(C826&gt;=85,"A",IF(C826&gt;=65,"B","C"))</x:f>
        <x:v>C</x:v>
      </x:c>
      <x:c r="E826" s="43" t="str">
        <x:v>Falkner House</x:v>
      </x:c>
      <x:c r="F826" s="43" t="str">
        <x:v>London</x:v>
      </x:c>
      <x:c r="G826" s="43" t="str"/>
      <x:c r="H826" s="43" t="str">
        <x:v>SW7 4QB</x:v>
      </x:c>
      <x:c r="I826" s="43" t="n">
        <x:v>2</x:v>
      </x:c>
      <x:c r="J826" s="43" t="n">
        <x:v>11</x:v>
      </x:c>
      <x:c r="K826" s="43" t="str">
        <x:v>No boarders</x:v>
      </x:c>
      <x:c r="L826" s="43" t="str">
        <x:v>Does not have a sixth form</x:v>
      </x:c>
      <x:c r="M826" s="43" t="n">
        <x:v>360</x:v>
      </x:c>
      <x:c r="N826" s="43" t="str">
        <x:v>https://www.falknerhouse.co.uk</x:v>
      </x:c>
      <x:c r="O826" s="43" t="str">
        <x:v>02073734501</x:v>
      </x:c>
      <x:c r="P826" s="43" t="str"/>
      <x:c r="Q826" s="43" t="str"/>
      <x:c r="R826" s="43" t="str">
        <x:v>Queued for contact research</x:v>
      </x:c>
      <x:c r="S826" s="43" t="str">
        <x:v>Not reviewed</x:v>
      </x:c>
      <x:c r="T826" s="43" t="str">
        <x:v>Hold</x:v>
      </x:c>
      <x:c r="U826" s="43" t="str">
        <x:v>No</x:v>
      </x:c>
      <x:c r="V826" s="44"/>
      <x:c r="W826" s="43" t="str"/>
      <x:c r="X826" s="43" t="str"/>
      <x:c r="Y826" s="43" t="str"/>
      <x:c r="Z826" s="43" t="str">
        <x:v>https://www.get-information-schools.service.gov.uk/Downloads</x:v>
      </x:c>
    </x:row>
    <x:row r="827">
      <x:c r="A827" s="43" t="str">
        <x:v>UK independent</x:v>
      </x:c>
      <x:c r="B827" s="43" t="str">
        <x:v>113939</x:v>
      </x:c>
      <x:c r="C827" s="43" t="n">
        <x:f>IF(K827="Boarding school",30,0)+IF(J827&gt;=18,20,0)+IF(I827&lt;=11,10,0)+IF(L827="Has a sixth form",15,0)+IF(M827&gt;=200,10,0)+IF(N827&lt;&gt;"",10,0)</x:f>
        <x:v>30</x:v>
      </x:c>
      <x:c r="D827" s="43" t="str">
        <x:f>IF(C827&gt;=85,"A",IF(C827&gt;=65,"B","C"))</x:f>
        <x:v>C</x:v>
      </x:c>
      <x:c r="E827" s="43" t="str">
        <x:v>Park School</x:v>
      </x:c>
      <x:c r="F827" s="43" t="str">
        <x:v>Bournemouth</x:v>
      </x:c>
      <x:c r="G827" s="43" t="str">
        <x:v>Dorset</x:v>
      </x:c>
      <x:c r="H827" s="43" t="str">
        <x:v>BH8 9BJ</x:v>
      </x:c>
      <x:c r="I827" s="43" t="n">
        <x:v>0</x:v>
      </x:c>
      <x:c r="J827" s="43" t="n">
        <x:v>11</x:v>
      </x:c>
      <x:c r="K827" s="43" t="str">
        <x:v>No boarders</x:v>
      </x:c>
      <x:c r="L827" s="43" t="str">
        <x:v>Does not have a sixth form</x:v>
      </x:c>
      <x:c r="M827" s="43" t="n">
        <x:v>360</x:v>
      </x:c>
      <x:c r="N827" s="43" t="str">
        <x:v>https://www.parkschool.co.uk</x:v>
      </x:c>
      <x:c r="O827" s="43" t="str">
        <x:v>01202396640</x:v>
      </x:c>
      <x:c r="P827" s="43" t="str"/>
      <x:c r="Q827" s="43" t="str"/>
      <x:c r="R827" s="43" t="str">
        <x:v>Queued for contact research</x:v>
      </x:c>
      <x:c r="S827" s="43" t="str">
        <x:v>Not reviewed</x:v>
      </x:c>
      <x:c r="T827" s="43" t="str">
        <x:v>Hold</x:v>
      </x:c>
      <x:c r="U827" s="43" t="str">
        <x:v>No</x:v>
      </x:c>
      <x:c r="V827" s="44"/>
      <x:c r="W827" s="43" t="str"/>
      <x:c r="X827" s="43" t="str"/>
      <x:c r="Y827" s="43" t="str"/>
      <x:c r="Z827" s="43" t="str">
        <x:v>https://www.get-information-schools.service.gov.uk/Downloads</x:v>
      </x:c>
    </x:row>
    <x:row r="828">
      <x:c r="A828" s="43" t="str">
        <x:v>UK independent</x:v>
      </x:c>
      <x:c r="B828" s="43" t="str">
        <x:v>117610</x:v>
      </x:c>
      <x:c r="C828" s="43" t="n">
        <x:f>IF(K828="Boarding school",30,0)+IF(J828&gt;=18,20,0)+IF(I828&lt;=11,10,0)+IF(L828="Has a sixth form",15,0)+IF(M828&gt;=200,10,0)+IF(N828&lt;&gt;"",10,0)</x:f>
        <x:v>30</x:v>
      </x:c>
      <x:c r="D828" s="43" t="str">
        <x:f>IF(C828&gt;=85,"A",IF(C828&gt;=65,"B","C"))</x:f>
        <x:v>C</x:v>
      </x:c>
      <x:c r="E828" s="43" t="str">
        <x:v>Westbrook Hay</x:v>
      </x:c>
      <x:c r="F828" s="43" t="str"/>
      <x:c r="G828" s="43" t="str"/>
      <x:c r="H828" s="43" t="str">
        <x:v>HP1 2RF</x:v>
      </x:c>
      <x:c r="I828" s="43" t="n">
        <x:v>3</x:v>
      </x:c>
      <x:c r="J828" s="43" t="n">
        <x:v>16</x:v>
      </x:c>
      <x:c r="K828" s="43" t="str">
        <x:v>No boarders</x:v>
      </x:c>
      <x:c r="L828" s="43" t="str">
        <x:v>Does not have a sixth form</x:v>
      </x:c>
      <x:c r="M828" s="43" t="n">
        <x:v>360</x:v>
      </x:c>
      <x:c r="N828" s="43" t="str">
        <x:v>https://www.westbrookhay.co.uk</x:v>
      </x:c>
      <x:c r="O828" s="43" t="str">
        <x:v>01442256143</x:v>
      </x:c>
      <x:c r="P828" s="43" t="str"/>
      <x:c r="Q828" s="43" t="str"/>
      <x:c r="R828" s="43" t="str">
        <x:v>Queued for contact research</x:v>
      </x:c>
      <x:c r="S828" s="43" t="str">
        <x:v>Not reviewed</x:v>
      </x:c>
      <x:c r="T828" s="43" t="str">
        <x:v>Hold</x:v>
      </x:c>
      <x:c r="U828" s="43" t="str">
        <x:v>No</x:v>
      </x:c>
      <x:c r="V828" s="44"/>
      <x:c r="W828" s="43" t="str"/>
      <x:c r="X828" s="43" t="str"/>
      <x:c r="Y828" s="43" t="str"/>
      <x:c r="Z828" s="43" t="str">
        <x:v>https://www.get-information-schools.service.gov.uk/Downloads</x:v>
      </x:c>
    </x:row>
    <x:row r="829">
      <x:c r="A829" s="43" t="str">
        <x:v>UK independent</x:v>
      </x:c>
      <x:c r="B829" s="43" t="str">
        <x:v>101156</x:v>
      </x:c>
      <x:c r="C829" s="43" t="n">
        <x:f>IF(K829="Boarding school",30,0)+IF(J829&gt;=18,20,0)+IF(I829&lt;=11,10,0)+IF(L829="Has a sixth form",15,0)+IF(M829&gt;=200,10,0)+IF(N829&lt;&gt;"",10,0)</x:f>
        <x:v>30</x:v>
      </x:c>
      <x:c r="D829" s="43" t="str">
        <x:f>IF(C829&gt;=85,"A",IF(C829&gt;=65,"B","C"))</x:f>
        <x:v>C</x:v>
      </x:c>
      <x:c r="E829" s="43" t="str">
        <x:v>Arnold House School</x:v>
      </x:c>
      <x:c r="F829" s="43" t="str">
        <x:v>London</x:v>
      </x:c>
      <x:c r="G829" s="43" t="str"/>
      <x:c r="H829" s="43" t="str">
        <x:v>NW8 0LH</x:v>
      </x:c>
      <x:c r="I829" s="43" t="n">
        <x:v>3</x:v>
      </x:c>
      <x:c r="J829" s="43" t="n">
        <x:v>13</x:v>
      </x:c>
      <x:c r="K829" s="43" t="str">
        <x:v>No boarders</x:v>
      </x:c>
      <x:c r="L829" s="43" t="str">
        <x:v>Does not have a sixth form</x:v>
      </x:c>
      <x:c r="M829" s="43" t="n">
        <x:v>359</x:v>
      </x:c>
      <x:c r="N829" s="43" t="str">
        <x:v>https://www.arnoldhouse.co.uk</x:v>
      </x:c>
      <x:c r="O829" s="43" t="str">
        <x:v>02072664840</x:v>
      </x:c>
      <x:c r="P829" s="43" t="str"/>
      <x:c r="Q829" s="43" t="str"/>
      <x:c r="R829" s="43" t="str">
        <x:v>Queued for contact research</x:v>
      </x:c>
      <x:c r="S829" s="43" t="str">
        <x:v>Not reviewed</x:v>
      </x:c>
      <x:c r="T829" s="43" t="str">
        <x:v>Hold</x:v>
      </x:c>
      <x:c r="U829" s="43" t="str">
        <x:v>No</x:v>
      </x:c>
      <x:c r="V829" s="44"/>
      <x:c r="W829" s="43" t="str"/>
      <x:c r="X829" s="43" t="str"/>
      <x:c r="Y829" s="43" t="str"/>
      <x:c r="Z829" s="43" t="str">
        <x:v>https://www.get-information-schools.service.gov.uk/Downloads</x:v>
      </x:c>
    </x:row>
    <x:row r="830">
      <x:c r="A830" s="43" t="str">
        <x:v>UK independent</x:v>
      </x:c>
      <x:c r="B830" s="43" t="str">
        <x:v>100073</x:v>
      </x:c>
      <x:c r="C830" s="43" t="n">
        <x:f>IF(K830="Boarding school",30,0)+IF(J830&gt;=18,20,0)+IF(I830&lt;=11,10,0)+IF(L830="Has a sixth form",15,0)+IF(M830&gt;=200,10,0)+IF(N830&lt;&gt;"",10,0)</x:f>
        <x:v>30</x:v>
      </x:c>
      <x:c r="D830" s="43" t="str">
        <x:f>IF(C830&gt;=85,"A",IF(C830&gt;=65,"B","C"))</x:f>
        <x:v>C</x:v>
      </x:c>
      <x:c r="E830" s="43" t="str">
        <x:v>Hampstead Hill School</x:v>
      </x:c>
      <x:c r="F830" s="43" t="str">
        <x:v>London</x:v>
      </x:c>
      <x:c r="G830" s="43" t="str"/>
      <x:c r="H830" s="43" t="str">
        <x:v>NW3 2PP</x:v>
      </x:c>
      <x:c r="I830" s="43" t="n">
        <x:v>2</x:v>
      </x:c>
      <x:c r="J830" s="43" t="n">
        <x:v>11</x:v>
      </x:c>
      <x:c r="K830" s="43" t="str">
        <x:v>No boarders</x:v>
      </x:c>
      <x:c r="L830" s="43" t="str">
        <x:v>Does not have a sixth form</x:v>
      </x:c>
      <x:c r="M830" s="43" t="n">
        <x:v>359</x:v>
      </x:c>
      <x:c r="N830" s="43" t="str">
        <x:v>https://www.hampsteadhillschool.co.uk</x:v>
      </x:c>
      <x:c r="O830" s="43" t="str">
        <x:v>02074356262</x:v>
      </x:c>
      <x:c r="P830" s="43" t="str"/>
      <x:c r="Q830" s="43" t="str"/>
      <x:c r="R830" s="43" t="str">
        <x:v>Queued for contact research</x:v>
      </x:c>
      <x:c r="S830" s="43" t="str">
        <x:v>Not reviewed</x:v>
      </x:c>
      <x:c r="T830" s="43" t="str">
        <x:v>Hold</x:v>
      </x:c>
      <x:c r="U830" s="43" t="str">
        <x:v>No</x:v>
      </x:c>
      <x:c r="V830" s="44"/>
      <x:c r="W830" s="43" t="str"/>
      <x:c r="X830" s="43" t="str"/>
      <x:c r="Y830" s="43" t="str"/>
      <x:c r="Z830" s="43" t="str">
        <x:v>https://www.get-information-schools.service.gov.uk/Downloads</x:v>
      </x:c>
    </x:row>
    <x:row r="831">
      <x:c r="A831" s="43" t="str">
        <x:v>UK independent</x:v>
      </x:c>
      <x:c r="B831" s="43" t="str">
        <x:v>102456</x:v>
      </x:c>
      <x:c r="C831" s="43" t="n">
        <x:f>IF(K831="Boarding school",30,0)+IF(J831&gt;=18,20,0)+IF(I831&lt;=11,10,0)+IF(L831="Has a sixth form",15,0)+IF(M831&gt;=200,10,0)+IF(N831&lt;&gt;"",10,0)</x:f>
        <x:v>30</x:v>
      </x:c>
      <x:c r="D831" s="43" t="str">
        <x:f>IF(C831&gt;=85,"A",IF(C831&gt;=65,"B","C"))</x:f>
        <x:v>C</x:v>
      </x:c>
      <x:c r="E831" s="43" t="str">
        <x:v>St Helen's College</x:v>
      </x:c>
      <x:c r="F831" s="43" t="str">
        <x:v>Uxbridge</x:v>
      </x:c>
      <x:c r="G831" s="43" t="str"/>
      <x:c r="H831" s="43" t="str">
        <x:v>UB10 9JX</x:v>
      </x:c>
      <x:c r="I831" s="43" t="n">
        <x:v>2</x:v>
      </x:c>
      <x:c r="J831" s="43" t="n">
        <x:v>11</x:v>
      </x:c>
      <x:c r="K831" s="43" t="str">
        <x:v>No boarders</x:v>
      </x:c>
      <x:c r="L831" s="43" t="str">
        <x:v>Does not have a sixth form</x:v>
      </x:c>
      <x:c r="M831" s="43" t="n">
        <x:v>353</x:v>
      </x:c>
      <x:c r="N831" s="43" t="str">
        <x:v>https://www.sthelenscollege.com</x:v>
      </x:c>
      <x:c r="O831" s="43" t="str">
        <x:v>01895234371</x:v>
      </x:c>
      <x:c r="P831" s="43" t="str"/>
      <x:c r="Q831" s="43" t="str"/>
      <x:c r="R831" s="43" t="str">
        <x:v>Queued for contact research</x:v>
      </x:c>
      <x:c r="S831" s="43" t="str">
        <x:v>Not reviewed</x:v>
      </x:c>
      <x:c r="T831" s="43" t="str">
        <x:v>Hold</x:v>
      </x:c>
      <x:c r="U831" s="43" t="str">
        <x:v>No</x:v>
      </x:c>
      <x:c r="V831" s="44"/>
      <x:c r="W831" s="43" t="str"/>
      <x:c r="X831" s="43" t="str"/>
      <x:c r="Y831" s="43" t="str"/>
      <x:c r="Z831" s="43" t="str">
        <x:v>https://www.get-information-schools.service.gov.uk/Downloads</x:v>
      </x:c>
    </x:row>
    <x:row r="832">
      <x:c r="A832" s="43" t="str">
        <x:v>UK independent</x:v>
      </x:c>
      <x:c r="B832" s="43" t="str">
        <x:v>101076</x:v>
      </x:c>
      <x:c r="C832" s="43" t="n">
        <x:f>IF(K832="Boarding school",30,0)+IF(J832&gt;=18,20,0)+IF(I832&lt;=11,10,0)+IF(L832="Has a sixth form",15,0)+IF(M832&gt;=200,10,0)+IF(N832&lt;&gt;"",10,0)</x:f>
        <x:v>30</x:v>
      </x:c>
      <x:c r="D832" s="43" t="str">
        <x:f>IF(C832&gt;=85,"A",IF(C832&gt;=65,"B","C"))</x:f>
        <x:v>C</x:v>
      </x:c>
      <x:c r="E832" s="43" t="str">
        <x:v>Finton House School</x:v>
      </x:c>
      <x:c r="F832" s="43" t="str"/>
      <x:c r="G832" s="43" t="str"/>
      <x:c r="H832" s="43" t="str">
        <x:v>SW17 7HL</x:v>
      </x:c>
      <x:c r="I832" s="43" t="n">
        <x:v>4</x:v>
      </x:c>
      <x:c r="J832" s="43" t="n">
        <x:v>11</x:v>
      </x:c>
      <x:c r="K832" s="43" t="str">
        <x:v>No boarders</x:v>
      </x:c>
      <x:c r="L832" s="43" t="str">
        <x:v>Does not have a sixth form</x:v>
      </x:c>
      <x:c r="M832" s="43" t="n">
        <x:v>350</x:v>
      </x:c>
      <x:c r="N832" s="43" t="str">
        <x:v>https://www.fintonhouse.org.uk</x:v>
      </x:c>
      <x:c r="O832" s="43" t="str">
        <x:v>02086820921</x:v>
      </x:c>
      <x:c r="P832" s="43" t="str"/>
      <x:c r="Q832" s="43" t="str"/>
      <x:c r="R832" s="43" t="str">
        <x:v>Queued for contact research</x:v>
      </x:c>
      <x:c r="S832" s="43" t="str">
        <x:v>Not reviewed</x:v>
      </x:c>
      <x:c r="T832" s="43" t="str">
        <x:v>Hold</x:v>
      </x:c>
      <x:c r="U832" s="43" t="str">
        <x:v>No</x:v>
      </x:c>
      <x:c r="V832" s="44"/>
      <x:c r="W832" s="43" t="str"/>
      <x:c r="X832" s="43" t="str"/>
      <x:c r="Y832" s="43" t="str"/>
      <x:c r="Z832" s="43" t="str">
        <x:v>https://www.get-information-schools.service.gov.uk/Downloads</x:v>
      </x:c>
    </x:row>
    <x:row r="833">
      <x:c r="A833" s="43" t="str">
        <x:v>UK independent</x:v>
      </x:c>
      <x:c r="B833" s="43" t="str">
        <x:v>120335</x:v>
      </x:c>
      <x:c r="C833" s="43" t="n">
        <x:f>IF(K833="Boarding school",30,0)+IF(J833&gt;=18,20,0)+IF(I833&lt;=11,10,0)+IF(L833="Has a sixth form",15,0)+IF(M833&gt;=200,10,0)+IF(N833&lt;&gt;"",10,0)</x:f>
        <x:v>30</x:v>
      </x:c>
      <x:c r="D833" s="43" t="str">
        <x:f>IF(C833&gt;=85,"A",IF(C833&gt;=65,"B","C"))</x:f>
        <x:v>C</x:v>
      </x:c>
      <x:c r="E833" s="43" t="str">
        <x:v>Leicester Islamic Academy</x:v>
      </x:c>
      <x:c r="F833" s="43" t="str">
        <x:v>Leicester</x:v>
      </x:c>
      <x:c r="G833" s="43" t="str">
        <x:v>Leicestershire</x:v>
      </x:c>
      <x:c r="H833" s="43" t="str">
        <x:v>LE2 2PJ</x:v>
      </x:c>
      <x:c r="I833" s="43" t="n">
        <x:v>3</x:v>
      </x:c>
      <x:c r="J833" s="43" t="n">
        <x:v>11</x:v>
      </x:c>
      <x:c r="K833" s="43" t="str">
        <x:v>No boarders</x:v>
      </x:c>
      <x:c r="L833" s="43" t="str">
        <x:v>Does not have a sixth form</x:v>
      </x:c>
      <x:c r="M833" s="43" t="n">
        <x:v>349</x:v>
      </x:c>
      <x:c r="N833" s="43" t="str">
        <x:v>https://www.lia.uk.net</x:v>
      </x:c>
      <x:c r="O833" s="43" t="str">
        <x:v>01162705343</x:v>
      </x:c>
      <x:c r="P833" s="43" t="str"/>
      <x:c r="Q833" s="43" t="str"/>
      <x:c r="R833" s="43" t="str">
        <x:v>Queued for contact research</x:v>
      </x:c>
      <x:c r="S833" s="43" t="str">
        <x:v>Not reviewed</x:v>
      </x:c>
      <x:c r="T833" s="43" t="str">
        <x:v>Hold</x:v>
      </x:c>
      <x:c r="U833" s="43" t="str">
        <x:v>No</x:v>
      </x:c>
      <x:c r="V833" s="44"/>
      <x:c r="W833" s="43" t="str"/>
      <x:c r="X833" s="43" t="str"/>
      <x:c r="Y833" s="43" t="str"/>
      <x:c r="Z833" s="43" t="str">
        <x:v>https://www.get-information-schools.service.gov.uk/Downloads</x:v>
      </x:c>
    </x:row>
    <x:row r="834">
      <x:c r="A834" s="43" t="str">
        <x:v>UK independent</x:v>
      </x:c>
      <x:c r="B834" s="43" t="str">
        <x:v>116516</x:v>
      </x:c>
      <x:c r="C834" s="43" t="n">
        <x:f>IF(K834="Boarding school",30,0)+IF(J834&gt;=18,20,0)+IF(I834&lt;=11,10,0)+IF(L834="Has a sixth form",15,0)+IF(M834&gt;=200,10,0)+IF(N834&lt;&gt;"",10,0)</x:f>
        <x:v>30</x:v>
      </x:c>
      <x:c r="D834" s="43" t="str">
        <x:f>IF(C834&gt;=85,"A",IF(C834&gt;=65,"B","C"))</x:f>
        <x:v>C</x:v>
      </x:c>
      <x:c r="E834" s="43" t="str">
        <x:v>St Neot's School</x:v>
      </x:c>
      <x:c r="F834" s="43" t="str">
        <x:v>Hook</x:v>
      </x:c>
      <x:c r="G834" s="43" t="str">
        <x:v>Hampshire</x:v>
      </x:c>
      <x:c r="H834" s="43" t="str">
        <x:v>RG27 0PN</x:v>
      </x:c>
      <x:c r="I834" s="43" t="n">
        <x:v>2</x:v>
      </x:c>
      <x:c r="J834" s="43" t="n">
        <x:v>13</x:v>
      </x:c>
      <x:c r="K834" s="43" t="str">
        <x:v>No boarders</x:v>
      </x:c>
      <x:c r="L834" s="43" t="str">
        <x:v>Does not have a sixth form</x:v>
      </x:c>
      <x:c r="M834" s="43" t="n">
        <x:v>348</x:v>
      </x:c>
      <x:c r="N834" s="43" t="str">
        <x:v>https://www.stneotsprep.co.uk</x:v>
      </x:c>
      <x:c r="O834" s="43" t="str">
        <x:v>01189732118</x:v>
      </x:c>
      <x:c r="P834" s="43" t="str"/>
      <x:c r="Q834" s="43" t="str"/>
      <x:c r="R834" s="43" t="str">
        <x:v>Queued for contact research</x:v>
      </x:c>
      <x:c r="S834" s="43" t="str">
        <x:v>Not reviewed</x:v>
      </x:c>
      <x:c r="T834" s="43" t="str">
        <x:v>Hold</x:v>
      </x:c>
      <x:c r="U834" s="43" t="str">
        <x:v>No</x:v>
      </x:c>
      <x:c r="V834" s="44"/>
      <x:c r="W834" s="43" t="str"/>
      <x:c r="X834" s="43" t="str"/>
      <x:c r="Y834" s="43" t="str"/>
      <x:c r="Z834" s="43" t="str">
        <x:v>https://www.get-information-schools.service.gov.uk/Downloads</x:v>
      </x:c>
    </x:row>
    <x:row r="835">
      <x:c r="A835" s="43" t="str">
        <x:v>UK independent</x:v>
      </x:c>
      <x:c r="B835" s="43" t="str">
        <x:v>111767</x:v>
      </x:c>
      <x:c r="C835" s="43" t="n">
        <x:f>IF(K835="Boarding school",30,0)+IF(J835&gt;=18,20,0)+IF(I835&lt;=11,10,0)+IF(L835="Has a sixth form",15,0)+IF(M835&gt;=200,10,0)+IF(N835&lt;&gt;"",10,0)</x:f>
        <x:v>30</x:v>
      </x:c>
      <x:c r="D835" s="43" t="str">
        <x:f>IF(C835&gt;=85,"A",IF(C835&gt;=65,"B","C"))</x:f>
        <x:v>C</x:v>
      </x:c>
      <x:c r="E835" s="43" t="str">
        <x:v>Red House School</x:v>
      </x:c>
      <x:c r="F835" s="43" t="str">
        <x:v>Stockton-on-Tees</x:v>
      </x:c>
      <x:c r="G835" s="43" t="str"/>
      <x:c r="H835" s="43" t="str">
        <x:v>TS20 1DX</x:v>
      </x:c>
      <x:c r="I835" s="43" t="n">
        <x:v>3</x:v>
      </x:c>
      <x:c r="J835" s="43" t="n">
        <x:v>17</x:v>
      </x:c>
      <x:c r="K835" s="43" t="str">
        <x:v>No boarders</x:v>
      </x:c>
      <x:c r="L835" s="43" t="str">
        <x:v>Does not have a sixth form</x:v>
      </x:c>
      <x:c r="M835" s="43" t="n">
        <x:v>345</x:v>
      </x:c>
      <x:c r="N835" s="43" t="str">
        <x:v>https://www.redhouseschool.co.uk</x:v>
      </x:c>
      <x:c r="O835" s="43" t="str">
        <x:v>01642553370</x:v>
      </x:c>
      <x:c r="P835" s="43" t="str"/>
      <x:c r="Q835" s="43" t="str"/>
      <x:c r="R835" s="43" t="str">
        <x:v>Queued for contact research</x:v>
      </x:c>
      <x:c r="S835" s="43" t="str">
        <x:v>Not reviewed</x:v>
      </x:c>
      <x:c r="T835" s="43" t="str">
        <x:v>Hold</x:v>
      </x:c>
      <x:c r="U835" s="43" t="str">
        <x:v>No</x:v>
      </x:c>
      <x:c r="V835" s="44"/>
      <x:c r="W835" s="43" t="str"/>
      <x:c r="X835" s="43" t="str"/>
      <x:c r="Y835" s="43" t="str"/>
      <x:c r="Z835" s="43" t="str">
        <x:v>https://www.get-information-schools.service.gov.uk/Downloads</x:v>
      </x:c>
    </x:row>
    <x:row r="836">
      <x:c r="A836" s="43" t="str">
        <x:v>UK independent</x:v>
      </x:c>
      <x:c r="B836" s="43" t="str">
        <x:v>134664</x:v>
      </x:c>
      <x:c r="C836" s="43" t="n">
        <x:f>IF(K836="Boarding school",30,0)+IF(J836&gt;=18,20,0)+IF(I836&lt;=11,10,0)+IF(L836="Has a sixth form",15,0)+IF(M836&gt;=200,10,0)+IF(N836&lt;&gt;"",10,0)</x:f>
        <x:v>30</x:v>
      </x:c>
      <x:c r="D836" s="43" t="str">
        <x:f>IF(C836&gt;=85,"A",IF(C836&gt;=65,"B","C"))</x:f>
        <x:v>C</x:v>
      </x:c>
      <x:c r="E836" s="43" t="str">
        <x:v>Notting Hill Prep School</x:v>
      </x:c>
      <x:c r="F836" s="43" t="str">
        <x:v>London</x:v>
      </x:c>
      <x:c r="G836" s="43" t="str"/>
      <x:c r="H836" s="43" t="str">
        <x:v>W11 1QQ</x:v>
      </x:c>
      <x:c r="I836" s="43" t="n">
        <x:v>4</x:v>
      </x:c>
      <x:c r="J836" s="43" t="n">
        <x:v>14</x:v>
      </x:c>
      <x:c r="K836" s="43" t="str">
        <x:v>No boarders</x:v>
      </x:c>
      <x:c r="L836" s="43" t="str">
        <x:v>Does not have a sixth form</x:v>
      </x:c>
      <x:c r="M836" s="43" t="n">
        <x:v>344</x:v>
      </x:c>
      <x:c r="N836" s="43" t="str">
        <x:v>https://www.nottinghillprep.com</x:v>
      </x:c>
      <x:c r="O836" s="43" t="str">
        <x:v>02072210727</x:v>
      </x:c>
      <x:c r="P836" s="43" t="str"/>
      <x:c r="Q836" s="43" t="str"/>
      <x:c r="R836" s="43" t="str">
        <x:v>Queued for contact research</x:v>
      </x:c>
      <x:c r="S836" s="43" t="str">
        <x:v>Not reviewed</x:v>
      </x:c>
      <x:c r="T836" s="43" t="str">
        <x:v>Hold</x:v>
      </x:c>
      <x:c r="U836" s="43" t="str">
        <x:v>No</x:v>
      </x:c>
      <x:c r="V836" s="44"/>
      <x:c r="W836" s="43" t="str"/>
      <x:c r="X836" s="43" t="str"/>
      <x:c r="Y836" s="43" t="str"/>
      <x:c r="Z836" s="43" t="str">
        <x:v>https://www.get-information-schools.service.gov.uk/Downloads</x:v>
      </x:c>
    </x:row>
    <x:row r="837">
      <x:c r="A837" s="43" t="str">
        <x:v>UK independent</x:v>
      </x:c>
      <x:c r="B837" s="43" t="str">
        <x:v>100198</x:v>
      </x:c>
      <x:c r="C837" s="43" t="n">
        <x:f>IF(K837="Boarding school",30,0)+IF(J837&gt;=18,20,0)+IF(I837&lt;=11,10,0)+IF(L837="Has a sixth form",15,0)+IF(M837&gt;=200,10,0)+IF(N837&lt;&gt;"",10,0)</x:f>
        <x:v>30</x:v>
      </x:c>
      <x:c r="D837" s="43" t="str">
        <x:f>IF(C837&gt;=85,"A",IF(C837&gt;=65,"B","C"))</x:f>
        <x:v>C</x:v>
      </x:c>
      <x:c r="E837" s="43" t="str">
        <x:v>The Pointer School</x:v>
      </x:c>
      <x:c r="F837" s="43" t="str">
        <x:v>London</x:v>
      </x:c>
      <x:c r="G837" s="43" t="str"/>
      <x:c r="H837" s="43" t="str">
        <x:v>SE3 7TH</x:v>
      </x:c>
      <x:c r="I837" s="43" t="n">
        <x:v>3</x:v>
      </x:c>
      <x:c r="J837" s="43" t="n">
        <x:v>11</x:v>
      </x:c>
      <x:c r="K837" s="43" t="str">
        <x:v>No boarders</x:v>
      </x:c>
      <x:c r="L837" s="43" t="str">
        <x:v>Does not have a sixth form</x:v>
      </x:c>
      <x:c r="M837" s="43" t="n">
        <x:v>344</x:v>
      </x:c>
      <x:c r="N837" s="43" t="str">
        <x:v>http://pointers.school</x:v>
      </x:c>
      <x:c r="O837" s="43" t="str">
        <x:v>02082931331</x:v>
      </x:c>
      <x:c r="P837" s="43" t="str"/>
      <x:c r="Q837" s="43" t="str"/>
      <x:c r="R837" s="43" t="str">
        <x:v>Queued for contact research</x:v>
      </x:c>
      <x:c r="S837" s="43" t="str">
        <x:v>Not reviewed</x:v>
      </x:c>
      <x:c r="T837" s="43" t="str">
        <x:v>Hold</x:v>
      </x:c>
      <x:c r="U837" s="43" t="str">
        <x:v>No</x:v>
      </x:c>
      <x:c r="V837" s="44"/>
      <x:c r="W837" s="43" t="str"/>
      <x:c r="X837" s="43" t="str"/>
      <x:c r="Y837" s="43" t="str"/>
      <x:c r="Z837" s="43" t="str">
        <x:v>https://www.get-information-schools.service.gov.uk/Downloads</x:v>
      </x:c>
    </x:row>
    <x:row r="838">
      <x:c r="A838" s="43" t="str">
        <x:v>UK independent</x:v>
      </x:c>
      <x:c r="B838" s="43" t="str">
        <x:v>113923</x:v>
      </x:c>
      <x:c r="C838" s="43" t="n">
        <x:f>IF(K838="Boarding school",30,0)+IF(J838&gt;=18,20,0)+IF(I838&lt;=11,10,0)+IF(L838="Has a sixth form",15,0)+IF(M838&gt;=200,10,0)+IF(N838&lt;&gt;"",10,0)</x:f>
        <x:v>30</x:v>
      </x:c>
      <x:c r="D838" s="43" t="str">
        <x:f>IF(C838&gt;=85,"A",IF(C838&gt;=65,"B","C"))</x:f>
        <x:v>C</x:v>
      </x:c>
      <x:c r="E838" s="43" t="str">
        <x:v>Dumpton School</x:v>
      </x:c>
      <x:c r="F838" s="43" t="str">
        <x:v>Wimborne</x:v>
      </x:c>
      <x:c r="G838" s="43" t="str">
        <x:v>Dorset</x:v>
      </x:c>
      <x:c r="H838" s="43" t="str">
        <x:v>BH21 7AF</x:v>
      </x:c>
      <x:c r="I838" s="43" t="n">
        <x:v>2</x:v>
      </x:c>
      <x:c r="J838" s="43" t="n">
        <x:v>13</x:v>
      </x:c>
      <x:c r="K838" s="43" t="str">
        <x:v>No boarders</x:v>
      </x:c>
      <x:c r="L838" s="43" t="str">
        <x:v>Does not have a sixth form</x:v>
      </x:c>
      <x:c r="M838" s="43" t="n">
        <x:v>338</x:v>
      </x:c>
      <x:c r="N838" s="43" t="str">
        <x:v>http://www.dumpton.com</x:v>
      </x:c>
      <x:c r="O838" s="43" t="str">
        <x:v>01202883818</x:v>
      </x:c>
      <x:c r="P838" s="43" t="str"/>
      <x:c r="Q838" s="43" t="str"/>
      <x:c r="R838" s="43" t="str">
        <x:v>Queued for contact research</x:v>
      </x:c>
      <x:c r="S838" s="43" t="str">
        <x:v>Not reviewed</x:v>
      </x:c>
      <x:c r="T838" s="43" t="str">
        <x:v>Hold</x:v>
      </x:c>
      <x:c r="U838" s="43" t="str">
        <x:v>No</x:v>
      </x:c>
      <x:c r="V838" s="44"/>
      <x:c r="W838" s="43" t="str"/>
      <x:c r="X838" s="43" t="str"/>
      <x:c r="Y838" s="43" t="str"/>
      <x:c r="Z838" s="43" t="str">
        <x:v>https://www.get-information-schools.service.gov.uk/Downloads</x:v>
      </x:c>
    </x:row>
    <x:row r="839">
      <x:c r="A839" s="43" t="str">
        <x:v>UK independent</x:v>
      </x:c>
      <x:c r="B839" s="43" t="str">
        <x:v>102454</x:v>
      </x:c>
      <x:c r="C839" s="43" t="n">
        <x:f>IF(K839="Boarding school",30,0)+IF(J839&gt;=18,20,0)+IF(I839&lt;=11,10,0)+IF(L839="Has a sixth form",15,0)+IF(M839&gt;=200,10,0)+IF(N839&lt;&gt;"",10,0)</x:f>
        <x:v>30</x:v>
      </x:c>
      <x:c r="D839" s="43" t="str">
        <x:f>IF(C839&gt;=85,"A",IF(C839&gt;=65,"B","C"))</x:f>
        <x:v>C</x:v>
      </x:c>
      <x:c r="E839" s="43" t="str">
        <x:v>St Martin's School</x:v>
      </x:c>
      <x:c r="F839" s="43" t="str">
        <x:v>Northwood</x:v>
      </x:c>
      <x:c r="G839" s="43" t="str">
        <x:v>Middlesex</x:v>
      </x:c>
      <x:c r="H839" s="43" t="str">
        <x:v>HA6 2DJ</x:v>
      </x:c>
      <x:c r="I839" s="43" t="n">
        <x:v>3</x:v>
      </x:c>
      <x:c r="J839" s="43" t="n">
        <x:v>13</x:v>
      </x:c>
      <x:c r="K839" s="43" t="str">
        <x:v>No boarders</x:v>
      </x:c>
      <x:c r="L839" s="43" t="str">
        <x:v>Does not have a sixth form</x:v>
      </x:c>
      <x:c r="M839" s="43" t="n">
        <x:v>337</x:v>
      </x:c>
      <x:c r="N839" s="43" t="str">
        <x:v>https://www.stmartins.org.uk</x:v>
      </x:c>
      <x:c r="O839" s="43" t="str">
        <x:v>01923825740</x:v>
      </x:c>
      <x:c r="P839" s="43" t="str"/>
      <x:c r="Q839" s="43" t="str"/>
      <x:c r="R839" s="43" t="str">
        <x:v>Queued for contact research</x:v>
      </x:c>
      <x:c r="S839" s="43" t="str">
        <x:v>Not reviewed</x:v>
      </x:c>
      <x:c r="T839" s="43" t="str">
        <x:v>Hold</x:v>
      </x:c>
      <x:c r="U839" s="43" t="str">
        <x:v>No</x:v>
      </x:c>
      <x:c r="V839" s="44"/>
      <x:c r="W839" s="43" t="str"/>
      <x:c r="X839" s="43" t="str"/>
      <x:c r="Y839" s="43" t="str"/>
      <x:c r="Z839" s="43" t="str">
        <x:v>https://www.get-information-schools.service.gov.uk/Downloads</x:v>
      </x:c>
    </x:row>
    <x:row r="840">
      <x:c r="A840" s="43" t="str">
        <x:v>UK independent</x:v>
      </x:c>
      <x:c r="B840" s="43" t="str">
        <x:v>110541</x:v>
      </x:c>
      <x:c r="C840" s="43" t="n">
        <x:f>IF(K840="Boarding school",30,0)+IF(J840&gt;=18,20,0)+IF(I840&lt;=11,10,0)+IF(L840="Has a sixth form",15,0)+IF(M840&gt;=200,10,0)+IF(N840&lt;&gt;"",10,0)</x:f>
        <x:v>30</x:v>
      </x:c>
      <x:c r="D840" s="43" t="str">
        <x:f>IF(C840&gt;=85,"A",IF(C840&gt;=65,"B","C"))</x:f>
        <x:v>C</x:v>
      </x:c>
      <x:c r="E840" s="43" t="str">
        <x:v>Gayhurst School</x:v>
      </x:c>
      <x:c r="F840" s="43" t="str">
        <x:v>Gerrards Cross</x:v>
      </x:c>
      <x:c r="G840" s="43" t="str">
        <x:v>Buckinghamshire</x:v>
      </x:c>
      <x:c r="H840" s="43" t="str">
        <x:v>SL9 8RJ</x:v>
      </x:c>
      <x:c r="I840" s="43" t="n">
        <x:v>3</x:v>
      </x:c>
      <x:c r="J840" s="43" t="n">
        <x:v>11</x:v>
      </x:c>
      <x:c r="K840" s="43" t="str">
        <x:v>No boarders</x:v>
      </x:c>
      <x:c r="L840" s="43" t="str">
        <x:v>Does not have a sixth form</x:v>
      </x:c>
      <x:c r="M840" s="43" t="n">
        <x:v>334</x:v>
      </x:c>
      <x:c r="N840" s="43" t="str">
        <x:v>https://www.gayhurstschool.co.uk</x:v>
      </x:c>
      <x:c r="O840" s="43" t="str">
        <x:v>01753882690</x:v>
      </x:c>
      <x:c r="P840" s="43" t="str"/>
      <x:c r="Q840" s="43" t="str"/>
      <x:c r="R840" s="43" t="str">
        <x:v>Queued for contact research</x:v>
      </x:c>
      <x:c r="S840" s="43" t="str">
        <x:v>Not reviewed</x:v>
      </x:c>
      <x:c r="T840" s="43" t="str">
        <x:v>Hold</x:v>
      </x:c>
      <x:c r="U840" s="43" t="str">
        <x:v>No</x:v>
      </x:c>
      <x:c r="V840" s="44"/>
      <x:c r="W840" s="43" t="str"/>
      <x:c r="X840" s="43" t="str"/>
      <x:c r="Y840" s="43" t="str"/>
      <x:c r="Z840" s="43" t="str">
        <x:v>https://www.get-information-schools.service.gov.uk/Downloads</x:v>
      </x:c>
    </x:row>
    <x:row r="841">
      <x:c r="A841" s="43" t="str">
        <x:v>UK independent</x:v>
      </x:c>
      <x:c r="B841" s="43" t="str">
        <x:v>102547</x:v>
      </x:c>
      <x:c r="C841" s="43" t="n">
        <x:f>IF(K841="Boarding school",30,0)+IF(J841&gt;=18,20,0)+IF(I841&lt;=11,10,0)+IF(L841="Has a sixth form",15,0)+IF(M841&gt;=200,10,0)+IF(N841&lt;&gt;"",10,0)</x:f>
        <x:v>30</x:v>
      </x:c>
      <x:c r="D841" s="43" t="str">
        <x:f>IF(C841&gt;=85,"A",IF(C841&gt;=65,"B","C"))</x:f>
        <x:v>C</x:v>
      </x:c>
      <x:c r="E841" s="43" t="str">
        <x:v>Orchard House School</x:v>
      </x:c>
      <x:c r="F841" s="43" t="str">
        <x:v>London</x:v>
      </x:c>
      <x:c r="G841" s="43" t="str"/>
      <x:c r="H841" s="43" t="str">
        <x:v>W4 1LB</x:v>
      </x:c>
      <x:c r="I841" s="43" t="n">
        <x:v>3</x:v>
      </x:c>
      <x:c r="J841" s="43" t="n">
        <x:v>11</x:v>
      </x:c>
      <x:c r="K841" s="43" t="str">
        <x:v>No boarders</x:v>
      </x:c>
      <x:c r="L841" s="43" t="str">
        <x:v>Does not have a sixth form</x:v>
      </x:c>
      <x:c r="M841" s="43" t="n">
        <x:v>331</x:v>
      </x:c>
      <x:c r="N841" s="43" t="str">
        <x:v>https://www.orchardhs.org.uk</x:v>
      </x:c>
      <x:c r="O841" s="43" t="str">
        <x:v>02087428544</x:v>
      </x:c>
      <x:c r="P841" s="43" t="str"/>
      <x:c r="Q841" s="43" t="str"/>
      <x:c r="R841" s="43" t="str">
        <x:v>Queued for contact research</x:v>
      </x:c>
      <x:c r="S841" s="43" t="str">
        <x:v>Not reviewed</x:v>
      </x:c>
      <x:c r="T841" s="43" t="str">
        <x:v>Hold</x:v>
      </x:c>
      <x:c r="U841" s="43" t="str">
        <x:v>No</x:v>
      </x:c>
      <x:c r="V841" s="44"/>
      <x:c r="W841" s="43" t="str"/>
      <x:c r="X841" s="43" t="str"/>
      <x:c r="Y841" s="43" t="str"/>
      <x:c r="Z841" s="43" t="str">
        <x:v>https://www.get-information-schools.service.gov.uk/Downloads</x:v>
      </x:c>
    </x:row>
    <x:row r="842">
      <x:c r="A842" s="43" t="str">
        <x:v>UK independent</x:v>
      </x:c>
      <x:c r="B842" s="43" t="str">
        <x:v>126112</x:v>
      </x:c>
      <x:c r="C842" s="43" t="n">
        <x:f>IF(K842="Boarding school",30,0)+IF(J842&gt;=18,20,0)+IF(I842&lt;=11,10,0)+IF(L842="Has a sixth form",15,0)+IF(M842&gt;=200,10,0)+IF(N842&lt;&gt;"",10,0)</x:f>
        <x:v>30</x:v>
      </x:c>
      <x:c r="D842" s="43" t="str">
        <x:f>IF(C842&gt;=85,"A",IF(C842&gt;=65,"B","C"))</x:f>
        <x:v>C</x:v>
      </x:c>
      <x:c r="E842" s="43" t="str">
        <x:v>Shoreham College</x:v>
      </x:c>
      <x:c r="F842" s="43" t="str"/>
      <x:c r="G842" s="43" t="str"/>
      <x:c r="H842" s="43" t="str">
        <x:v>BN43 6YW</x:v>
      </x:c>
      <x:c r="I842" s="43" t="n">
        <x:v>2</x:v>
      </x:c>
      <x:c r="J842" s="43" t="n">
        <x:v>16</x:v>
      </x:c>
      <x:c r="K842" s="43" t="str">
        <x:v>No boarders</x:v>
      </x:c>
      <x:c r="L842" s="43" t="str">
        <x:v>Does not have a sixth form</x:v>
      </x:c>
      <x:c r="M842" s="43" t="n">
        <x:v>331</x:v>
      </x:c>
      <x:c r="N842" s="43" t="str">
        <x:v>https://www.shorehamcollege.co.uk</x:v>
      </x:c>
      <x:c r="O842" s="43" t="str">
        <x:v>01273592681</x:v>
      </x:c>
      <x:c r="P842" s="43" t="str"/>
      <x:c r="Q842" s="43" t="str"/>
      <x:c r="R842" s="43" t="str">
        <x:v>Queued for contact research</x:v>
      </x:c>
      <x:c r="S842" s="43" t="str">
        <x:v>Not reviewed</x:v>
      </x:c>
      <x:c r="T842" s="43" t="str">
        <x:v>Hold</x:v>
      </x:c>
      <x:c r="U842" s="43" t="str">
        <x:v>No</x:v>
      </x:c>
      <x:c r="V842" s="44"/>
      <x:c r="W842" s="43" t="str"/>
      <x:c r="X842" s="43" t="str"/>
      <x:c r="Y842" s="43" t="str"/>
      <x:c r="Z842" s="43" t="str">
        <x:v>https://www.get-information-schools.service.gov.uk/Downloads</x:v>
      </x:c>
    </x:row>
    <x:row r="843">
      <x:c r="A843" s="43" t="str">
        <x:v>UK independent</x:v>
      </x:c>
      <x:c r="B843" s="43" t="str">
        <x:v>117636</x:v>
      </x:c>
      <x:c r="C843" s="43" t="n">
        <x:f>IF(K843="Boarding school",30,0)+IF(J843&gt;=18,20,0)+IF(I843&lt;=11,10,0)+IF(L843="Has a sixth form",15,0)+IF(M843&gt;=200,10,0)+IF(N843&lt;&gt;"",10,0)</x:f>
        <x:v>30</x:v>
      </x:c>
      <x:c r="D843" s="43" t="str">
        <x:f>IF(C843&gt;=85,"A",IF(C843&gt;=65,"B","C"))</x:f>
        <x:v>C</x:v>
      </x:c>
      <x:c r="E843" s="43" t="str">
        <x:v>York House School</x:v>
      </x:c>
      <x:c r="F843" s="43" t="str"/>
      <x:c r="G843" s="43" t="str"/>
      <x:c r="H843" s="43" t="str">
        <x:v>WD3 4LW</x:v>
      </x:c>
      <x:c r="I843" s="43" t="n">
        <x:v>3</x:v>
      </x:c>
      <x:c r="J843" s="43" t="n">
        <x:v>11</x:v>
      </x:c>
      <x:c r="K843" s="43" t="str">
        <x:v>No boarders</x:v>
      </x:c>
      <x:c r="L843" s="43" t="str">
        <x:v>Does not have a sixth form</x:v>
      </x:c>
      <x:c r="M843" s="43" t="n">
        <x:v>331</x:v>
      </x:c>
      <x:c r="N843" s="43" t="str">
        <x:v>https://www.york-house.com</x:v>
      </x:c>
      <x:c r="O843" s="43" t="str">
        <x:v>01923772395</x:v>
      </x:c>
      <x:c r="P843" s="43" t="str"/>
      <x:c r="Q843" s="43" t="str"/>
      <x:c r="R843" s="43" t="str">
        <x:v>Queued for contact research</x:v>
      </x:c>
      <x:c r="S843" s="43" t="str">
        <x:v>Not reviewed</x:v>
      </x:c>
      <x:c r="T843" s="43" t="str">
        <x:v>Hold</x:v>
      </x:c>
      <x:c r="U843" s="43" t="str">
        <x:v>No</x:v>
      </x:c>
      <x:c r="V843" s="44"/>
      <x:c r="W843" s="43" t="str"/>
      <x:c r="X843" s="43" t="str"/>
      <x:c r="Y843" s="43" t="str"/>
      <x:c r="Z843" s="43" t="str">
        <x:v>https://www.get-information-schools.service.gov.uk/Downloads</x:v>
      </x:c>
    </x:row>
    <x:row r="844">
      <x:c r="A844" s="43" t="str">
        <x:v>UK independent</x:v>
      </x:c>
      <x:c r="B844" s="43" t="str">
        <x:v>117651</x:v>
      </x:c>
      <x:c r="C844" s="43" t="n">
        <x:f>IF(K844="Boarding school",30,0)+IF(J844&gt;=18,20,0)+IF(I844&lt;=11,10,0)+IF(L844="Has a sixth form",15,0)+IF(M844&gt;=200,10,0)+IF(N844&lt;&gt;"",10,0)</x:f>
        <x:v>30</x:v>
      </x:c>
      <x:c r="D844" s="43" t="str">
        <x:f>IF(C844&gt;=85,"A",IF(C844&gt;=65,"B","C"))</x:f>
        <x:v>C</x:v>
      </x:c>
      <x:c r="E844" s="43" t="str">
        <x:v>Merchant Taylors' Prep School</x:v>
      </x:c>
      <x:c r="F844" s="43" t="str">
        <x:v>Rickmansworth</x:v>
      </x:c>
      <x:c r="G844" s="43" t="str">
        <x:v>Hertfordshire</x:v>
      </x:c>
      <x:c r="H844" s="43" t="str">
        <x:v>WD3 1LW</x:v>
      </x:c>
      <x:c r="I844" s="43" t="n">
        <x:v>3</x:v>
      </x:c>
      <x:c r="J844" s="43" t="n">
        <x:v>11</x:v>
      </x:c>
      <x:c r="K844" s="43" t="str">
        <x:v>No boarders</x:v>
      </x:c>
      <x:c r="L844" s="43" t="str">
        <x:v>Does not have a sixth form</x:v>
      </x:c>
      <x:c r="M844" s="43" t="n">
        <x:v>330</x:v>
      </x:c>
      <x:c r="N844" s="43" t="str">
        <x:v>https://www.mtpn.org.uk</x:v>
      </x:c>
      <x:c r="O844" s="43" t="str">
        <x:v>01923825648</x:v>
      </x:c>
      <x:c r="P844" s="43" t="str"/>
      <x:c r="Q844" s="43" t="str"/>
      <x:c r="R844" s="43" t="str">
        <x:v>Queued for contact research</x:v>
      </x:c>
      <x:c r="S844" s="43" t="str">
        <x:v>Not reviewed</x:v>
      </x:c>
      <x:c r="T844" s="43" t="str">
        <x:v>Hold</x:v>
      </x:c>
      <x:c r="U844" s="43" t="str">
        <x:v>No</x:v>
      </x:c>
      <x:c r="V844" s="44"/>
      <x:c r="W844" s="43" t="str"/>
      <x:c r="X844" s="43" t="str"/>
      <x:c r="Y844" s="43" t="str"/>
      <x:c r="Z844" s="43" t="str">
        <x:v>https://www.get-information-schools.service.gov.uk/Downloads</x:v>
      </x:c>
    </x:row>
    <x:row r="845">
      <x:c r="A845" s="43" t="str">
        <x:v>UK independent</x:v>
      </x:c>
      <x:c r="B845" s="43" t="str">
        <x:v>100543</x:v>
      </x:c>
      <x:c r="C845" s="43" t="n">
        <x:f>IF(K845="Boarding school",30,0)+IF(J845&gt;=18,20,0)+IF(I845&lt;=11,10,0)+IF(L845="Has a sixth form",15,0)+IF(M845&gt;=200,10,0)+IF(N845&lt;&gt;"",10,0)</x:f>
        <x:v>30</x:v>
      </x:c>
      <x:c r="D845" s="43" t="str">
        <x:f>IF(C845&gt;=85,"A",IF(C845&gt;=65,"B","C"))</x:f>
        <x:v>C</x:v>
      </x:c>
      <x:c r="E845" s="43" t="str">
        <x:v>Brighton College Prep Kensington</x:v>
      </x:c>
      <x:c r="F845" s="43" t="str"/>
      <x:c r="G845" s="43" t="str"/>
      <x:c r="H845" s="43" t="str">
        <x:v>SW7 1ND</x:v>
      </x:c>
      <x:c r="I845" s="43" t="n">
        <x:v>2</x:v>
      </x:c>
      <x:c r="J845" s="43" t="n">
        <x:v>13</x:v>
      </x:c>
      <x:c r="K845" s="43" t="str">
        <x:v>No boarders</x:v>
      </x:c>
      <x:c r="L845" s="43" t="str">
        <x:v>Does not have a sixth form</x:v>
      </x:c>
      <x:c r="M845" s="43" t="n">
        <x:v>329</x:v>
      </x:c>
      <x:c r="N845" s="43" t="str">
        <x:v>https://www.brightoncollegeprepkensington.co.uk</x:v>
      </x:c>
      <x:c r="O845" s="43" t="str">
        <x:v>02075914620</x:v>
      </x:c>
      <x:c r="P845" s="43" t="str"/>
      <x:c r="Q845" s="43" t="str"/>
      <x:c r="R845" s="43" t="str">
        <x:v>Queued for contact research</x:v>
      </x:c>
      <x:c r="S845" s="43" t="str">
        <x:v>Not reviewed</x:v>
      </x:c>
      <x:c r="T845" s="43" t="str">
        <x:v>Hold</x:v>
      </x:c>
      <x:c r="U845" s="43" t="str">
        <x:v>No</x:v>
      </x:c>
      <x:c r="V845" s="44"/>
      <x:c r="W845" s="43" t="str"/>
      <x:c r="X845" s="43" t="str"/>
      <x:c r="Y845" s="43" t="str"/>
      <x:c r="Z845" s="43" t="str">
        <x:v>https://www.get-information-schools.service.gov.uk/Downloads</x:v>
      </x:c>
    </x:row>
    <x:row r="846">
      <x:c r="A846" s="43" t="str">
        <x:v>UK independent</x:v>
      </x:c>
      <x:c r="B846" s="43" t="str">
        <x:v>118985</x:v>
      </x:c>
      <x:c r="C846" s="43" t="n">
        <x:f>IF(K846="Boarding school",30,0)+IF(J846&gt;=18,20,0)+IF(I846&lt;=11,10,0)+IF(L846="Has a sixth form",15,0)+IF(M846&gt;=200,10,0)+IF(N846&lt;&gt;"",10,0)</x:f>
        <x:v>30</x:v>
      </x:c>
      <x:c r="D846" s="43" t="str">
        <x:f>IF(C846&gt;=85,"A",IF(C846&gt;=65,"B","C"))</x:f>
        <x:v>C</x:v>
      </x:c>
      <x:c r="E846" s="43" t="str">
        <x:v>St Andrew's School (Rochester)</x:v>
      </x:c>
      <x:c r="F846" s="43" t="str">
        <x:v>Rochester</x:v>
      </x:c>
      <x:c r="G846" s="43" t="str">
        <x:v>Kent</x:v>
      </x:c>
      <x:c r="H846" s="43" t="str">
        <x:v>ME1 1SA</x:v>
      </x:c>
      <x:c r="I846" s="43" t="n">
        <x:v>2</x:v>
      </x:c>
      <x:c r="J846" s="43" t="n">
        <x:v>11</x:v>
      </x:c>
      <x:c r="K846" s="43" t="str">
        <x:v>No boarders</x:v>
      </x:c>
      <x:c r="L846" s="43" t="str">
        <x:v>Does not have a sixth form</x:v>
      </x:c>
      <x:c r="M846" s="43" t="n">
        <x:v>329</x:v>
      </x:c>
      <x:c r="N846" s="43" t="str">
        <x:v>https://www.st-andrews.rochester.sch.uk</x:v>
      </x:c>
      <x:c r="O846" s="43" t="str">
        <x:v>01634843479</x:v>
      </x:c>
      <x:c r="P846" s="43" t="str"/>
      <x:c r="Q846" s="43" t="str"/>
      <x:c r="R846" s="43" t="str">
        <x:v>Queued for contact research</x:v>
      </x:c>
      <x:c r="S846" s="43" t="str">
        <x:v>Not reviewed</x:v>
      </x:c>
      <x:c r="T846" s="43" t="str">
        <x:v>Hold</x:v>
      </x:c>
      <x:c r="U846" s="43" t="str">
        <x:v>No</x:v>
      </x:c>
      <x:c r="V846" s="44"/>
      <x:c r="W846" s="43" t="str"/>
      <x:c r="X846" s="43" t="str"/>
      <x:c r="Y846" s="43" t="str"/>
      <x:c r="Z846" s="43" t="str">
        <x:v>https://www.get-information-schools.service.gov.uk/Downloads</x:v>
      </x:c>
    </x:row>
    <x:row r="847">
      <x:c r="A847" s="43" t="str">
        <x:v>UK independent</x:v>
      </x:c>
      <x:c r="B847" s="43" t="str">
        <x:v>118944</x:v>
      </x:c>
      <x:c r="C847" s="43" t="n">
        <x:f>IF(K847="Boarding school",30,0)+IF(J847&gt;=18,20,0)+IF(I847&lt;=11,10,0)+IF(L847="Has a sixth form",15,0)+IF(M847&gt;=200,10,0)+IF(N847&lt;&gt;"",10,0)</x:f>
        <x:v>30</x:v>
      </x:c>
      <x:c r="D847" s="43" t="str">
        <x:f>IF(C847&gt;=85,"A",IF(C847&gt;=65,"B","C"))</x:f>
        <x:v>C</x:v>
      </x:c>
      <x:c r="E847" s="43" t="str">
        <x:v>Gad's Hill School</x:v>
      </x:c>
      <x:c r="F847" s="43" t="str">
        <x:v>Rochester</x:v>
      </x:c>
      <x:c r="G847" s="43" t="str">
        <x:v>Kent</x:v>
      </x:c>
      <x:c r="H847" s="43" t="str">
        <x:v>ME3 7PA</x:v>
      </x:c>
      <x:c r="I847" s="43" t="n">
        <x:v>3</x:v>
      </x:c>
      <x:c r="J847" s="43" t="n">
        <x:v>16</x:v>
      </x:c>
      <x:c r="K847" s="43" t="str">
        <x:v>No boarders</x:v>
      </x:c>
      <x:c r="L847" s="43" t="str">
        <x:v>Does not have a sixth form</x:v>
      </x:c>
      <x:c r="M847" s="43" t="n">
        <x:v>326</x:v>
      </x:c>
      <x:c r="N847" s="43" t="str">
        <x:v>https://www.gadshill.org</x:v>
      </x:c>
      <x:c r="O847" s="43" t="str">
        <x:v>01474822366</x:v>
      </x:c>
      <x:c r="P847" s="43" t="str"/>
      <x:c r="Q847" s="43" t="str"/>
      <x:c r="R847" s="43" t="str">
        <x:v>Queued for contact research</x:v>
      </x:c>
      <x:c r="S847" s="43" t="str">
        <x:v>Not reviewed</x:v>
      </x:c>
      <x:c r="T847" s="43" t="str">
        <x:v>Hold</x:v>
      </x:c>
      <x:c r="U847" s="43" t="str">
        <x:v>No</x:v>
      </x:c>
      <x:c r="V847" s="44"/>
      <x:c r="W847" s="43" t="str"/>
      <x:c r="X847" s="43" t="str"/>
      <x:c r="Y847" s="43" t="str"/>
      <x:c r="Z847" s="43" t="str">
        <x:v>https://www.get-information-schools.service.gov.uk/Downloads</x:v>
      </x:c>
    </x:row>
    <x:row r="848">
      <x:c r="A848" s="43" t="str">
        <x:v>UK independent</x:v>
      </x:c>
      <x:c r="B848" s="43" t="str">
        <x:v>100368</x:v>
      </x:c>
      <x:c r="C848" s="43" t="n">
        <x:f>IF(K848="Boarding school",30,0)+IF(J848&gt;=18,20,0)+IF(I848&lt;=11,10,0)+IF(L848="Has a sixth form",15,0)+IF(M848&gt;=200,10,0)+IF(N848&lt;&gt;"",10,0)</x:f>
        <x:v>30</x:v>
      </x:c>
      <x:c r="D848" s="43" t="str">
        <x:f>IF(C848&gt;=85,"A",IF(C848&gt;=65,"B","C"))</x:f>
        <x:v>C</x:v>
      </x:c>
      <x:c r="E848" s="43" t="str">
        <x:v>Bute House Preparatory School for Girls</x:v>
      </x:c>
      <x:c r="F848" s="43" t="str"/>
      <x:c r="G848" s="43" t="str"/>
      <x:c r="H848" s="43" t="str">
        <x:v>W6 7EA</x:v>
      </x:c>
      <x:c r="I848" s="43" t="n">
        <x:v>4</x:v>
      </x:c>
      <x:c r="J848" s="43" t="n">
        <x:v>11</x:v>
      </x:c>
      <x:c r="K848" s="43" t="str">
        <x:v>No boarders</x:v>
      </x:c>
      <x:c r="L848" s="43" t="str">
        <x:v>Does not have a sixth form</x:v>
      </x:c>
      <x:c r="M848" s="43" t="n">
        <x:v>325</x:v>
      </x:c>
      <x:c r="N848" s="43" t="str">
        <x:v>https://www.butehouse.co.uk/</x:v>
      </x:c>
      <x:c r="O848" s="43" t="str">
        <x:v>02076037381</x:v>
      </x:c>
      <x:c r="P848" s="43" t="str"/>
      <x:c r="Q848" s="43" t="str"/>
      <x:c r="R848" s="43" t="str">
        <x:v>Queued for contact research</x:v>
      </x:c>
      <x:c r="S848" s="43" t="str">
        <x:v>Not reviewed</x:v>
      </x:c>
      <x:c r="T848" s="43" t="str">
        <x:v>Hold</x:v>
      </x:c>
      <x:c r="U848" s="43" t="str">
        <x:v>No</x:v>
      </x:c>
      <x:c r="V848" s="44"/>
      <x:c r="W848" s="43" t="str"/>
      <x:c r="X848" s="43" t="str"/>
      <x:c r="Y848" s="43" t="str"/>
      <x:c r="Z848" s="43" t="str">
        <x:v>https://www.get-information-schools.service.gov.uk/Downloads</x:v>
      </x:c>
    </x:row>
    <x:row r="849">
      <x:c r="A849" s="43" t="str">
        <x:v>UK independent</x:v>
      </x:c>
      <x:c r="B849" s="43" t="str">
        <x:v>125778</x:v>
      </x:c>
      <x:c r="C849" s="43" t="n">
        <x:f>IF(K849="Boarding school",30,0)+IF(J849&gt;=18,20,0)+IF(I849&lt;=11,10,0)+IF(L849="Has a sixth form",15,0)+IF(M849&gt;=200,10,0)+IF(N849&lt;&gt;"",10,0)</x:f>
        <x:v>30</x:v>
      </x:c>
      <x:c r="D849" s="43" t="str">
        <x:f>IF(C849&gt;=85,"A",IF(C849&gt;=65,"B","C"))</x:f>
        <x:v>C</x:v>
      </x:c>
      <x:c r="E849" s="43" t="str">
        <x:v>The Croft Preparatory School</x:v>
      </x:c>
      <x:c r="F849" s="43" t="str">
        <x:v>Stratford-upon-Avon</x:v>
      </x:c>
      <x:c r="G849" s="43" t="str">
        <x:v>Warwickshire</x:v>
      </x:c>
      <x:c r="H849" s="43" t="str">
        <x:v>CV37 7RL</x:v>
      </x:c>
      <x:c r="I849" s="43" t="n">
        <x:v>2</x:v>
      </x:c>
      <x:c r="J849" s="43" t="n">
        <x:v>11</x:v>
      </x:c>
      <x:c r="K849" s="43" t="str">
        <x:v>No boarders</x:v>
      </x:c>
      <x:c r="L849" s="43" t="str">
        <x:v>Does not have a sixth form</x:v>
      </x:c>
      <x:c r="M849" s="43" t="n">
        <x:v>325</x:v>
      </x:c>
      <x:c r="N849" s="43" t="str">
        <x:v>https://www.croftschool.co.uk</x:v>
      </x:c>
      <x:c r="O849" s="43" t="str">
        <x:v>01789293795</x:v>
      </x:c>
      <x:c r="P849" s="43" t="str"/>
      <x:c r="Q849" s="43" t="str"/>
      <x:c r="R849" s="43" t="str">
        <x:v>Queued for contact research</x:v>
      </x:c>
      <x:c r="S849" s="43" t="str">
        <x:v>Not reviewed</x:v>
      </x:c>
      <x:c r="T849" s="43" t="str">
        <x:v>Hold</x:v>
      </x:c>
      <x:c r="U849" s="43" t="str">
        <x:v>No</x:v>
      </x:c>
      <x:c r="V849" s="44"/>
      <x:c r="W849" s="43" t="str"/>
      <x:c r="X849" s="43" t="str"/>
      <x:c r="Y849" s="43" t="str"/>
      <x:c r="Z849" s="43" t="str">
        <x:v>https://www.get-information-schools.service.gov.uk/Downloads</x:v>
      </x:c>
    </x:row>
    <x:row r="850">
      <x:c r="A850" s="43" t="str">
        <x:v>UK independent</x:v>
      </x:c>
      <x:c r="B850" s="43" t="str">
        <x:v>116568</x:v>
      </x:c>
      <x:c r="C850" s="43" t="n">
        <x:f>IF(K850="Boarding school",30,0)+IF(J850&gt;=18,20,0)+IF(I850&lt;=11,10,0)+IF(L850="Has a sixth form",15,0)+IF(M850&gt;=200,10,0)+IF(N850&lt;&gt;"",10,0)</x:f>
        <x:v>30</x:v>
      </x:c>
      <x:c r="D850" s="43" t="str">
        <x:f>IF(C850&gt;=85,"A",IF(C850&gt;=65,"B","C"))</x:f>
        <x:v>C</x:v>
      </x:c>
      <x:c r="E850" s="43" t="str">
        <x:v>The Gregg School</x:v>
      </x:c>
      <x:c r="F850" s="43" t="str">
        <x:v>Southampton</x:v>
      </x:c>
      <x:c r="G850" s="43" t="str">
        <x:v>Hampshire</x:v>
      </x:c>
      <x:c r="H850" s="43" t="str">
        <x:v>SO18 2GF</x:v>
      </x:c>
      <x:c r="I850" s="43" t="n">
        <x:v>11</x:v>
      </x:c>
      <x:c r="J850" s="43" t="n">
        <x:v>16</x:v>
      </x:c>
      <x:c r="K850" s="43" t="str">
        <x:v>No boarders</x:v>
      </x:c>
      <x:c r="L850" s="43" t="str">
        <x:v>Does not have a sixth form</x:v>
      </x:c>
      <x:c r="M850" s="43" t="n">
        <x:v>323</x:v>
      </x:c>
      <x:c r="N850" s="43" t="str">
        <x:v>http://thegreggschool.org</x:v>
      </x:c>
      <x:c r="O850" s="43" t="str">
        <x:v>02380472133</x:v>
      </x:c>
      <x:c r="P850" s="43" t="str"/>
      <x:c r="Q850" s="43" t="str"/>
      <x:c r="R850" s="43" t="str">
        <x:v>Queued for contact research</x:v>
      </x:c>
      <x:c r="S850" s="43" t="str">
        <x:v>Not reviewed</x:v>
      </x:c>
      <x:c r="T850" s="43" t="str">
        <x:v>Hold</x:v>
      </x:c>
      <x:c r="U850" s="43" t="str">
        <x:v>No</x:v>
      </x:c>
      <x:c r="V850" s="44"/>
      <x:c r="W850" s="43" t="str"/>
      <x:c r="X850" s="43" t="str"/>
      <x:c r="Y850" s="43" t="str"/>
      <x:c r="Z850" s="43" t="str">
        <x:v>https://www.get-information-schools.service.gov.uk/Downloads</x:v>
      </x:c>
    </x:row>
    <x:row r="851">
      <x:c r="A851" s="43" t="str">
        <x:v>UK independent</x:v>
      </x:c>
      <x:c r="B851" s="43" t="str">
        <x:v>110537</x:v>
      </x:c>
      <x:c r="C851" s="43" t="n">
        <x:f>IF(K851="Boarding school",30,0)+IF(J851&gt;=18,20,0)+IF(I851&lt;=11,10,0)+IF(L851="Has a sixth form",15,0)+IF(M851&gt;=200,10,0)+IF(N851&lt;&gt;"",10,0)</x:f>
        <x:v>30</x:v>
      </x:c>
      <x:c r="D851" s="43" t="str">
        <x:f>IF(C851&gt;=85,"A",IF(C851&gt;=65,"B","C"))</x:f>
        <x:v>C</x:v>
      </x:c>
      <x:c r="E851" s="43" t="str">
        <x:v>Davenies School</x:v>
      </x:c>
      <x:c r="F851" s="43" t="str">
        <x:v>Beaconsfield</x:v>
      </x:c>
      <x:c r="G851" s="43" t="str">
        <x:v>Buckinghamshire</x:v>
      </x:c>
      <x:c r="H851" s="43" t="str">
        <x:v>HP9 1AA</x:v>
      </x:c>
      <x:c r="I851" s="43" t="n">
        <x:v>4</x:v>
      </x:c>
      <x:c r="J851" s="43" t="n">
        <x:v>13</x:v>
      </x:c>
      <x:c r="K851" s="43" t="str">
        <x:v>No boarders</x:v>
      </x:c>
      <x:c r="L851" s="43" t="str">
        <x:v>Does not have a sixth form</x:v>
      </x:c>
      <x:c r="M851" s="43" t="n">
        <x:v>322</x:v>
      </x:c>
      <x:c r="N851" s="43" t="str">
        <x:v>https://www.davenies.co.uk</x:v>
      </x:c>
      <x:c r="O851" s="43" t="str">
        <x:v>01494685400</x:v>
      </x:c>
      <x:c r="P851" s="43" t="str"/>
      <x:c r="Q851" s="43" t="str"/>
      <x:c r="R851" s="43" t="str">
        <x:v>Queued for contact research</x:v>
      </x:c>
      <x:c r="S851" s="43" t="str">
        <x:v>Not reviewed</x:v>
      </x:c>
      <x:c r="T851" s="43" t="str">
        <x:v>Hold</x:v>
      </x:c>
      <x:c r="U851" s="43" t="str">
        <x:v>No</x:v>
      </x:c>
      <x:c r="V851" s="44"/>
      <x:c r="W851" s="43" t="str"/>
      <x:c r="X851" s="43" t="str"/>
      <x:c r="Y851" s="43" t="str"/>
      <x:c r="Z851" s="43" t="str">
        <x:v>https://www.get-information-schools.service.gov.uk/Downloads</x:v>
      </x:c>
    </x:row>
    <x:row r="852">
      <x:c r="A852" s="43" t="str">
        <x:v>UK independent</x:v>
      </x:c>
      <x:c r="B852" s="43" t="str">
        <x:v>101074</x:v>
      </x:c>
      <x:c r="C852" s="43" t="n">
        <x:f>IF(K852="Boarding school",30,0)+IF(J852&gt;=18,20,0)+IF(I852&lt;=11,10,0)+IF(L852="Has a sixth form",15,0)+IF(M852&gt;=200,10,0)+IF(N852&lt;&gt;"",10,0)</x:f>
        <x:v>30</x:v>
      </x:c>
      <x:c r="D852" s="43" t="str">
        <x:f>IF(C852&gt;=85,"A",IF(C852&gt;=65,"B","C"))</x:f>
        <x:v>C</x:v>
      </x:c>
      <x:c r="E852" s="43" t="str">
        <x:v>Broomwood Pre-Prep &amp; Broomwood Prep-Girls</x:v>
      </x:c>
      <x:c r="F852" s="43" t="str">
        <x:v>London</x:v>
      </x:c>
      <x:c r="G852" s="43" t="str"/>
      <x:c r="H852" s="43" t="str">
        <x:v>SW12 8NR</x:v>
      </x:c>
      <x:c r="I852" s="43" t="n">
        <x:v>3</x:v>
      </x:c>
      <x:c r="J852" s="43" t="n">
        <x:v>13</x:v>
      </x:c>
      <x:c r="K852" s="43" t="str">
        <x:v>No boarders</x:v>
      </x:c>
      <x:c r="L852" s="43" t="str">
        <x:v>Does not have a sixth form</x:v>
      </x:c>
      <x:c r="M852" s="43" t="n">
        <x:v>321</x:v>
      </x:c>
      <x:c r="N852" s="43" t="str">
        <x:v>https://www.broomwood.com</x:v>
      </x:c>
      <x:c r="O852" s="43" t="str">
        <x:v>02086828810</x:v>
      </x:c>
      <x:c r="P852" s="43" t="str"/>
      <x:c r="Q852" s="43" t="str"/>
      <x:c r="R852" s="43" t="str">
        <x:v>Queued for contact research</x:v>
      </x:c>
      <x:c r="S852" s="43" t="str">
        <x:v>Not reviewed</x:v>
      </x:c>
      <x:c r="T852" s="43" t="str">
        <x:v>Hold</x:v>
      </x:c>
      <x:c r="U852" s="43" t="str">
        <x:v>No</x:v>
      </x:c>
      <x:c r="V852" s="44"/>
      <x:c r="W852" s="43" t="str"/>
      <x:c r="X852" s="43" t="str"/>
      <x:c r="Y852" s="43" t="str"/>
      <x:c r="Z852" s="43" t="str">
        <x:v>https://www.get-information-schools.service.gov.uk/Downloads</x:v>
      </x:c>
    </x:row>
    <x:row r="853">
      <x:c r="A853" s="43" t="str">
        <x:v>UK independent</x:v>
      </x:c>
      <x:c r="B853" s="43" t="str">
        <x:v>115389</x:v>
      </x:c>
      <x:c r="C853" s="43" t="n">
        <x:f>IF(K853="Boarding school",30,0)+IF(J853&gt;=18,20,0)+IF(I853&lt;=11,10,0)+IF(L853="Has a sixth form",15,0)+IF(M853&gt;=200,10,0)+IF(N853&lt;&gt;"",10,0)</x:f>
        <x:v>30</x:v>
      </x:c>
      <x:c r="D853" s="43" t="str">
        <x:f>IF(C853&gt;=85,"A",IF(C853&gt;=65,"B","C"))</x:f>
        <x:v>C</x:v>
      </x:c>
      <x:c r="E853" s="43" t="str">
        <x:v>St Cedd's School</x:v>
      </x:c>
      <x:c r="F853" s="43" t="str">
        <x:v>Chelmsford</x:v>
      </x:c>
      <x:c r="G853" s="43" t="str">
        <x:v>Essex</x:v>
      </x:c>
      <x:c r="H853" s="43" t="str">
        <x:v>CM2 0AR</x:v>
      </x:c>
      <x:c r="I853" s="43" t="n">
        <x:v>3</x:v>
      </x:c>
      <x:c r="J853" s="43" t="n">
        <x:v>11</x:v>
      </x:c>
      <x:c r="K853" s="43" t="str">
        <x:v>No boarders</x:v>
      </x:c>
      <x:c r="L853" s="43" t="str">
        <x:v>Does not have a sixth form</x:v>
      </x:c>
      <x:c r="M853" s="43" t="n">
        <x:v>321</x:v>
      </x:c>
      <x:c r="N853" s="43" t="str">
        <x:v>https://www.stcedds.org.uk</x:v>
      </x:c>
      <x:c r="O853" s="43" t="str">
        <x:v>01245392810</x:v>
      </x:c>
      <x:c r="P853" s="43" t="str"/>
      <x:c r="Q853" s="43" t="str"/>
      <x:c r="R853" s="43" t="str">
        <x:v>Queued for contact research</x:v>
      </x:c>
      <x:c r="S853" s="43" t="str">
        <x:v>Not reviewed</x:v>
      </x:c>
      <x:c r="T853" s="43" t="str">
        <x:v>Hold</x:v>
      </x:c>
      <x:c r="U853" s="43" t="str">
        <x:v>No</x:v>
      </x:c>
      <x:c r="V853" s="44"/>
      <x:c r="W853" s="43" t="str"/>
      <x:c r="X853" s="43" t="str"/>
      <x:c r="Y853" s="43" t="str"/>
      <x:c r="Z853" s="43" t="str">
        <x:v>https://www.get-information-schools.service.gov.uk/Downloads</x:v>
      </x:c>
    </x:row>
    <x:row r="854">
      <x:c r="A854" s="43" t="str">
        <x:v>UK independent</x:v>
      </x:c>
      <x:c r="B854" s="43" t="str">
        <x:v>125367</x:v>
      </x:c>
      <x:c r="C854" s="43" t="n">
        <x:f>IF(K854="Boarding school",30,0)+IF(J854&gt;=18,20,0)+IF(I854&lt;=11,10,0)+IF(L854="Has a sixth form",15,0)+IF(M854&gt;=200,10,0)+IF(N854&lt;&gt;"",10,0)</x:f>
        <x:v>30</x:v>
      </x:c>
      <x:c r="D854" s="43" t="str">
        <x:f>IF(C854&gt;=85,"A",IF(C854&gt;=65,"B","C"))</x:f>
        <x:v>C</x:v>
      </x:c>
      <x:c r="E854" s="43" t="str">
        <x:v>Halstead St Andrews School</x:v>
      </x:c>
      <x:c r="F854" s="43" t="str">
        <x:v>Woking</x:v>
      </x:c>
      <x:c r="G854" s="43" t="str">
        <x:v>Surrey</x:v>
      </x:c>
      <x:c r="H854" s="43" t="str">
        <x:v>GU21 4QW</x:v>
      </x:c>
      <x:c r="I854" s="43" t="n">
        <x:v>2</x:v>
      </x:c>
      <x:c r="J854" s="43" t="n">
        <x:v>13</x:v>
      </x:c>
      <x:c r="K854" s="43" t="str">
        <x:v>No boarders</x:v>
      </x:c>
      <x:c r="L854" s="43" t="str">
        <x:v>Does not have a sixth form</x:v>
      </x:c>
      <x:c r="M854" s="43" t="n">
        <x:v>316</x:v>
      </x:c>
      <x:c r="N854" s="43" t="str">
        <x:v>https://www.hsaschool.co.uk</x:v>
      </x:c>
      <x:c r="O854" s="43" t="str">
        <x:v>01483760943</x:v>
      </x:c>
      <x:c r="P854" s="43" t="str"/>
      <x:c r="Q854" s="43" t="str"/>
      <x:c r="R854" s="43" t="str">
        <x:v>Queued for contact research</x:v>
      </x:c>
      <x:c r="S854" s="43" t="str">
        <x:v>Not reviewed</x:v>
      </x:c>
      <x:c r="T854" s="43" t="str">
        <x:v>Hold</x:v>
      </x:c>
      <x:c r="U854" s="43" t="str">
        <x:v>No</x:v>
      </x:c>
      <x:c r="V854" s="44"/>
      <x:c r="W854" s="43" t="str"/>
      <x:c r="X854" s="43" t="str"/>
      <x:c r="Y854" s="43" t="str"/>
      <x:c r="Z854" s="43" t="str">
        <x:v>https://www.get-information-schools.service.gov.uk/Downloads</x:v>
      </x:c>
    </x:row>
    <x:row r="855">
      <x:c r="A855" s="43" t="str">
        <x:v>UK independent</x:v>
      </x:c>
      <x:c r="B855" s="43" t="str">
        <x:v>117643</x:v>
      </x:c>
      <x:c r="C855" s="43" t="n">
        <x:f>IF(K855="Boarding school",30,0)+IF(J855&gt;=18,20,0)+IF(I855&lt;=11,10,0)+IF(L855="Has a sixth form",15,0)+IF(M855&gt;=200,10,0)+IF(N855&lt;&gt;"",10,0)</x:f>
        <x:v>30</x:v>
      </x:c>
      <x:c r="D855" s="43" t="str">
        <x:f>IF(C855&gt;=85,"A",IF(C855&gt;=65,"B","C"))</x:f>
        <x:v>C</x:v>
      </x:c>
      <x:c r="E855" s="43" t="str">
        <x:v>Lochinver House School</x:v>
      </x:c>
      <x:c r="F855" s="43" t="str">
        <x:v>Potters Bar</x:v>
      </x:c>
      <x:c r="G855" s="43" t="str">
        <x:v>Hertfordshire</x:v>
      </x:c>
      <x:c r="H855" s="43" t="str">
        <x:v>EN6 1LW</x:v>
      </x:c>
      <x:c r="I855" s="43" t="n">
        <x:v>3</x:v>
      </x:c>
      <x:c r="J855" s="43" t="n">
        <x:v>13</x:v>
      </x:c>
      <x:c r="K855" s="43" t="str">
        <x:v>No boarders</x:v>
      </x:c>
      <x:c r="L855" s="43" t="str">
        <x:v>Does not have a sixth form</x:v>
      </x:c>
      <x:c r="M855" s="43" t="n">
        <x:v>314</x:v>
      </x:c>
      <x:c r="N855" s="43" t="str">
        <x:v>https://www.lochinverhouse.com</x:v>
      </x:c>
      <x:c r="O855" s="43" t="str">
        <x:v>01707653064</x:v>
      </x:c>
      <x:c r="P855" s="43" t="str"/>
      <x:c r="Q855" s="43" t="str"/>
      <x:c r="R855" s="43" t="str">
        <x:v>Queued for contact research</x:v>
      </x:c>
      <x:c r="S855" s="43" t="str">
        <x:v>Not reviewed</x:v>
      </x:c>
      <x:c r="T855" s="43" t="str">
        <x:v>Hold</x:v>
      </x:c>
      <x:c r="U855" s="43" t="str">
        <x:v>No</x:v>
      </x:c>
      <x:c r="V855" s="44"/>
      <x:c r="W855" s="43" t="str"/>
      <x:c r="X855" s="43" t="str"/>
      <x:c r="Y855" s="43" t="str"/>
      <x:c r="Z855" s="43" t="str">
        <x:v>https://www.get-information-schools.service.gov.uk/Downloads</x:v>
      </x:c>
    </x:row>
    <x:row r="856">
      <x:c r="A856" s="43" t="str">
        <x:v>UK independent</x:v>
      </x:c>
      <x:c r="B856" s="43" t="str">
        <x:v>111481</x:v>
      </x:c>
      <x:c r="C856" s="43" t="n">
        <x:f>IF(K856="Boarding school",30,0)+IF(J856&gt;=18,20,0)+IF(I856&lt;=11,10,0)+IF(L856="Has a sixth form",15,0)+IF(M856&gt;=200,10,0)+IF(N856&lt;&gt;"",10,0)</x:f>
        <x:v>30</x:v>
      </x:c>
      <x:c r="D856" s="43" t="str">
        <x:f>IF(C856&gt;=85,"A",IF(C856&gt;=65,"B","C"))</x:f>
        <x:v>C</x:v>
      </x:c>
      <x:c r="E856" s="43" t="str">
        <x:v>Pownall Hall School</x:v>
      </x:c>
      <x:c r="F856" s="43" t="str">
        <x:v>Wilmslow</x:v>
      </x:c>
      <x:c r="G856" s="43" t="str">
        <x:v>Cheshire</x:v>
      </x:c>
      <x:c r="H856" s="43" t="str">
        <x:v>SK9 5DW</x:v>
      </x:c>
      <x:c r="I856" s="43" t="n">
        <x:v>0</x:v>
      </x:c>
      <x:c r="J856" s="43" t="n">
        <x:v>11</x:v>
      </x:c>
      <x:c r="K856" s="43" t="str">
        <x:v>No boarders</x:v>
      </x:c>
      <x:c r="L856" s="43" t="str">
        <x:v>Does not have a sixth form</x:v>
      </x:c>
      <x:c r="M856" s="43" t="n">
        <x:v>314</x:v>
      </x:c>
      <x:c r="N856" s="43" t="str">
        <x:v>http://www.pownallhallschool.co.uk</x:v>
      </x:c>
      <x:c r="O856" s="43" t="str">
        <x:v>01625523141</x:v>
      </x:c>
      <x:c r="P856" s="43" t="str"/>
      <x:c r="Q856" s="43" t="str"/>
      <x:c r="R856" s="43" t="str">
        <x:v>Queued for contact research</x:v>
      </x:c>
      <x:c r="S856" s="43" t="str">
        <x:v>Not reviewed</x:v>
      </x:c>
      <x:c r="T856" s="43" t="str">
        <x:v>Hold</x:v>
      </x:c>
      <x:c r="U856" s="43" t="str">
        <x:v>No</x:v>
      </x:c>
      <x:c r="V856" s="44"/>
      <x:c r="W856" s="43" t="str"/>
      <x:c r="X856" s="43" t="str"/>
      <x:c r="Y856" s="43" t="str"/>
      <x:c r="Z856" s="43" t="str">
        <x:v>https://www.get-information-schools.service.gov.uk/Downloads</x:v>
      </x:c>
    </x:row>
    <x:row r="857">
      <x:c r="A857" s="43" t="str">
        <x:v>UK independent</x:v>
      </x:c>
      <x:c r="B857" s="43" t="str">
        <x:v>116563</x:v>
      </x:c>
      <x:c r="C857" s="43" t="n">
        <x:f>IF(K857="Boarding school",30,0)+IF(J857&gt;=18,20,0)+IF(I857&lt;=11,10,0)+IF(L857="Has a sixth form",15,0)+IF(M857&gt;=200,10,0)+IF(N857&lt;&gt;"",10,0)</x:f>
        <x:v>30</x:v>
      </x:c>
      <x:c r="D857" s="43" t="str">
        <x:f>IF(C857&gt;=85,"A",IF(C857&gt;=65,"B","C"))</x:f>
        <x:v>C</x:v>
      </x:c>
      <x:c r="E857" s="43" t="str">
        <x:v>Meoncross School</x:v>
      </x:c>
      <x:c r="F857" s="43" t="str"/>
      <x:c r="G857" s="43" t="str"/>
      <x:c r="H857" s="43" t="str">
        <x:v>PO14 2EF</x:v>
      </x:c>
      <x:c r="I857" s="43" t="n">
        <x:v>2</x:v>
      </x:c>
      <x:c r="J857" s="43" t="n">
        <x:v>16</x:v>
      </x:c>
      <x:c r="K857" s="43" t="str">
        <x:v>No boarders</x:v>
      </x:c>
      <x:c r="L857" s="43" t="str">
        <x:v>Does not have a sixth form</x:v>
      </x:c>
      <x:c r="M857" s="43" t="n">
        <x:v>313</x:v>
      </x:c>
      <x:c r="N857" s="43" t="str">
        <x:v>https://www.meoncross.co.uk</x:v>
      </x:c>
      <x:c r="O857" s="43" t="str">
        <x:v>01329662182</x:v>
      </x:c>
      <x:c r="P857" s="43" t="str"/>
      <x:c r="Q857" s="43" t="str"/>
      <x:c r="R857" s="43" t="str">
        <x:v>Queued for contact research</x:v>
      </x:c>
      <x:c r="S857" s="43" t="str">
        <x:v>Not reviewed</x:v>
      </x:c>
      <x:c r="T857" s="43" t="str">
        <x:v>Hold</x:v>
      </x:c>
      <x:c r="U857" s="43" t="str">
        <x:v>No</x:v>
      </x:c>
      <x:c r="V857" s="44"/>
      <x:c r="W857" s="43" t="str"/>
      <x:c r="X857" s="43" t="str"/>
      <x:c r="Y857" s="43" t="str"/>
      <x:c r="Z857" s="43" t="str">
        <x:v>https://www.get-information-schools.service.gov.uk/Downloads</x:v>
      </x:c>
    </x:row>
    <x:row r="858">
      <x:c r="A858" s="43" t="str">
        <x:v>UK independent</x:v>
      </x:c>
      <x:c r="B858" s="43" t="str">
        <x:v>101944</x:v>
      </x:c>
      <x:c r="C858" s="43" t="n">
        <x:f>IF(K858="Boarding school",30,0)+IF(J858&gt;=18,20,0)+IF(I858&lt;=11,10,0)+IF(L858="Has a sixth form",15,0)+IF(M858&gt;=200,10,0)+IF(N858&lt;&gt;"",10,0)</x:f>
        <x:v>30</x:v>
      </x:c>
      <x:c r="D858" s="43" t="str">
        <x:f>IF(C858&gt;=85,"A",IF(C858&gt;=65,"B","C"))</x:f>
        <x:v>C</x:v>
      </x:c>
      <x:c r="E858" s="43" t="str">
        <x:v>Durston House School</x:v>
      </x:c>
      <x:c r="F858" s="43" t="str">
        <x:v>London</x:v>
      </x:c>
      <x:c r="G858" s="43" t="str"/>
      <x:c r="H858" s="43" t="str">
        <x:v>W5 2DR</x:v>
      </x:c>
      <x:c r="I858" s="43" t="n">
        <x:v>3</x:v>
      </x:c>
      <x:c r="J858" s="43" t="n">
        <x:v>13</x:v>
      </x:c>
      <x:c r="K858" s="43" t="str">
        <x:v>No boarders</x:v>
      </x:c>
      <x:c r="L858" s="43" t="str">
        <x:v>Does not have a sixth form</x:v>
      </x:c>
      <x:c r="M858" s="43" t="n">
        <x:v>312</x:v>
      </x:c>
      <x:c r="N858" s="43" t="str">
        <x:v>http://www.durstonhouse.org/</x:v>
      </x:c>
      <x:c r="O858" s="43" t="str">
        <x:v>02089916530</x:v>
      </x:c>
      <x:c r="P858" s="43" t="str"/>
      <x:c r="Q858" s="43" t="str"/>
      <x:c r="R858" s="43" t="str">
        <x:v>Queued for contact research</x:v>
      </x:c>
      <x:c r="S858" s="43" t="str">
        <x:v>Not reviewed</x:v>
      </x:c>
      <x:c r="T858" s="43" t="str">
        <x:v>Hold</x:v>
      </x:c>
      <x:c r="U858" s="43" t="str">
        <x:v>No</x:v>
      </x:c>
      <x:c r="V858" s="44"/>
      <x:c r="W858" s="43" t="str"/>
      <x:c r="X858" s="43" t="str"/>
      <x:c r="Y858" s="43" t="str"/>
      <x:c r="Z858" s="43" t="str">
        <x:v>https://www.get-information-schools.service.gov.uk/Downloads</x:v>
      </x:c>
    </x:row>
    <x:row r="859">
      <x:c r="A859" s="43" t="str">
        <x:v>UK independent</x:v>
      </x:c>
      <x:c r="B859" s="43" t="str">
        <x:v>117601</x:v>
      </x:c>
      <x:c r="C859" s="43" t="n">
        <x:f>IF(K859="Boarding school",30,0)+IF(J859&gt;=18,20,0)+IF(I859&lt;=11,10,0)+IF(L859="Has a sixth form",15,0)+IF(M859&gt;=200,10,0)+IF(N859&lt;&gt;"",10,0)</x:f>
        <x:v>30</x:v>
      </x:c>
      <x:c r="D859" s="43" t="str">
        <x:f>IF(C859&gt;=85,"A",IF(C859&gt;=65,"B","C"))</x:f>
        <x:v>C</x:v>
      </x:c>
      <x:c r="E859" s="43" t="str">
        <x:v>Edge Grove School</x:v>
      </x:c>
      <x:c r="F859" s="43" t="str">
        <x:v>Watford</x:v>
      </x:c>
      <x:c r="G859" s="43" t="str">
        <x:v>Hertfordshire</x:v>
      </x:c>
      <x:c r="H859" s="43" t="str">
        <x:v>WD25 8NL</x:v>
      </x:c>
      <x:c r="I859" s="43" t="n">
        <x:v>2</x:v>
      </x:c>
      <x:c r="J859" s="43" t="n">
        <x:v>13</x:v>
      </x:c>
      <x:c r="K859" s="43" t="str">
        <x:v>No boarders</x:v>
      </x:c>
      <x:c r="L859" s="43" t="str">
        <x:v>Does not have a sixth form</x:v>
      </x:c>
      <x:c r="M859" s="43" t="n">
        <x:v>311</x:v>
      </x:c>
      <x:c r="N859" s="43" t="str">
        <x:v>https://www.edgegrove.com</x:v>
      </x:c>
      <x:c r="O859" s="43" t="str">
        <x:v>01923855724</x:v>
      </x:c>
      <x:c r="P859" s="43" t="str"/>
      <x:c r="Q859" s="43" t="str"/>
      <x:c r="R859" s="43" t="str">
        <x:v>Queued for contact research</x:v>
      </x:c>
      <x:c r="S859" s="43" t="str">
        <x:v>Not reviewed</x:v>
      </x:c>
      <x:c r="T859" s="43" t="str">
        <x:v>Hold</x:v>
      </x:c>
      <x:c r="U859" s="43" t="str">
        <x:v>No</x:v>
      </x:c>
      <x:c r="V859" s="44"/>
      <x:c r="W859" s="43" t="str"/>
      <x:c r="X859" s="43" t="str"/>
      <x:c r="Y859" s="43" t="str"/>
      <x:c r="Z859" s="43" t="str">
        <x:v>https://www.get-information-schools.service.gov.uk/Downloads</x:v>
      </x:c>
    </x:row>
    <x:row r="860">
      <x:c r="A860" s="43" t="str">
        <x:v>UK independent</x:v>
      </x:c>
      <x:c r="B860" s="43" t="str">
        <x:v>101482</x:v>
      </x:c>
      <x:c r="C860" s="43" t="n">
        <x:f>IF(K860="Boarding school",30,0)+IF(J860&gt;=18,20,0)+IF(I860&lt;=11,10,0)+IF(L860="Has a sixth form",15,0)+IF(M860&gt;=200,10,0)+IF(N860&lt;&gt;"",10,0)</x:f>
        <x:v>30</x:v>
      </x:c>
      <x:c r="D860" s="43" t="str">
        <x:f>IF(C860&gt;=85,"A",IF(C860&gt;=65,"B","C"))</x:f>
        <x:v>C</x:v>
      </x:c>
      <x:c r="E860" s="43" t="str">
        <x:v>Merton Court School</x:v>
      </x:c>
      <x:c r="F860" s="43" t="str">
        <x:v>Sidcup</x:v>
      </x:c>
      <x:c r="G860" s="43" t="str">
        <x:v>Kent</x:v>
      </x:c>
      <x:c r="H860" s="43" t="str">
        <x:v>DA14 4QU</x:v>
      </x:c>
      <x:c r="I860" s="43" t="n">
        <x:v>3</x:v>
      </x:c>
      <x:c r="J860" s="43" t="n">
        <x:v>11</x:v>
      </x:c>
      <x:c r="K860" s="43" t="str">
        <x:v>No boarders</x:v>
      </x:c>
      <x:c r="L860" s="43" t="str">
        <x:v>Does not have a sixth form</x:v>
      </x:c>
      <x:c r="M860" s="43" t="n">
        <x:v>311</x:v>
      </x:c>
      <x:c r="N860" s="43" t="str">
        <x:v>https://www.mertoncourtprep.co.uk</x:v>
      </x:c>
      <x:c r="O860" s="43" t="str">
        <x:v>02083002112</x:v>
      </x:c>
      <x:c r="P860" s="43" t="str"/>
      <x:c r="Q860" s="43" t="str"/>
      <x:c r="R860" s="43" t="str">
        <x:v>Queued for contact research</x:v>
      </x:c>
      <x:c r="S860" s="43" t="str">
        <x:v>Not reviewed</x:v>
      </x:c>
      <x:c r="T860" s="43" t="str">
        <x:v>Hold</x:v>
      </x:c>
      <x:c r="U860" s="43" t="str">
        <x:v>No</x:v>
      </x:c>
      <x:c r="V860" s="44"/>
      <x:c r="W860" s="43" t="str"/>
      <x:c r="X860" s="43" t="str"/>
      <x:c r="Y860" s="43" t="str"/>
      <x:c r="Z860" s="43" t="str">
        <x:v>https://www.get-information-schools.service.gov.uk/Downloads</x:v>
      </x:c>
    </x:row>
    <x:row r="861">
      <x:c r="A861" s="43" t="str">
        <x:v>UK independent</x:v>
      </x:c>
      <x:c r="B861" s="43" t="str">
        <x:v>101829</x:v>
      </x:c>
      <x:c r="C861" s="43" t="n">
        <x:f>IF(K861="Boarding school",30,0)+IF(J861&gt;=18,20,0)+IF(I861&lt;=11,10,0)+IF(L861="Has a sixth form",15,0)+IF(M861&gt;=200,10,0)+IF(N861&lt;&gt;"",10,0)</x:f>
        <x:v>30</x:v>
      </x:c>
      <x:c r="D861" s="43" t="str">
        <x:f>IF(C861&gt;=85,"A",IF(C861&gt;=65,"B","C"))</x:f>
        <x:v>C</x:v>
      </x:c>
      <x:c r="E861" s="43" t="str">
        <x:v>Cumnor House School</x:v>
      </x:c>
      <x:c r="F861" s="43" t="str">
        <x:v>South Croydon</x:v>
      </x:c>
      <x:c r="G861" s="43" t="str">
        <x:v>Surrey</x:v>
      </x:c>
      <x:c r="H861" s="43" t="str">
        <x:v>CR2 6DA</x:v>
      </x:c>
      <x:c r="I861" s="43" t="n">
        <x:v>2</x:v>
      </x:c>
      <x:c r="J861" s="43" t="n">
        <x:v>13</x:v>
      </x:c>
      <x:c r="K861" s="43" t="str">
        <x:v>No boarders</x:v>
      </x:c>
      <x:c r="L861" s="43" t="str">
        <x:v>Does not have a sixth form</x:v>
      </x:c>
      <x:c r="M861" s="43" t="n">
        <x:v>310</x:v>
      </x:c>
      <x:c r="N861" s="43" t="str">
        <x:v>https://www.cumnorhouse.com</x:v>
      </x:c>
      <x:c r="O861" s="43" t="str">
        <x:v>02086603445</x:v>
      </x:c>
      <x:c r="P861" s="43" t="str"/>
      <x:c r="Q861" s="43" t="str"/>
      <x:c r="R861" s="43" t="str">
        <x:v>Queued for contact research</x:v>
      </x:c>
      <x:c r="S861" s="43" t="str">
        <x:v>Not reviewed</x:v>
      </x:c>
      <x:c r="T861" s="43" t="str">
        <x:v>Hold</x:v>
      </x:c>
      <x:c r="U861" s="43" t="str">
        <x:v>No</x:v>
      </x:c>
      <x:c r="V861" s="44"/>
      <x:c r="W861" s="43" t="str"/>
      <x:c r="X861" s="43" t="str"/>
      <x:c r="Y861" s="43" t="str"/>
      <x:c r="Z861" s="43" t="str">
        <x:v>https://www.get-information-schools.service.gov.uk/Downloads</x:v>
      </x:c>
    </x:row>
    <x:row r="862">
      <x:c r="A862" s="43" t="str">
        <x:v>UK independent</x:v>
      </x:c>
      <x:c r="B862" s="43" t="str">
        <x:v>101682</x:v>
      </x:c>
      <x:c r="C862" s="43" t="n">
        <x:f>IF(K862="Boarding school",30,0)+IF(J862&gt;=18,20,0)+IF(I862&lt;=11,10,0)+IF(L862="Has a sixth form",15,0)+IF(M862&gt;=200,10,0)+IF(N862&lt;&gt;"",10,0)</x:f>
        <x:v>30</x:v>
      </x:c>
      <x:c r="D862" s="43" t="str">
        <x:f>IF(C862&gt;=85,"A",IF(C862&gt;=65,"B","C"))</x:f>
        <x:v>C</x:v>
      </x:c>
      <x:c r="E862" s="43" t="str">
        <x:v>Bickley Park School</x:v>
      </x:c>
      <x:c r="F862" s="43" t="str"/>
      <x:c r="G862" s="43" t="str"/>
      <x:c r="H862" s="43" t="str">
        <x:v>BR1 2DS</x:v>
      </x:c>
      <x:c r="I862" s="43" t="n">
        <x:v>2</x:v>
      </x:c>
      <x:c r="J862" s="43" t="n">
        <x:v>13</x:v>
      </x:c>
      <x:c r="K862" s="43" t="str">
        <x:v>No boarders</x:v>
      </x:c>
      <x:c r="L862" s="43" t="str">
        <x:v>Does not have a sixth form</x:v>
      </x:c>
      <x:c r="M862" s="43" t="n">
        <x:v>309</x:v>
      </x:c>
      <x:c r="N862" s="43" t="str">
        <x:v>http://www.bickleyparkschool.co.uk/</x:v>
      </x:c>
      <x:c r="O862" s="43" t="str">
        <x:v>02084672195</x:v>
      </x:c>
      <x:c r="P862" s="43" t="str"/>
      <x:c r="Q862" s="43" t="str"/>
      <x:c r="R862" s="43" t="str">
        <x:v>Queued for contact research</x:v>
      </x:c>
      <x:c r="S862" s="43" t="str">
        <x:v>Not reviewed</x:v>
      </x:c>
      <x:c r="T862" s="43" t="str">
        <x:v>Hold</x:v>
      </x:c>
      <x:c r="U862" s="43" t="str">
        <x:v>No</x:v>
      </x:c>
      <x:c r="V862" s="44"/>
      <x:c r="W862" s="43" t="str"/>
      <x:c r="X862" s="43" t="str"/>
      <x:c r="Y862" s="43" t="str"/>
      <x:c r="Z862" s="43" t="str">
        <x:v>https://www.get-information-schools.service.gov.uk/Downloads</x:v>
      </x:c>
    </x:row>
    <x:row r="863">
      <x:c r="A863" s="43" t="str">
        <x:v>UK independent</x:v>
      </x:c>
      <x:c r="B863" s="43" t="str">
        <x:v>126104</x:v>
      </x:c>
      <x:c r="C863" s="43" t="n">
        <x:f>IF(K863="Boarding school",30,0)+IF(J863&gt;=18,20,0)+IF(I863&lt;=11,10,0)+IF(L863="Has a sixth form",15,0)+IF(M863&gt;=200,10,0)+IF(N863&lt;&gt;"",10,0)</x:f>
        <x:v>30</x:v>
      </x:c>
      <x:c r="D863" s="43" t="str">
        <x:f>IF(C863&gt;=85,"A",IF(C863&gt;=65,"B","C"))</x:f>
        <x:v>C</x:v>
      </x:c>
      <x:c r="E863" s="43" t="str">
        <x:v>Oakwood School</x:v>
      </x:c>
      <x:c r="F863" s="43" t="str">
        <x:v>Chichester</x:v>
      </x:c>
      <x:c r="G863" s="43" t="str">
        <x:v>West Sussex</x:v>
      </x:c>
      <x:c r="H863" s="43" t="str">
        <x:v>PO18 9AN</x:v>
      </x:c>
      <x:c r="I863" s="43" t="n">
        <x:v>2</x:v>
      </x:c>
      <x:c r="J863" s="43" t="n">
        <x:v>11</x:v>
      </x:c>
      <x:c r="K863" s="43" t="str">
        <x:v>No boarders</x:v>
      </x:c>
      <x:c r="L863" s="43" t="str">
        <x:v>Does not have a sixth form</x:v>
      </x:c>
      <x:c r="M863" s="43" t="n">
        <x:v>308</x:v>
      </x:c>
      <x:c r="N863" s="43" t="str">
        <x:v>https://www.oakwoodschool.co.uk</x:v>
      </x:c>
      <x:c r="O863" s="43" t="str">
        <x:v>01243575209</x:v>
      </x:c>
      <x:c r="P863" s="43" t="str"/>
      <x:c r="Q863" s="43" t="str"/>
      <x:c r="R863" s="43" t="str">
        <x:v>Queued for contact research</x:v>
      </x:c>
      <x:c r="S863" s="43" t="str">
        <x:v>Not reviewed</x:v>
      </x:c>
      <x:c r="T863" s="43" t="str">
        <x:v>Hold</x:v>
      </x:c>
      <x:c r="U863" s="43" t="str">
        <x:v>No</x:v>
      </x:c>
      <x:c r="V863" s="44"/>
      <x:c r="W863" s="43" t="str"/>
      <x:c r="X863" s="43" t="str"/>
      <x:c r="Y863" s="43" t="str"/>
      <x:c r="Z863" s="43" t="str">
        <x:v>https://www.get-information-schools.service.gov.uk/Downloads</x:v>
      </x:c>
    </x:row>
    <x:row r="864">
      <x:c r="A864" s="43" t="str">
        <x:v>UK independent</x:v>
      </x:c>
      <x:c r="B864" s="43" t="str">
        <x:v>102610</x:v>
      </x:c>
      <x:c r="C864" s="43" t="n">
        <x:f>IF(K864="Boarding school",30,0)+IF(J864&gt;=18,20,0)+IF(I864&lt;=11,10,0)+IF(L864="Has a sixth form",15,0)+IF(M864&gt;=200,10,0)+IF(N864&lt;&gt;"",10,0)</x:f>
        <x:v>30</x:v>
      </x:c>
      <x:c r="D864" s="43" t="str">
        <x:f>IF(C864&gt;=85,"A",IF(C864&gt;=65,"B","C"))</x:f>
        <x:v>C</x:v>
      </x:c>
      <x:c r="E864" s="43" t="str">
        <x:v>Shrewsbury House School</x:v>
      </x:c>
      <x:c r="F864" s="43" t="str">
        <x:v>Surbiton</x:v>
      </x:c>
      <x:c r="G864" s="43" t="str">
        <x:v>Surrey</x:v>
      </x:c>
      <x:c r="H864" s="43" t="str">
        <x:v>KT6 6RL</x:v>
      </x:c>
      <x:c r="I864" s="43" t="n">
        <x:v>4</x:v>
      </x:c>
      <x:c r="J864" s="43" t="n">
        <x:v>14</x:v>
      </x:c>
      <x:c r="K864" s="43" t="str">
        <x:v>No boarders</x:v>
      </x:c>
      <x:c r="L864" s="43" t="str">
        <x:v>Does not have a sixth form</x:v>
      </x:c>
      <x:c r="M864" s="43" t="n">
        <x:v>308</x:v>
      </x:c>
      <x:c r="N864" s="43" t="str">
        <x:v>https://www.shrewsburyhouse.net</x:v>
      </x:c>
      <x:c r="O864" s="43" t="str">
        <x:v>02083993066</x:v>
      </x:c>
      <x:c r="P864" s="43" t="str"/>
      <x:c r="Q864" s="43" t="str"/>
      <x:c r="R864" s="43" t="str">
        <x:v>Queued for contact research</x:v>
      </x:c>
      <x:c r="S864" s="43" t="str">
        <x:v>Not reviewed</x:v>
      </x:c>
      <x:c r="T864" s="43" t="str">
        <x:v>Hold</x:v>
      </x:c>
      <x:c r="U864" s="43" t="str">
        <x:v>No</x:v>
      </x:c>
      <x:c r="V864" s="44"/>
      <x:c r="W864" s="43" t="str"/>
      <x:c r="X864" s="43" t="str"/>
      <x:c r="Y864" s="43" t="str"/>
      <x:c r="Z864" s="43" t="str">
        <x:v>https://www.get-information-schools.service.gov.uk/Downloads</x:v>
      </x:c>
    </x:row>
    <x:row r="865">
      <x:c r="A865" s="43" t="str">
        <x:v>UK independent</x:v>
      </x:c>
      <x:c r="B865" s="43" t="str">
        <x:v>115413</x:v>
      </x:c>
      <x:c r="C865" s="43" t="n">
        <x:f>IF(K865="Boarding school",30,0)+IF(J865&gt;=18,20,0)+IF(I865&lt;=11,10,0)+IF(L865="Has a sixth form",15,0)+IF(M865&gt;=200,10,0)+IF(N865&lt;&gt;"",10,0)</x:f>
        <x:v>30</x:v>
      </x:c>
      <x:c r="D865" s="43" t="str">
        <x:f>IF(C865&gt;=85,"A",IF(C865&gt;=65,"B","C"))</x:f>
        <x:v>C</x:v>
      </x:c>
      <x:c r="E865" s="43" t="str">
        <x:v>Littlegarth School</x:v>
      </x:c>
      <x:c r="F865" s="43" t="str">
        <x:v>Colchester</x:v>
      </x:c>
      <x:c r="G865" s="43" t="str">
        <x:v>Essex</x:v>
      </x:c>
      <x:c r="H865" s="43" t="str">
        <x:v>CO6 4JR</x:v>
      </x:c>
      <x:c r="I865" s="43" t="n">
        <x:v>2</x:v>
      </x:c>
      <x:c r="J865" s="43" t="n">
        <x:v>11</x:v>
      </x:c>
      <x:c r="K865" s="43" t="str">
        <x:v>No boarders</x:v>
      </x:c>
      <x:c r="L865" s="43" t="str">
        <x:v>Does not have a sixth form</x:v>
      </x:c>
      <x:c r="M865" s="43" t="n">
        <x:v>304</x:v>
      </x:c>
      <x:c r="N865" s="43" t="str">
        <x:v>https://www.littlegarth.org</x:v>
      </x:c>
      <x:c r="O865" s="43" t="str">
        <x:v>01206262332</x:v>
      </x:c>
      <x:c r="P865" s="43" t="str"/>
      <x:c r="Q865" s="43" t="str"/>
      <x:c r="R865" s="43" t="str">
        <x:v>Queued for contact research</x:v>
      </x:c>
      <x:c r="S865" s="43" t="str">
        <x:v>Not reviewed</x:v>
      </x:c>
      <x:c r="T865" s="43" t="str">
        <x:v>Hold</x:v>
      </x:c>
      <x:c r="U865" s="43" t="str">
        <x:v>No</x:v>
      </x:c>
      <x:c r="V865" s="44"/>
      <x:c r="W865" s="43" t="str"/>
      <x:c r="X865" s="43" t="str"/>
      <x:c r="Y865" s="43" t="str"/>
      <x:c r="Z865" s="43" t="str">
        <x:v>https://www.get-information-schools.service.gov.uk/Downloads</x:v>
      </x:c>
    </x:row>
    <x:row r="866">
      <x:c r="A866" s="43" t="str">
        <x:v>UK independent</x:v>
      </x:c>
      <x:c r="B866" s="43" t="str">
        <x:v>125336</x:v>
      </x:c>
      <x:c r="C866" s="43" t="n">
        <x:f>IF(K866="Boarding school",30,0)+IF(J866&gt;=18,20,0)+IF(I866&lt;=11,10,0)+IF(L866="Has a sixth form",15,0)+IF(M866&gt;=200,10,0)+IF(N866&lt;&gt;"",10,0)</x:f>
        <x:v>30</x:v>
      </x:c>
      <x:c r="D866" s="43" t="str">
        <x:f>IF(C866&gt;=85,"A",IF(C866&gt;=65,"B","C"))</x:f>
        <x:v>C</x:v>
      </x:c>
      <x:c r="E866" s="43" t="str">
        <x:v>Duke of Kent School</x:v>
      </x:c>
      <x:c r="F866" s="43" t="str">
        <x:v>Cranleigh</x:v>
      </x:c>
      <x:c r="G866" s="43" t="str">
        <x:v>Surrey</x:v>
      </x:c>
      <x:c r="H866" s="43" t="str">
        <x:v>GU6 7NS</x:v>
      </x:c>
      <x:c r="I866" s="43" t="n">
        <x:v>3</x:v>
      </x:c>
      <x:c r="J866" s="43" t="n">
        <x:v>16</x:v>
      </x:c>
      <x:c r="K866" s="43" t="str">
        <x:v>No boarders</x:v>
      </x:c>
      <x:c r="L866" s="43" t="str">
        <x:v>Does not have a sixth form</x:v>
      </x:c>
      <x:c r="M866" s="43" t="n">
        <x:v>303</x:v>
      </x:c>
      <x:c r="N866" s="43" t="str">
        <x:v>https://www.dukeofkentschool.org.uk</x:v>
      </x:c>
      <x:c r="O866" s="43" t="str">
        <x:v>01483277313</x:v>
      </x:c>
      <x:c r="P866" s="43" t="str"/>
      <x:c r="Q866" s="43" t="str"/>
      <x:c r="R866" s="43" t="str">
        <x:v>Queued for contact research</x:v>
      </x:c>
      <x:c r="S866" s="43" t="str">
        <x:v>Not reviewed</x:v>
      </x:c>
      <x:c r="T866" s="43" t="str">
        <x:v>Hold</x:v>
      </x:c>
      <x:c r="U866" s="43" t="str">
        <x:v>No</x:v>
      </x:c>
      <x:c r="V866" s="44"/>
      <x:c r="W866" s="43" t="str"/>
      <x:c r="X866" s="43" t="str"/>
      <x:c r="Y866" s="43" t="str"/>
      <x:c r="Z866" s="43" t="str">
        <x:v>https://www.get-information-schools.service.gov.uk/Downloads</x:v>
      </x:c>
    </x:row>
    <x:row r="867">
      <x:c r="A867" s="43" t="str">
        <x:v>UK independent</x:v>
      </x:c>
      <x:c r="B867" s="43" t="str">
        <x:v>125317</x:v>
      </x:c>
      <x:c r="C867" s="43" t="n">
        <x:f>IF(K867="Boarding school",30,0)+IF(J867&gt;=18,20,0)+IF(I867&lt;=11,10,0)+IF(L867="Has a sixth form",15,0)+IF(M867&gt;=200,10,0)+IF(N867&lt;&gt;"",10,0)</x:f>
        <x:v>30</x:v>
      </x:c>
      <x:c r="D867" s="43" t="str">
        <x:f>IF(C867&gt;=85,"A",IF(C867&gt;=65,"B","C"))</x:f>
        <x:v>C</x:v>
      </x:c>
      <x:c r="E867" s="43" t="str">
        <x:v>Aberdour Preparatory School</x:v>
      </x:c>
      <x:c r="F867" s="43" t="str"/>
      <x:c r="G867" s="43" t="str">
        <x:v>Surrey</x:v>
      </x:c>
      <x:c r="H867" s="43" t="str">
        <x:v>KT20 6AJ</x:v>
      </x:c>
      <x:c r="I867" s="43" t="n">
        <x:v>2</x:v>
      </x:c>
      <x:c r="J867" s="43" t="n">
        <x:v>11</x:v>
      </x:c>
      <x:c r="K867" s="43" t="str">
        <x:v>No boarders</x:v>
      </x:c>
      <x:c r="L867" s="43" t="str">
        <x:v>Does not have a sixth form</x:v>
      </x:c>
      <x:c r="M867" s="43" t="n">
        <x:v>302</x:v>
      </x:c>
      <x:c r="N867" s="43" t="str">
        <x:v>https://www.aberdourschool.co.uk</x:v>
      </x:c>
      <x:c r="O867" s="43" t="str">
        <x:v>01737354119</x:v>
      </x:c>
      <x:c r="P867" s="43" t="str"/>
      <x:c r="Q867" s="43" t="str"/>
      <x:c r="R867" s="43" t="str">
        <x:v>Queued for contact research</x:v>
      </x:c>
      <x:c r="S867" s="43" t="str">
        <x:v>Not reviewed</x:v>
      </x:c>
      <x:c r="T867" s="43" t="str">
        <x:v>Hold</x:v>
      </x:c>
      <x:c r="U867" s="43" t="str">
        <x:v>No</x:v>
      </x:c>
      <x:c r="V867" s="44"/>
      <x:c r="W867" s="43" t="str"/>
      <x:c r="X867" s="43" t="str"/>
      <x:c r="Y867" s="43" t="str"/>
      <x:c r="Z867" s="43" t="str">
        <x:v>https://www.get-information-schools.service.gov.uk/Downloads</x:v>
      </x:c>
    </x:row>
    <x:row r="868">
      <x:c r="A868" s="43" t="str">
        <x:v>UK independent</x:v>
      </x:c>
      <x:c r="B868" s="43" t="str">
        <x:v>115435</x:v>
      </x:c>
      <x:c r="C868" s="43" t="n">
        <x:f>IF(K868="Boarding school",30,0)+IF(J868&gt;=18,20,0)+IF(I868&lt;=11,10,0)+IF(L868="Has a sixth form",15,0)+IF(M868&gt;=200,10,0)+IF(N868&lt;&gt;"",10,0)</x:f>
        <x:v>30</x:v>
      </x:c>
      <x:c r="D868" s="43" t="str">
        <x:f>IF(C868&gt;=85,"A",IF(C868&gt;=65,"B","C"))</x:f>
        <x:v>C</x:v>
      </x:c>
      <x:c r="E868" s="43" t="str">
        <x:v>Coopersale Hall School</x:v>
      </x:c>
      <x:c r="F868" s="43" t="str">
        <x:v>Epping</x:v>
      </x:c>
      <x:c r="G868" s="43" t="str">
        <x:v>Essex</x:v>
      </x:c>
      <x:c r="H868" s="43" t="str">
        <x:v>CM16 7PE</x:v>
      </x:c>
      <x:c r="I868" s="43" t="n">
        <x:v>2</x:v>
      </x:c>
      <x:c r="J868" s="43" t="n">
        <x:v>16</x:v>
      </x:c>
      <x:c r="K868" s="43" t="str">
        <x:v>No boarders</x:v>
      </x:c>
      <x:c r="L868" s="43" t="str">
        <x:v>Does not have a sixth form</x:v>
      </x:c>
      <x:c r="M868" s="43" t="n">
        <x:v>302</x:v>
      </x:c>
      <x:c r="N868" s="43" t="str">
        <x:v>https://www.coopersalehallschool.co.uk</x:v>
      </x:c>
      <x:c r="O868" s="43" t="str">
        <x:v>01992577133</x:v>
      </x:c>
      <x:c r="P868" s="43" t="str"/>
      <x:c r="Q868" s="43" t="str"/>
      <x:c r="R868" s="43" t="str">
        <x:v>Queued for contact research</x:v>
      </x:c>
      <x:c r="S868" s="43" t="str">
        <x:v>Not reviewed</x:v>
      </x:c>
      <x:c r="T868" s="43" t="str">
        <x:v>Hold</x:v>
      </x:c>
      <x:c r="U868" s="43" t="str">
        <x:v>No</x:v>
      </x:c>
      <x:c r="V868" s="44"/>
      <x:c r="W868" s="43" t="str"/>
      <x:c r="X868" s="43" t="str"/>
      <x:c r="Y868" s="43" t="str"/>
      <x:c r="Z868" s="43" t="str">
        <x:v>https://www.get-information-schools.service.gov.uk/Downloads</x:v>
      </x:c>
    </x:row>
    <x:row r="869">
      <x:c r="A869" s="43" t="str">
        <x:v>UK independent</x:v>
      </x:c>
      <x:c r="B869" s="43" t="str">
        <x:v>100463</x:v>
      </x:c>
      <x:c r="C869" s="43" t="n">
        <x:f>IF(K869="Boarding school",30,0)+IF(J869&gt;=18,20,0)+IF(I869&lt;=11,10,0)+IF(L869="Has a sixth form",15,0)+IF(M869&gt;=200,10,0)+IF(N869&lt;&gt;"",10,0)</x:f>
        <x:v>30</x:v>
      </x:c>
      <x:c r="D869" s="43" t="str">
        <x:f>IF(C869&gt;=85,"A",IF(C869&gt;=65,"B","C"))</x:f>
        <x:v>C</x:v>
      </x:c>
      <x:c r="E869" s="43" t="str">
        <x:v>Charterhouse Square School</x:v>
      </x:c>
      <x:c r="F869" s="43" t="str">
        <x:v>London</x:v>
      </x:c>
      <x:c r="G869" s="43" t="str"/>
      <x:c r="H869" s="43" t="str">
        <x:v>EC1M 6EA</x:v>
      </x:c>
      <x:c r="I869" s="43" t="n">
        <x:v>3</x:v>
      </x:c>
      <x:c r="J869" s="43" t="n">
        <x:v>11</x:v>
      </x:c>
      <x:c r="K869" s="43" t="str">
        <x:v>No boarders</x:v>
      </x:c>
      <x:c r="L869" s="43" t="str">
        <x:v>Does not have a sixth form</x:v>
      </x:c>
      <x:c r="M869" s="43" t="n">
        <x:v>301</x:v>
      </x:c>
      <x:c r="N869" s="43" t="str">
        <x:v>https://www.charterhousesquareschool.co.uk</x:v>
      </x:c>
      <x:c r="O869" s="43" t="str">
        <x:v>02076003805</x:v>
      </x:c>
      <x:c r="P869" s="43" t="str"/>
      <x:c r="Q869" s="43" t="str"/>
      <x:c r="R869" s="43" t="str">
        <x:v>Queued for contact research</x:v>
      </x:c>
      <x:c r="S869" s="43" t="str">
        <x:v>Not reviewed</x:v>
      </x:c>
      <x:c r="T869" s="43" t="str">
        <x:v>Hold</x:v>
      </x:c>
      <x:c r="U869" s="43" t="str">
        <x:v>No</x:v>
      </x:c>
      <x:c r="V869" s="44"/>
      <x:c r="W869" s="43" t="str"/>
      <x:c r="X869" s="43" t="str"/>
      <x:c r="Y869" s="43" t="str"/>
      <x:c r="Z869" s="43" t="str">
        <x:v>https://www.get-information-schools.service.gov.uk/Downloads</x:v>
      </x:c>
    </x:row>
    <x:row r="870">
      <x:c r="A870" s="43" t="str">
        <x:v>UK independent</x:v>
      </x:c>
      <x:c r="B870" s="43" t="str">
        <x:v>100509</x:v>
      </x:c>
      <x:c r="C870" s="43" t="n">
        <x:f>IF(K870="Boarding school",30,0)+IF(J870&gt;=18,20,0)+IF(I870&lt;=11,10,0)+IF(L870="Has a sixth form",15,0)+IF(M870&gt;=200,10,0)+IF(N870&lt;&gt;"",10,0)</x:f>
        <x:v>30</x:v>
      </x:c>
      <x:c r="D870" s="43" t="str">
        <x:f>IF(C870&gt;=85,"A",IF(C870&gt;=65,"B","C"))</x:f>
        <x:v>C</x:v>
      </x:c>
      <x:c r="E870" s="43" t="str">
        <x:v>Kensington Prep School GDST</x:v>
      </x:c>
      <x:c r="F870" s="43" t="str"/>
      <x:c r="G870" s="43" t="str"/>
      <x:c r="H870" s="43" t="str">
        <x:v>SW6 5PA</x:v>
      </x:c>
      <x:c r="I870" s="43" t="n">
        <x:v>4</x:v>
      </x:c>
      <x:c r="J870" s="43" t="n">
        <x:v>11</x:v>
      </x:c>
      <x:c r="K870" s="43" t="str">
        <x:v>No boarders</x:v>
      </x:c>
      <x:c r="L870" s="43" t="str">
        <x:v>Does not have a sixth form</x:v>
      </x:c>
      <x:c r="M870" s="43" t="n">
        <x:v>300</x:v>
      </x:c>
      <x:c r="N870" s="43" t="str">
        <x:v>https://www.kensingtonprep.gdst.net/</x:v>
      </x:c>
      <x:c r="O870" s="43" t="str">
        <x:v>02077319300</x:v>
      </x:c>
      <x:c r="P870" s="43" t="str"/>
      <x:c r="Q870" s="43" t="str"/>
      <x:c r="R870" s="43" t="str">
        <x:v>Queued for contact research</x:v>
      </x:c>
      <x:c r="S870" s="43" t="str">
        <x:v>Not reviewed</x:v>
      </x:c>
      <x:c r="T870" s="43" t="str">
        <x:v>Hold</x:v>
      </x:c>
      <x:c r="U870" s="43" t="str">
        <x:v>No</x:v>
      </x:c>
      <x:c r="V870" s="44"/>
      <x:c r="W870" s="43" t="str"/>
      <x:c r="X870" s="43" t="str"/>
      <x:c r="Y870" s="43" t="str"/>
      <x:c r="Z870" s="43" t="str">
        <x:v>https://www.get-information-schools.service.gov.uk/Downloads</x:v>
      </x:c>
    </x:row>
    <x:row r="871">
      <x:c r="A871" s="43" t="str">
        <x:v>UK independent</x:v>
      </x:c>
      <x:c r="B871" s="43" t="str">
        <x:v>110538</x:v>
      </x:c>
      <x:c r="C871" s="43" t="n">
        <x:f>IF(K871="Boarding school",30,0)+IF(J871&gt;=18,20,0)+IF(I871&lt;=11,10,0)+IF(L871="Has a sixth form",15,0)+IF(M871&gt;=200,10,0)+IF(N871&lt;&gt;"",10,0)</x:f>
        <x:v>30</x:v>
      </x:c>
      <x:c r="D871" s="43" t="str">
        <x:f>IF(C871&gt;=85,"A",IF(C871&gt;=65,"B","C"))</x:f>
        <x:v>C</x:v>
      </x:c>
      <x:c r="E871" s="43" t="str">
        <x:v>High March School</x:v>
      </x:c>
      <x:c r="F871" s="43" t="str">
        <x:v>Beaconsfield</x:v>
      </x:c>
      <x:c r="G871" s="43" t="str">
        <x:v>Buckinghamshire</x:v>
      </x:c>
      <x:c r="H871" s="43" t="str">
        <x:v>HP9 2PZ</x:v>
      </x:c>
      <x:c r="I871" s="43" t="n">
        <x:v>3</x:v>
      </x:c>
      <x:c r="J871" s="43" t="n">
        <x:v>11</x:v>
      </x:c>
      <x:c r="K871" s="43" t="str">
        <x:v>No boarders</x:v>
      </x:c>
      <x:c r="L871" s="43" t="str">
        <x:v>Does not have a sixth form</x:v>
      </x:c>
      <x:c r="M871" s="43" t="n">
        <x:v>299</x:v>
      </x:c>
      <x:c r="N871" s="43" t="str">
        <x:v>https://www.highmarch.co.uk</x:v>
      </x:c>
      <x:c r="O871" s="43" t="str">
        <x:v>01494675186</x:v>
      </x:c>
      <x:c r="P871" s="43" t="str"/>
      <x:c r="Q871" s="43" t="str"/>
      <x:c r="R871" s="43" t="str">
        <x:v>Queued for contact research</x:v>
      </x:c>
      <x:c r="S871" s="43" t="str">
        <x:v>Not reviewed</x:v>
      </x:c>
      <x:c r="T871" s="43" t="str">
        <x:v>Hold</x:v>
      </x:c>
      <x:c r="U871" s="43" t="str">
        <x:v>No</x:v>
      </x:c>
      <x:c r="V871" s="44"/>
      <x:c r="W871" s="43" t="str"/>
      <x:c r="X871" s="43" t="str"/>
      <x:c r="Y871" s="43" t="str"/>
      <x:c r="Z871" s="43" t="str">
        <x:v>https://www.get-information-schools.service.gov.uk/Downloads</x:v>
      </x:c>
    </x:row>
    <x:row r="872">
      <x:c r="A872" s="43" t="str">
        <x:v>UK independent</x:v>
      </x:c>
      <x:c r="B872" s="43" t="str">
        <x:v>104122</x:v>
      </x:c>
      <x:c r="C872" s="43" t="n">
        <x:f>IF(K872="Boarding school",30,0)+IF(J872&gt;=18,20,0)+IF(I872&lt;=11,10,0)+IF(L872="Has a sixth form",15,0)+IF(M872&gt;=200,10,0)+IF(N872&lt;&gt;"",10,0)</x:f>
        <x:v>30</x:v>
      </x:c>
      <x:c r="D872" s="43" t="str">
        <x:f>IF(C872&gt;=85,"A",IF(C872&gt;=65,"B","C"))</x:f>
        <x:v>C</x:v>
      </x:c>
      <x:c r="E872" s="43" t="str">
        <x:v>Eversfield Preparatory School</x:v>
      </x:c>
      <x:c r="F872" s="43" t="str">
        <x:v>Solihull</x:v>
      </x:c>
      <x:c r="G872" s="43" t="str">
        <x:v>West Midlands</x:v>
      </x:c>
      <x:c r="H872" s="43" t="str">
        <x:v>B91 1AT</x:v>
      </x:c>
      <x:c r="I872" s="43" t="n">
        <x:v>2</x:v>
      </x:c>
      <x:c r="J872" s="43" t="n">
        <x:v>11</x:v>
      </x:c>
      <x:c r="K872" s="43" t="str">
        <x:v>No boarders</x:v>
      </x:c>
      <x:c r="L872" s="43" t="str">
        <x:v>Does not have a sixth form</x:v>
      </x:c>
      <x:c r="M872" s="43" t="n">
        <x:v>298</x:v>
      </x:c>
      <x:c r="N872" s="43" t="str">
        <x:v>http://www.eversfield.co.uk</x:v>
      </x:c>
      <x:c r="O872" s="43" t="str">
        <x:v>01217050354</x:v>
      </x:c>
      <x:c r="P872" s="43" t="str"/>
      <x:c r="Q872" s="43" t="str"/>
      <x:c r="R872" s="43" t="str">
        <x:v>Queued for contact research</x:v>
      </x:c>
      <x:c r="S872" s="43" t="str">
        <x:v>Not reviewed</x:v>
      </x:c>
      <x:c r="T872" s="43" t="str">
        <x:v>Hold</x:v>
      </x:c>
      <x:c r="U872" s="43" t="str">
        <x:v>No</x:v>
      </x:c>
      <x:c r="V872" s="44"/>
      <x:c r="W872" s="43" t="str"/>
      <x:c r="X872" s="43" t="str"/>
      <x:c r="Y872" s="43" t="str"/>
      <x:c r="Z872" s="43" t="str">
        <x:v>https://www.get-information-schools.service.gov.uk/Downloads</x:v>
      </x:c>
    </x:row>
    <x:row r="873">
      <x:c r="A873" s="43" t="str">
        <x:v>UK independent</x:v>
      </x:c>
      <x:c r="B873" s="43" t="str">
        <x:v>134809</x:v>
      </x:c>
      <x:c r="C873" s="43" t="n">
        <x:f>IF(K873="Boarding school",30,0)+IF(J873&gt;=18,20,0)+IF(I873&lt;=11,10,0)+IF(L873="Has a sixth form",15,0)+IF(M873&gt;=200,10,0)+IF(N873&lt;&gt;"",10,0)</x:f>
        <x:v>30</x:v>
      </x:c>
      <x:c r="D873" s="43" t="str">
        <x:f>IF(C873&gt;=85,"A",IF(C873&gt;=65,"B","C"))</x:f>
        <x:v>C</x:v>
      </x:c>
      <x:c r="E873" s="43" t="str">
        <x:v>Al-Aqsa Schools Trust</x:v>
      </x:c>
      <x:c r="F873" s="43" t="str">
        <x:v>Leicester</x:v>
      </x:c>
      <x:c r="G873" s="43" t="str">
        <x:v>Leicestershire</x:v>
      </x:c>
      <x:c r="H873" s="43" t="str">
        <x:v>LE5 4PP</x:v>
      </x:c>
      <x:c r="I873" s="43" t="n">
        <x:v>3</x:v>
      </x:c>
      <x:c r="J873" s="43" t="n">
        <x:v>16</x:v>
      </x:c>
      <x:c r="K873" s="43" t="str">
        <x:v>No boarders</x:v>
      </x:c>
      <x:c r="L873" s="43" t="str">
        <x:v>Does not have a sixth form</x:v>
      </x:c>
      <x:c r="M873" s="43" t="n">
        <x:v>297</x:v>
      </x:c>
      <x:c r="N873" s="43" t="str">
        <x:v>https://www.alaqsaschool.co.uk</x:v>
      </x:c>
      <x:c r="O873" s="43" t="str">
        <x:v>01162760953</x:v>
      </x:c>
      <x:c r="P873" s="43" t="str"/>
      <x:c r="Q873" s="43" t="str"/>
      <x:c r="R873" s="43" t="str">
        <x:v>Queued for contact research</x:v>
      </x:c>
      <x:c r="S873" s="43" t="str">
        <x:v>Not reviewed</x:v>
      </x:c>
      <x:c r="T873" s="43" t="str">
        <x:v>Hold</x:v>
      </x:c>
      <x:c r="U873" s="43" t="str">
        <x:v>No</x:v>
      </x:c>
      <x:c r="V873" s="44"/>
      <x:c r="W873" s="43" t="str"/>
      <x:c r="X873" s="43" t="str"/>
      <x:c r="Y873" s="43" t="str"/>
      <x:c r="Z873" s="43" t="str">
        <x:v>https://www.get-information-schools.service.gov.uk/Downloads</x:v>
      </x:c>
    </x:row>
    <x:row r="874">
      <x:c r="A874" s="43" t="str">
        <x:v>UK independent</x:v>
      </x:c>
      <x:c r="B874" s="43" t="str">
        <x:v>103575</x:v>
      </x:c>
      <x:c r="C874" s="43" t="n">
        <x:f>IF(K874="Boarding school",30,0)+IF(J874&gt;=18,20,0)+IF(I874&lt;=11,10,0)+IF(L874="Has a sixth form",15,0)+IF(M874&gt;=200,10,0)+IF(N874&lt;&gt;"",10,0)</x:f>
        <x:v>30</x:v>
      </x:c>
      <x:c r="D874" s="43" t="str">
        <x:f>IF(C874&gt;=85,"A",IF(C874&gt;=65,"B","C"))</x:f>
        <x:v>C</x:v>
      </x:c>
      <x:c r="E874" s="43" t="str">
        <x:v>West House School</x:v>
      </x:c>
      <x:c r="F874" s="43" t="str">
        <x:v>Birmingham</x:v>
      </x:c>
      <x:c r="G874" s="43" t="str">
        <x:v>West Midlands</x:v>
      </x:c>
      <x:c r="H874" s="43" t="str">
        <x:v>B15 2NX</x:v>
      </x:c>
      <x:c r="I874" s="43" t="n">
        <x:v>1</x:v>
      </x:c>
      <x:c r="J874" s="43" t="n">
        <x:v>11</x:v>
      </x:c>
      <x:c r="K874" s="43" t="str">
        <x:v>No boarders</x:v>
      </x:c>
      <x:c r="L874" s="43" t="str">
        <x:v>Does not have a sixth form</x:v>
      </x:c>
      <x:c r="M874" s="43" t="n">
        <x:v>297</x:v>
      </x:c>
      <x:c r="N874" s="43" t="str">
        <x:v>https://www.westhouseprep.com</x:v>
      </x:c>
      <x:c r="O874" s="43" t="str">
        <x:v>01214404097</x:v>
      </x:c>
      <x:c r="P874" s="43" t="str"/>
      <x:c r="Q874" s="43" t="str"/>
      <x:c r="R874" s="43" t="str">
        <x:v>Queued for contact research</x:v>
      </x:c>
      <x:c r="S874" s="43" t="str">
        <x:v>Not reviewed</x:v>
      </x:c>
      <x:c r="T874" s="43" t="str">
        <x:v>Hold</x:v>
      </x:c>
      <x:c r="U874" s="43" t="str">
        <x:v>No</x:v>
      </x:c>
      <x:c r="V874" s="44"/>
      <x:c r="W874" s="43" t="str"/>
      <x:c r="X874" s="43" t="str"/>
      <x:c r="Y874" s="43" t="str"/>
      <x:c r="Z874" s="43" t="str">
        <x:v>https://www.get-information-schools.service.gov.uk/Downloads</x:v>
      </x:c>
    </x:row>
    <x:row r="875">
      <x:c r="A875" s="43" t="str">
        <x:v>UK independent</x:v>
      </x:c>
      <x:c r="B875" s="43" t="str">
        <x:v>100533</x:v>
      </x:c>
      <x:c r="C875" s="43" t="n">
        <x:f>IF(K875="Boarding school",30,0)+IF(J875&gt;=18,20,0)+IF(I875&lt;=11,10,0)+IF(L875="Has a sixth form",15,0)+IF(M875&gt;=200,10,0)+IF(N875&lt;&gt;"",10,0)</x:f>
        <x:v>30</x:v>
      </x:c>
      <x:c r="D875" s="43" t="str">
        <x:f>IF(C875&gt;=85,"A",IF(C875&gt;=65,"B","C"))</x:f>
        <x:v>C</x:v>
      </x:c>
      <x:c r="E875" s="43" t="str">
        <x:v>Knightsbridge School</x:v>
      </x:c>
      <x:c r="F875" s="43" t="str">
        <x:v>London</x:v>
      </x:c>
      <x:c r="G875" s="43" t="str"/>
      <x:c r="H875" s="43" t="str">
        <x:v>SW1X 0BD</x:v>
      </x:c>
      <x:c r="I875" s="43" t="n">
        <x:v>2</x:v>
      </x:c>
      <x:c r="J875" s="43" t="n">
        <x:v>16</x:v>
      </x:c>
      <x:c r="K875" s="43" t="str">
        <x:v>No boarders</x:v>
      </x:c>
      <x:c r="L875" s="43" t="str">
        <x:v>Does not have a sixth form</x:v>
      </x:c>
      <x:c r="M875" s="43" t="n">
        <x:v>295</x:v>
      </x:c>
      <x:c r="N875" s="43" t="str">
        <x:v>https://www.knightsbridgeschool.com/</x:v>
      </x:c>
      <x:c r="O875" s="43" t="str">
        <x:v>02075909000</x:v>
      </x:c>
      <x:c r="P875" s="43" t="str"/>
      <x:c r="Q875" s="43" t="str"/>
      <x:c r="R875" s="43" t="str">
        <x:v>Queued for contact research</x:v>
      </x:c>
      <x:c r="S875" s="43" t="str">
        <x:v>Not reviewed</x:v>
      </x:c>
      <x:c r="T875" s="43" t="str">
        <x:v>Hold</x:v>
      </x:c>
      <x:c r="U875" s="43" t="str">
        <x:v>No</x:v>
      </x:c>
      <x:c r="V875" s="44"/>
      <x:c r="W875" s="43" t="str"/>
      <x:c r="X875" s="43" t="str"/>
      <x:c r="Y875" s="43" t="str"/>
      <x:c r="Z875" s="43" t="str">
        <x:v>https://www.get-information-schools.service.gov.uk/Downloads</x:v>
      </x:c>
    </x:row>
    <x:row r="876">
      <x:c r="A876" s="43" t="str">
        <x:v>UK independent</x:v>
      </x:c>
      <x:c r="B876" s="43" t="str">
        <x:v>125772</x:v>
      </x:c>
      <x:c r="C876" s="43" t="n">
        <x:f>IF(K876="Boarding school",30,0)+IF(J876&gt;=18,20,0)+IF(I876&lt;=11,10,0)+IF(L876="Has a sixth form",15,0)+IF(M876&gt;=200,10,0)+IF(N876&lt;&gt;"",10,0)</x:f>
        <x:v>30</x:v>
      </x:c>
      <x:c r="D876" s="43" t="str">
        <x:f>IF(C876&gt;=85,"A",IF(C876&gt;=65,"B","C"))</x:f>
        <x:v>C</x:v>
      </x:c>
      <x:c r="E876" s="43" t="str">
        <x:v>Crackley Hall School</x:v>
      </x:c>
      <x:c r="F876" s="43" t="str">
        <x:v>Kenilworth</x:v>
      </x:c>
      <x:c r="G876" s="43" t="str">
        <x:v>Warwickshire</x:v>
      </x:c>
      <x:c r="H876" s="43" t="str">
        <x:v>CV8 2FT</x:v>
      </x:c>
      <x:c r="I876" s="43" t="n">
        <x:v>2</x:v>
      </x:c>
      <x:c r="J876" s="43" t="n">
        <x:v>11</x:v>
      </x:c>
      <x:c r="K876" s="43" t="str">
        <x:v>No boarders</x:v>
      </x:c>
      <x:c r="L876" s="43" t="str">
        <x:v>Does not have a sixth form</x:v>
      </x:c>
      <x:c r="M876" s="43" t="n">
        <x:v>294</x:v>
      </x:c>
      <x:c r="N876" s="43" t="str">
        <x:v>http://www.crackleyhall.co.uk</x:v>
      </x:c>
      <x:c r="O876" s="43" t="str">
        <x:v>01926514444</x:v>
      </x:c>
      <x:c r="P876" s="43" t="str"/>
      <x:c r="Q876" s="43" t="str"/>
      <x:c r="R876" s="43" t="str">
        <x:v>Queued for contact research</x:v>
      </x:c>
      <x:c r="S876" s="43" t="str">
        <x:v>Not reviewed</x:v>
      </x:c>
      <x:c r="T876" s="43" t="str">
        <x:v>Hold</x:v>
      </x:c>
      <x:c r="U876" s="43" t="str">
        <x:v>No</x:v>
      </x:c>
      <x:c r="V876" s="44"/>
      <x:c r="W876" s="43" t="str"/>
      <x:c r="X876" s="43" t="str"/>
      <x:c r="Y876" s="43" t="str"/>
      <x:c r="Z876" s="43" t="str">
        <x:v>https://www.get-information-schools.service.gov.uk/Downloads</x:v>
      </x:c>
    </x:row>
    <x:row r="877">
      <x:c r="A877" s="43" t="str">
        <x:v>UK independent</x:v>
      </x:c>
      <x:c r="B877" s="43" t="str">
        <x:v>102687</x:v>
      </x:c>
      <x:c r="C877" s="43" t="n">
        <x:f>IF(K877="Boarding school",30,0)+IF(J877&gt;=18,20,0)+IF(I877&lt;=11,10,0)+IF(L877="Has a sixth form",15,0)+IF(M877&gt;=200,10,0)+IF(N877&lt;&gt;"",10,0)</x:f>
        <x:v>30</x:v>
      </x:c>
      <x:c r="D877" s="43" t="str">
        <x:f>IF(C877&gt;=85,"A",IF(C877&gt;=65,"B","C"))</x:f>
        <x:v>C</x:v>
      </x:c>
      <x:c r="E877" s="43" t="str">
        <x:v>Donhead Preparatory School</x:v>
      </x:c>
      <x:c r="F877" s="43" t="str">
        <x:v>London</x:v>
      </x:c>
      <x:c r="G877" s="43" t="str"/>
      <x:c r="H877" s="43" t="str">
        <x:v>SW19 4ND</x:v>
      </x:c>
      <x:c r="I877" s="43" t="n">
        <x:v>3</x:v>
      </x:c>
      <x:c r="J877" s="43" t="n">
        <x:v>11</x:v>
      </x:c>
      <x:c r="K877" s="43" t="str">
        <x:v>No boarders</x:v>
      </x:c>
      <x:c r="L877" s="43" t="str">
        <x:v>Does not have a sixth form</x:v>
      </x:c>
      <x:c r="M877" s="43" t="n">
        <x:v>293</x:v>
      </x:c>
      <x:c r="N877" s="43" t="str">
        <x:v>https://www.donhead.org.uk</x:v>
      </x:c>
      <x:c r="O877" s="43" t="str">
        <x:v>02089467000</x:v>
      </x:c>
      <x:c r="P877" s="43" t="str"/>
      <x:c r="Q877" s="43" t="str"/>
      <x:c r="R877" s="43" t="str">
        <x:v>Queued for contact research</x:v>
      </x:c>
      <x:c r="S877" s="43" t="str">
        <x:v>Not reviewed</x:v>
      </x:c>
      <x:c r="T877" s="43" t="str">
        <x:v>Hold</x:v>
      </x:c>
      <x:c r="U877" s="43" t="str">
        <x:v>No</x:v>
      </x:c>
      <x:c r="V877" s="44"/>
      <x:c r="W877" s="43" t="str"/>
      <x:c r="X877" s="43" t="str"/>
      <x:c r="Y877" s="43" t="str"/>
      <x:c r="Z877" s="43" t="str">
        <x:v>https://www.get-information-schools.service.gov.uk/Downloads</x:v>
      </x:c>
    </x:row>
    <x:row r="878">
      <x:c r="A878" s="43" t="str">
        <x:v>UK independent</x:v>
      </x:c>
      <x:c r="B878" s="43" t="str">
        <x:v>126135</x:v>
      </x:c>
      <x:c r="C878" s="43" t="n">
        <x:f>IF(K878="Boarding school",30,0)+IF(J878&gt;=18,20,0)+IF(I878&lt;=11,10,0)+IF(L878="Has a sixth form",15,0)+IF(M878&gt;=200,10,0)+IF(N878&lt;&gt;"",10,0)</x:f>
        <x:v>30</x:v>
      </x:c>
      <x:c r="D878" s="43" t="str">
        <x:f>IF(C878&gt;=85,"A",IF(C878&gt;=65,"B","C"))</x:f>
        <x:v>C</x:v>
      </x:c>
      <x:c r="E878" s="43" t="str">
        <x:v>Great Walstead School</x:v>
      </x:c>
      <x:c r="F878" s="43" t="str">
        <x:v>Haywards Heath</x:v>
      </x:c>
      <x:c r="G878" s="43" t="str">
        <x:v>West Sussex</x:v>
      </x:c>
      <x:c r="H878" s="43" t="str">
        <x:v>RH16 2QL</x:v>
      </x:c>
      <x:c r="I878" s="43" t="n">
        <x:v>2</x:v>
      </x:c>
      <x:c r="J878" s="43" t="n">
        <x:v>13</x:v>
      </x:c>
      <x:c r="K878" s="43" t="str">
        <x:v>No boarders</x:v>
      </x:c>
      <x:c r="L878" s="43" t="str">
        <x:v>Does not have a sixth form</x:v>
      </x:c>
      <x:c r="M878" s="43" t="n">
        <x:v>293</x:v>
      </x:c>
      <x:c r="N878" s="43" t="str">
        <x:v>https://www.greatwalstead.co.uk</x:v>
      </x:c>
      <x:c r="O878" s="43" t="str">
        <x:v>01444483528</x:v>
      </x:c>
      <x:c r="P878" s="43" t="str"/>
      <x:c r="Q878" s="43" t="str"/>
      <x:c r="R878" s="43" t="str">
        <x:v>Queued for contact research</x:v>
      </x:c>
      <x:c r="S878" s="43" t="str">
        <x:v>Not reviewed</x:v>
      </x:c>
      <x:c r="T878" s="43" t="str">
        <x:v>Hold</x:v>
      </x:c>
      <x:c r="U878" s="43" t="str">
        <x:v>No</x:v>
      </x:c>
      <x:c r="V878" s="44"/>
      <x:c r="W878" s="43" t="str"/>
      <x:c r="X878" s="43" t="str"/>
      <x:c r="Y878" s="43" t="str"/>
      <x:c r="Z878" s="43" t="str">
        <x:v>https://www.get-information-schools.service.gov.uk/Downloads</x:v>
      </x:c>
    </x:row>
    <x:row r="879">
      <x:c r="A879" s="43" t="str">
        <x:v>UK independent</x:v>
      </x:c>
      <x:c r="B879" s="43" t="str">
        <x:v>120741</x:v>
      </x:c>
      <x:c r="C879" s="43" t="n">
        <x:f>IF(K879="Boarding school",30,0)+IF(J879&gt;=18,20,0)+IF(I879&lt;=11,10,0)+IF(L879="Has a sixth form",15,0)+IF(M879&gt;=200,10,0)+IF(N879&lt;&gt;"",10,0)</x:f>
        <x:v>30</x:v>
      </x:c>
      <x:c r="D879" s="43" t="str">
        <x:f>IF(C879&gt;=85,"A",IF(C879&gt;=65,"B","C"))</x:f>
        <x:v>C</x:v>
      </x:c>
      <x:c r="E879" s="43" t="str">
        <x:v>Copthill Independent Day School &amp; Nursery</x:v>
      </x:c>
      <x:c r="F879" s="43" t="str">
        <x:v>Stamford</x:v>
      </x:c>
      <x:c r="G879" s="43" t="str">
        <x:v>Lincolnshire</x:v>
      </x:c>
      <x:c r="H879" s="43" t="str">
        <x:v>PE9 3AD</x:v>
      </x:c>
      <x:c r="I879" s="43" t="n">
        <x:v>2</x:v>
      </x:c>
      <x:c r="J879" s="43" t="n">
        <x:v>11</x:v>
      </x:c>
      <x:c r="K879" s="43" t="str">
        <x:v>No boarders</x:v>
      </x:c>
      <x:c r="L879" s="43" t="str">
        <x:v>Does not have a sixth form</x:v>
      </x:c>
      <x:c r="M879" s="43" t="n">
        <x:v>292</x:v>
      </x:c>
      <x:c r="N879" s="43" t="str">
        <x:v>http://www.copthill.com/</x:v>
      </x:c>
      <x:c r="O879" s="43" t="str">
        <x:v>01780757506</x:v>
      </x:c>
      <x:c r="P879" s="43" t="str"/>
      <x:c r="Q879" s="43" t="str"/>
      <x:c r="R879" s="43" t="str">
        <x:v>Queued for contact research</x:v>
      </x:c>
      <x:c r="S879" s="43" t="str">
        <x:v>Not reviewed</x:v>
      </x:c>
      <x:c r="T879" s="43" t="str">
        <x:v>Hold</x:v>
      </x:c>
      <x:c r="U879" s="43" t="str">
        <x:v>No</x:v>
      </x:c>
      <x:c r="V879" s="44"/>
      <x:c r="W879" s="43" t="str"/>
      <x:c r="X879" s="43" t="str"/>
      <x:c r="Y879" s="43" t="str"/>
      <x:c r="Z879" s="43" t="str">
        <x:v>https://www.get-information-schools.service.gov.uk/Downloads</x:v>
      </x:c>
    </x:row>
    <x:row r="880">
      <x:c r="A880" s="43" t="str">
        <x:v>UK independent</x:v>
      </x:c>
      <x:c r="B880" s="43" t="str">
        <x:v>100508</x:v>
      </x:c>
      <x:c r="C880" s="43" t="n">
        <x:f>IF(K880="Boarding school",30,0)+IF(J880&gt;=18,20,0)+IF(I880&lt;=11,10,0)+IF(L880="Has a sixth form",15,0)+IF(M880&gt;=200,10,0)+IF(N880&lt;&gt;"",10,0)</x:f>
        <x:v>30</x:v>
      </x:c>
      <x:c r="D880" s="43" t="str">
        <x:f>IF(C880&gt;=85,"A",IF(C880&gt;=65,"B","C"))</x:f>
        <x:v>C</x:v>
      </x:c>
      <x:c r="E880" s="43" t="str">
        <x:v>Glendower Preparatory School</x:v>
      </x:c>
      <x:c r="F880" s="43" t="str">
        <x:v>London</x:v>
      </x:c>
      <x:c r="G880" s="43" t="str"/>
      <x:c r="H880" s="43" t="str">
        <x:v>SW7 5JX</x:v>
      </x:c>
      <x:c r="I880" s="43" t="n">
        <x:v>2</x:v>
      </x:c>
      <x:c r="J880" s="43" t="n">
        <x:v>11</x:v>
      </x:c>
      <x:c r="K880" s="43" t="str">
        <x:v>No boarders</x:v>
      </x:c>
      <x:c r="L880" s="43" t="str">
        <x:v>Does not have a sixth form</x:v>
      </x:c>
      <x:c r="M880" s="43" t="n">
        <x:v>292</x:v>
      </x:c>
      <x:c r="N880" s="43" t="str">
        <x:v>https://www.glendowerprep.org</x:v>
      </x:c>
      <x:c r="O880" s="43" t="str">
        <x:v>02073701927</x:v>
      </x:c>
      <x:c r="P880" s="43" t="str"/>
      <x:c r="Q880" s="43" t="str"/>
      <x:c r="R880" s="43" t="str">
        <x:v>Queued for contact research</x:v>
      </x:c>
      <x:c r="S880" s="43" t="str">
        <x:v>Not reviewed</x:v>
      </x:c>
      <x:c r="T880" s="43" t="str">
        <x:v>Hold</x:v>
      </x:c>
      <x:c r="U880" s="43" t="str">
        <x:v>No</x:v>
      </x:c>
      <x:c r="V880" s="44"/>
      <x:c r="W880" s="43" t="str"/>
      <x:c r="X880" s="43" t="str"/>
      <x:c r="Y880" s="43" t="str"/>
      <x:c r="Z880" s="43" t="str">
        <x:v>https://www.get-information-schools.service.gov.uk/Downloads</x:v>
      </x:c>
    </x:row>
    <x:row r="881">
      <x:c r="A881" s="43" t="str">
        <x:v>UK independent</x:v>
      </x:c>
      <x:c r="B881" s="43" t="str">
        <x:v>125444</x:v>
      </x:c>
      <x:c r="C881" s="43" t="n">
        <x:f>IF(K881="Boarding school",30,0)+IF(J881&gt;=18,20,0)+IF(I881&lt;=11,10,0)+IF(L881="Has a sixth form",15,0)+IF(M881&gt;=200,10,0)+IF(N881&lt;&gt;"",10,0)</x:f>
        <x:v>30</x:v>
      </x:c>
      <x:c r="D881" s="43" t="str">
        <x:f>IF(C881&gt;=85,"A",IF(C881&gt;=65,"B","C"))</x:f>
        <x:v>C</x:v>
      </x:c>
      <x:c r="E881" s="43" t="str">
        <x:v>Caterham Prep</x:v>
      </x:c>
      <x:c r="F881" s="43" t="str">
        <x:v>Caterham</x:v>
      </x:c>
      <x:c r="G881" s="43" t="str">
        <x:v>Surrey</x:v>
      </x:c>
      <x:c r="H881" s="43" t="str">
        <x:v>CR3 6YB</x:v>
      </x:c>
      <x:c r="I881" s="43" t="n">
        <x:v>4</x:v>
      </x:c>
      <x:c r="J881" s="43" t="n">
        <x:v>11</x:v>
      </x:c>
      <x:c r="K881" s="43" t="str">
        <x:v>No boarders</x:v>
      </x:c>
      <x:c r="L881" s="43" t="str">
        <x:v>Does not have a sixth form</x:v>
      </x:c>
      <x:c r="M881" s="43" t="n">
        <x:v>291</x:v>
      </x:c>
      <x:c r="N881" s="43" t="str">
        <x:v>https://www.caterhamprep.co.uk</x:v>
      </x:c>
      <x:c r="O881" s="43" t="str">
        <x:v>01883342097</x:v>
      </x:c>
      <x:c r="P881" s="43" t="str"/>
      <x:c r="Q881" s="43" t="str"/>
      <x:c r="R881" s="43" t="str">
        <x:v>Queued for contact research</x:v>
      </x:c>
      <x:c r="S881" s="43" t="str">
        <x:v>Not reviewed</x:v>
      </x:c>
      <x:c r="T881" s="43" t="str">
        <x:v>Hold</x:v>
      </x:c>
      <x:c r="U881" s="43" t="str">
        <x:v>No</x:v>
      </x:c>
      <x:c r="V881" s="44"/>
      <x:c r="W881" s="43" t="str"/>
      <x:c r="X881" s="43" t="str"/>
      <x:c r="Y881" s="43" t="str"/>
      <x:c r="Z881" s="43" t="str">
        <x:v>https://www.get-information-schools.service.gov.uk/Downloads</x:v>
      </x:c>
    </x:row>
    <x:row r="882">
      <x:c r="A882" s="43" t="str">
        <x:v>UK independent</x:v>
      </x:c>
      <x:c r="B882" s="43" t="str">
        <x:v>125394</x:v>
      </x:c>
      <x:c r="C882" s="43" t="n">
        <x:f>IF(K882="Boarding school",30,0)+IF(J882&gt;=18,20,0)+IF(I882&lt;=11,10,0)+IF(L882="Has a sixth form",15,0)+IF(M882&gt;=200,10,0)+IF(N882&lt;&gt;"",10,0)</x:f>
        <x:v>30</x:v>
      </x:c>
      <x:c r="D882" s="43" t="str">
        <x:f>IF(C882&gt;=85,"A",IF(C882&gt;=65,"B","C"))</x:f>
        <x:v>C</x:v>
      </x:c>
      <x:c r="E882" s="43" t="str">
        <x:v>Chinthurst School</x:v>
      </x:c>
      <x:c r="F882" s="43" t="str"/>
      <x:c r="G882" s="43" t="str"/>
      <x:c r="H882" s="43" t="str">
        <x:v>KT20 5QZ</x:v>
      </x:c>
      <x:c r="I882" s="43" t="n">
        <x:v>2</x:v>
      </x:c>
      <x:c r="J882" s="43" t="n">
        <x:v>11</x:v>
      </x:c>
      <x:c r="K882" s="43" t="str">
        <x:v>No boarders</x:v>
      </x:c>
      <x:c r="L882" s="43" t="str">
        <x:v>Does not have a sixth form</x:v>
      </x:c>
      <x:c r="M882" s="43" t="n">
        <x:v>290</x:v>
      </x:c>
      <x:c r="N882" s="43" t="str">
        <x:v>https://www.chinthurstschool.co.uk</x:v>
      </x:c>
      <x:c r="O882" s="43" t="str">
        <x:v>01737812011</x:v>
      </x:c>
      <x:c r="P882" s="43" t="str"/>
      <x:c r="Q882" s="43" t="str"/>
      <x:c r="R882" s="43" t="str">
        <x:v>Queued for contact research</x:v>
      </x:c>
      <x:c r="S882" s="43" t="str">
        <x:v>Not reviewed</x:v>
      </x:c>
      <x:c r="T882" s="43" t="str">
        <x:v>Hold</x:v>
      </x:c>
      <x:c r="U882" s="43" t="str">
        <x:v>No</x:v>
      </x:c>
      <x:c r="V882" s="44"/>
      <x:c r="W882" s="43" t="str"/>
      <x:c r="X882" s="43" t="str"/>
      <x:c r="Y882" s="43" t="str"/>
      <x:c r="Z882" s="43" t="str">
        <x:v>https://www.get-information-schools.service.gov.uk/Downloads</x:v>
      </x:c>
    </x:row>
    <x:row r="883">
      <x:c r="A883" s="43" t="str">
        <x:v>UK independent</x:v>
      </x:c>
      <x:c r="B883" s="43" t="str">
        <x:v>102609</x:v>
      </x:c>
      <x:c r="C883" s="43" t="n">
        <x:f>IF(K883="Boarding school",30,0)+IF(J883&gt;=18,20,0)+IF(I883&lt;=11,10,0)+IF(L883="Has a sixth form",15,0)+IF(M883&gt;=200,10,0)+IF(N883&lt;&gt;"",10,0)</x:f>
        <x:v>30</x:v>
      </x:c>
      <x:c r="D883" s="43" t="str">
        <x:f>IF(C883&gt;=85,"A",IF(C883&gt;=65,"B","C"))</x:f>
        <x:v>C</x:v>
      </x:c>
      <x:c r="E883" s="43" t="str">
        <x:v>Holy Cross Preparatory School</x:v>
      </x:c>
      <x:c r="F883" s="43" t="str"/>
      <x:c r="G883" s="43" t="str"/>
      <x:c r="H883" s="43" t="str">
        <x:v>KT2 7NU</x:v>
      </x:c>
      <x:c r="I883" s="43" t="n">
        <x:v>2</x:v>
      </x:c>
      <x:c r="J883" s="43" t="n">
        <x:v>11</x:v>
      </x:c>
      <x:c r="K883" s="43" t="str">
        <x:v>No boarders</x:v>
      </x:c>
      <x:c r="L883" s="43" t="str">
        <x:v>Does not have a sixth form</x:v>
      </x:c>
      <x:c r="M883" s="43" t="n">
        <x:v>289</x:v>
      </x:c>
      <x:c r="N883" s="43" t="str">
        <x:v>http://www.holycrossprepschool.co.uk/page/default.asp?title=Home&amp;pid=1</x:v>
      </x:c>
      <x:c r="O883" s="43" t="str">
        <x:v>02089420729</x:v>
      </x:c>
      <x:c r="P883" s="43" t="str"/>
      <x:c r="Q883" s="43" t="str"/>
      <x:c r="R883" s="43" t="str">
        <x:v>Queued for contact research</x:v>
      </x:c>
      <x:c r="S883" s="43" t="str">
        <x:v>Not reviewed</x:v>
      </x:c>
      <x:c r="T883" s="43" t="str">
        <x:v>Hold</x:v>
      </x:c>
      <x:c r="U883" s="43" t="str">
        <x:v>No</x:v>
      </x:c>
      <x:c r="V883" s="44"/>
      <x:c r="W883" s="43" t="str"/>
      <x:c r="X883" s="43" t="str"/>
      <x:c r="Y883" s="43" t="str"/>
      <x:c r="Z883" s="43" t="str">
        <x:v>https://www.get-information-schools.service.gov.uk/Downloads</x:v>
      </x:c>
    </x:row>
    <x:row r="884">
      <x:c r="A884" s="43" t="str">
        <x:v>UK independent</x:v>
      </x:c>
      <x:c r="B884" s="43" t="str">
        <x:v>149158</x:v>
      </x:c>
      <x:c r="C884" s="43" t="n">
        <x:f>IF(K884="Boarding school",30,0)+IF(J884&gt;=18,20,0)+IF(I884&lt;=11,10,0)+IF(L884="Has a sixth form",15,0)+IF(M884&gt;=200,10,0)+IF(N884&lt;&gt;"",10,0)</x:f>
        <x:v>30</x:v>
      </x:c>
      <x:c r="D884" s="43" t="str">
        <x:f>IF(C884&gt;=85,"A",IF(C884&gt;=65,"B","C"))</x:f>
        <x:v>C</x:v>
      </x:c>
      <x:c r="E884" s="43" t="str">
        <x:v>City Junior School</x:v>
      </x:c>
      <x:c r="F884" s="43" t="str"/>
      <x:c r="G884" s="43" t="str"/>
      <x:c r="H884" s="43" t="str">
        <x:v>WC1R 5EY</x:v>
      </x:c>
      <x:c r="I884" s="43" t="n">
        <x:v>7</x:v>
      </x:c>
      <x:c r="J884" s="43" t="n">
        <x:v>11</x:v>
      </x:c>
      <x:c r="K884" s="43" t="str">
        <x:v>No boarders</x:v>
      </x:c>
      <x:c r="L884" s="43" t="str">
        <x:v>Does not have a sixth form</x:v>
      </x:c>
      <x:c r="M884" s="43" t="n">
        <x:v>288</x:v>
      </x:c>
      <x:c r="N884" s="43" t="str">
        <x:v>https://www.cityjuniorschool.org.uk</x:v>
      </x:c>
      <x:c r="O884" s="43" t="str">
        <x:v>02038143506</x:v>
      </x:c>
      <x:c r="P884" s="43" t="str"/>
      <x:c r="Q884" s="43" t="str"/>
      <x:c r="R884" s="43" t="str">
        <x:v>Queued for contact research</x:v>
      </x:c>
      <x:c r="S884" s="43" t="str">
        <x:v>Not reviewed</x:v>
      </x:c>
      <x:c r="T884" s="43" t="str">
        <x:v>Hold</x:v>
      </x:c>
      <x:c r="U884" s="43" t="str">
        <x:v>No</x:v>
      </x:c>
      <x:c r="V884" s="44"/>
      <x:c r="W884" s="43" t="str"/>
      <x:c r="X884" s="43" t="str"/>
      <x:c r="Y884" s="43" t="str"/>
      <x:c r="Z884" s="43" t="str">
        <x:v>https://www.get-information-schools.service.gov.uk/Downloads</x:v>
      </x:c>
    </x:row>
    <x:row r="885">
      <x:c r="A885" s="43" t="str">
        <x:v>UK independent</x:v>
      </x:c>
      <x:c r="B885" s="43" t="str">
        <x:v>121225</x:v>
      </x:c>
      <x:c r="C885" s="43" t="n">
        <x:f>IF(K885="Boarding school",30,0)+IF(J885&gt;=18,20,0)+IF(I885&lt;=11,10,0)+IF(L885="Has a sixth form",15,0)+IF(M885&gt;=200,10,0)+IF(N885&lt;&gt;"",10,0)</x:f>
        <x:v>30</x:v>
      </x:c>
      <x:c r="D885" s="43" t="str">
        <x:f>IF(C885&gt;=85,"A",IF(C885&gt;=65,"B","C"))</x:f>
        <x:v>C</x:v>
      </x:c>
      <x:c r="E885" s="43" t="str">
        <x:v>Langley Preparatory School At Taverham Hall</x:v>
      </x:c>
      <x:c r="F885" s="43" t="str">
        <x:v>Norwich</x:v>
      </x:c>
      <x:c r="G885" s="43" t="str">
        <x:v>Norfolk</x:v>
      </x:c>
      <x:c r="H885" s="43" t="str">
        <x:v>NR8 6HU</x:v>
      </x:c>
      <x:c r="I885" s="43" t="n">
        <x:v>0</x:v>
      </x:c>
      <x:c r="J885" s="43" t="n">
        <x:v>13</x:v>
      </x:c>
      <x:c r="K885" s="43" t="str">
        <x:v>No boarders</x:v>
      </x:c>
      <x:c r="L885" s="43" t="str">
        <x:v>Does not have a sixth form</x:v>
      </x:c>
      <x:c r="M885" s="43" t="n">
        <x:v>288</x:v>
      </x:c>
      <x:c r="N885" s="43" t="str">
        <x:v>https://www.langleyschool.co.uk/prep/</x:v>
      </x:c>
      <x:c r="O885" s="43" t="str">
        <x:v>01603868206</x:v>
      </x:c>
      <x:c r="P885" s="43" t="str"/>
      <x:c r="Q885" s="43" t="str"/>
      <x:c r="R885" s="43" t="str">
        <x:v>Queued for contact research</x:v>
      </x:c>
      <x:c r="S885" s="43" t="str">
        <x:v>Not reviewed</x:v>
      </x:c>
      <x:c r="T885" s="43" t="str">
        <x:v>Hold</x:v>
      </x:c>
      <x:c r="U885" s="43" t="str">
        <x:v>No</x:v>
      </x:c>
      <x:c r="V885" s="44"/>
      <x:c r="W885" s="43" t="str"/>
      <x:c r="X885" s="43" t="str"/>
      <x:c r="Y885" s="43" t="str"/>
      <x:c r="Z885" s="43" t="str">
        <x:v>https://www.get-information-schools.service.gov.uk/Downloads</x:v>
      </x:c>
    </x:row>
    <x:row r="886">
      <x:c r="A886" s="43" t="str">
        <x:v>UK independent</x:v>
      </x:c>
      <x:c r="B886" s="43" t="str">
        <x:v>115801</x:v>
      </x:c>
      <x:c r="C886" s="43" t="n">
        <x:f>IF(K886="Boarding school",30,0)+IF(J886&gt;=18,20,0)+IF(I886&lt;=11,10,0)+IF(L886="Has a sixth form",15,0)+IF(M886&gt;=200,10,0)+IF(N886&lt;&gt;"",10,0)</x:f>
        <x:v>30</x:v>
      </x:c>
      <x:c r="D886" s="43" t="str">
        <x:f>IF(C886&gt;=85,"A",IF(C886&gt;=65,"B","C"))</x:f>
        <x:v>C</x:v>
      </x:c>
      <x:c r="E886" s="43" t="str">
        <x:v>The Richard Pate School</x:v>
      </x:c>
      <x:c r="F886" s="43" t="str">
        <x:v>Cheltenham</x:v>
      </x:c>
      <x:c r="G886" s="43" t="str">
        <x:v>Gloucestershire</x:v>
      </x:c>
      <x:c r="H886" s="43" t="str">
        <x:v>GL53 9RP</x:v>
      </x:c>
      <x:c r="I886" s="43" t="n">
        <x:v>3</x:v>
      </x:c>
      <x:c r="J886" s="43" t="n">
        <x:v>11</x:v>
      </x:c>
      <x:c r="K886" s="43" t="str">
        <x:v>No boarders</x:v>
      </x:c>
      <x:c r="L886" s="43" t="str">
        <x:v>Does not have a sixth form</x:v>
      </x:c>
      <x:c r="M886" s="43" t="n">
        <x:v>288</x:v>
      </x:c>
      <x:c r="N886" s="43" t="str">
        <x:v>https://www.richardpate.co.uk</x:v>
      </x:c>
      <x:c r="O886" s="43" t="str">
        <x:v>01242522086</x:v>
      </x:c>
      <x:c r="P886" s="43" t="str"/>
      <x:c r="Q886" s="43" t="str"/>
      <x:c r="R886" s="43" t="str">
        <x:v>Queued for contact research</x:v>
      </x:c>
      <x:c r="S886" s="43" t="str">
        <x:v>Not reviewed</x:v>
      </x:c>
      <x:c r="T886" s="43" t="str">
        <x:v>Hold</x:v>
      </x:c>
      <x:c r="U886" s="43" t="str">
        <x:v>No</x:v>
      </x:c>
      <x:c r="V886" s="44"/>
      <x:c r="W886" s="43" t="str"/>
      <x:c r="X886" s="43" t="str"/>
      <x:c r="Y886" s="43" t="str"/>
      <x:c r="Z886" s="43" t="str">
        <x:v>https://www.get-information-schools.service.gov.uk/Downloads</x:v>
      </x:c>
    </x:row>
    <x:row r="887">
      <x:c r="A887" s="43" t="str">
        <x:v>UK independent</x:v>
      </x:c>
      <x:c r="B887" s="43" t="str">
        <x:v>100371</x:v>
      </x:c>
      <x:c r="C887" s="43" t="n">
        <x:f>IF(K887="Boarding school",30,0)+IF(J887&gt;=18,20,0)+IF(I887&lt;=11,10,0)+IF(L887="Has a sixth form",15,0)+IF(M887&gt;=200,10,0)+IF(N887&lt;&gt;"",10,0)</x:f>
        <x:v>30</x:v>
      </x:c>
      <x:c r="D887" s="43" t="str">
        <x:f>IF(C887&gt;=85,"A",IF(C887&gt;=65,"B","C"))</x:f>
        <x:v>C</x:v>
      </x:c>
      <x:c r="E887" s="43" t="str">
        <x:v>Ecole Française de Londres Jacques Prévert</x:v>
      </x:c>
      <x:c r="F887" s="43" t="str">
        <x:v>London</x:v>
      </x:c>
      <x:c r="G887" s="43" t="str"/>
      <x:c r="H887" s="43" t="str">
        <x:v>W6 7BE</x:v>
      </x:c>
      <x:c r="I887" s="43" t="n">
        <x:v>2</x:v>
      </x:c>
      <x:c r="J887" s="43" t="n">
        <x:v>11</x:v>
      </x:c>
      <x:c r="K887" s="43" t="str">
        <x:v>No boarders</x:v>
      </x:c>
      <x:c r="L887" s="43" t="str">
        <x:v>Not applicable</x:v>
      </x:c>
      <x:c r="M887" s="43" t="n">
        <x:v>287</x:v>
      </x:c>
      <x:c r="N887" s="43" t="str">
        <x:v>http://www.ecoleprevert.org.uk/</x:v>
      </x:c>
      <x:c r="O887" s="43" t="str">
        <x:v>02076026871</x:v>
      </x:c>
      <x:c r="P887" s="43" t="str"/>
      <x:c r="Q887" s="43" t="str"/>
      <x:c r="R887" s="43" t="str">
        <x:v>Queued for contact research</x:v>
      </x:c>
      <x:c r="S887" s="43" t="str">
        <x:v>Not reviewed</x:v>
      </x:c>
      <x:c r="T887" s="43" t="str">
        <x:v>Hold</x:v>
      </x:c>
      <x:c r="U887" s="43" t="str">
        <x:v>No</x:v>
      </x:c>
      <x:c r="V887" s="44"/>
      <x:c r="W887" s="43" t="str"/>
      <x:c r="X887" s="43" t="str"/>
      <x:c r="Y887" s="43" t="str"/>
      <x:c r="Z887" s="43" t="str">
        <x:v>https://www.get-information-schools.service.gov.uk/Downloads</x:v>
      </x:c>
    </x:row>
    <x:row r="888">
      <x:c r="A888" s="43" t="str">
        <x:v>UK independent</x:v>
      </x:c>
      <x:c r="B888" s="43" t="str">
        <x:v>116518</x:v>
      </x:c>
      <x:c r="C888" s="43" t="n">
        <x:f>IF(K888="Boarding school",30,0)+IF(J888&gt;=18,20,0)+IF(I888&lt;=11,10,0)+IF(L888="Has a sixth form",15,0)+IF(M888&gt;=200,10,0)+IF(N888&lt;&gt;"",10,0)</x:f>
        <x:v>30</x:v>
      </x:c>
      <x:c r="D888" s="43" t="str">
        <x:f>IF(C888&gt;=85,"A",IF(C888&gt;=65,"B","C"))</x:f>
        <x:v>C</x:v>
      </x:c>
      <x:c r="E888" s="43" t="str">
        <x:v>St Nicholas' School</x:v>
      </x:c>
      <x:c r="F888" s="43" t="str">
        <x:v>Fleet</x:v>
      </x:c>
      <x:c r="G888" s="43" t="str">
        <x:v>Hampshire</x:v>
      </x:c>
      <x:c r="H888" s="43" t="str">
        <x:v>GU52 0RF</x:v>
      </x:c>
      <x:c r="I888" s="43" t="n">
        <x:v>3</x:v>
      </x:c>
      <x:c r="J888" s="43" t="n">
        <x:v>16</x:v>
      </x:c>
      <x:c r="K888" s="43" t="str">
        <x:v>No boarders</x:v>
      </x:c>
      <x:c r="L888" s="43" t="str">
        <x:v>Does not have a sixth form</x:v>
      </x:c>
      <x:c r="M888" s="43" t="n">
        <x:v>287</x:v>
      </x:c>
      <x:c r="N888" s="43" t="str">
        <x:v>https://www.stnicholas.school</x:v>
      </x:c>
      <x:c r="O888" s="43" t="str">
        <x:v>01252850121</x:v>
      </x:c>
      <x:c r="P888" s="43" t="str"/>
      <x:c r="Q888" s="43" t="str"/>
      <x:c r="R888" s="43" t="str">
        <x:v>Queued for contact research</x:v>
      </x:c>
      <x:c r="S888" s="43" t="str">
        <x:v>Not reviewed</x:v>
      </x:c>
      <x:c r="T888" s="43" t="str">
        <x:v>Hold</x:v>
      </x:c>
      <x:c r="U888" s="43" t="str">
        <x:v>No</x:v>
      </x:c>
      <x:c r="V888" s="44"/>
      <x:c r="W888" s="43" t="str"/>
      <x:c r="X888" s="43" t="str"/>
      <x:c r="Y888" s="43" t="str"/>
      <x:c r="Z888" s="43" t="str">
        <x:v>https://www.get-information-schools.service.gov.uk/Downloads</x:v>
      </x:c>
    </x:row>
    <x:row r="889">
      <x:c r="A889" s="43" t="str">
        <x:v>UK independent</x:v>
      </x:c>
      <x:c r="B889" s="43" t="str">
        <x:v>110543</x:v>
      </x:c>
      <x:c r="C889" s="43" t="n">
        <x:f>IF(K889="Boarding school",30,0)+IF(J889&gt;=18,20,0)+IF(I889&lt;=11,10,0)+IF(L889="Has a sixth form",15,0)+IF(M889&gt;=200,10,0)+IF(N889&lt;&gt;"",10,0)</x:f>
        <x:v>30</x:v>
      </x:c>
      <x:c r="D889" s="43" t="str">
        <x:f>IF(C889&gt;=85,"A",IF(C889&gt;=65,"B","C"))</x:f>
        <x:v>C</x:v>
      </x:c>
      <x:c r="E889" s="43" t="str">
        <x:v>Maltman's Green School</x:v>
      </x:c>
      <x:c r="F889" s="43" t="str">
        <x:v>Gerrards Cross</x:v>
      </x:c>
      <x:c r="G889" s="43" t="str">
        <x:v>Buckinghamshire</x:v>
      </x:c>
      <x:c r="H889" s="43" t="str">
        <x:v>SL9 8RR</x:v>
      </x:c>
      <x:c r="I889" s="43" t="n">
        <x:v>2</x:v>
      </x:c>
      <x:c r="J889" s="43" t="n">
        <x:v>11</x:v>
      </x:c>
      <x:c r="K889" s="43" t="str">
        <x:v>No boarders</x:v>
      </x:c>
      <x:c r="L889" s="43" t="str">
        <x:v>Does not have a sixth form</x:v>
      </x:c>
      <x:c r="M889" s="43" t="n">
        <x:v>286</x:v>
      </x:c>
      <x:c r="N889" s="43" t="str">
        <x:v>https://www.maltmansgreen.com</x:v>
      </x:c>
      <x:c r="O889" s="43" t="str">
        <x:v>01753883022</x:v>
      </x:c>
      <x:c r="P889" s="43" t="str"/>
      <x:c r="Q889" s="43" t="str"/>
      <x:c r="R889" s="43" t="str">
        <x:v>Queued for contact research</x:v>
      </x:c>
      <x:c r="S889" s="43" t="str">
        <x:v>Not reviewed</x:v>
      </x:c>
      <x:c r="T889" s="43" t="str">
        <x:v>Hold</x:v>
      </x:c>
      <x:c r="U889" s="43" t="str">
        <x:v>No</x:v>
      </x:c>
      <x:c r="V889" s="44"/>
      <x:c r="W889" s="43" t="str"/>
      <x:c r="X889" s="43" t="str"/>
      <x:c r="Y889" s="43" t="str"/>
      <x:c r="Z889" s="43" t="str">
        <x:v>https://www.get-information-schools.service.gov.uk/Downloads</x:v>
      </x:c>
    </x:row>
    <x:row r="890">
      <x:c r="A890" s="43" t="str">
        <x:v>UK independent</x:v>
      </x:c>
      <x:c r="B890" s="43" t="str">
        <x:v>107585</x:v>
      </x:c>
      <x:c r="C890" s="43" t="n">
        <x:f>IF(K890="Boarding school",30,0)+IF(J890&gt;=18,20,0)+IF(I890&lt;=11,10,0)+IF(L890="Has a sixth form",15,0)+IF(M890&gt;=200,10,0)+IF(N890&lt;&gt;"",10,0)</x:f>
        <x:v>30</x:v>
      </x:c>
      <x:c r="D890" s="43" t="str">
        <x:f>IF(C890&gt;=85,"A",IF(C890&gt;=65,"B","C"))</x:f>
        <x:v>C</x:v>
      </x:c>
      <x:c r="E890" s="43" t="str">
        <x:v>Hipperholme Grammar School</x:v>
      </x:c>
      <x:c r="F890" s="43" t="str"/>
      <x:c r="G890" s="43" t="str"/>
      <x:c r="H890" s="43" t="str">
        <x:v>HX3 8JE</x:v>
      </x:c>
      <x:c r="I890" s="43" t="n">
        <x:v>3</x:v>
      </x:c>
      <x:c r="J890" s="43" t="n">
        <x:v>16</x:v>
      </x:c>
      <x:c r="K890" s="43" t="str">
        <x:v>No boarders</x:v>
      </x:c>
      <x:c r="L890" s="43" t="str">
        <x:v>Does not have a sixth form</x:v>
      </x:c>
      <x:c r="M890" s="43" t="n">
        <x:v>285</x:v>
      </x:c>
      <x:c r="N890" s="43" t="str">
        <x:v>https://www.hgsf.org.uk</x:v>
      </x:c>
      <x:c r="O890" s="43" t="str">
        <x:v>01422202256</x:v>
      </x:c>
      <x:c r="P890" s="43" t="str"/>
      <x:c r="Q890" s="43" t="str"/>
      <x:c r="R890" s="43" t="str">
        <x:v>Queued for contact research</x:v>
      </x:c>
      <x:c r="S890" s="43" t="str">
        <x:v>Not reviewed</x:v>
      </x:c>
      <x:c r="T890" s="43" t="str">
        <x:v>Hold</x:v>
      </x:c>
      <x:c r="U890" s="43" t="str">
        <x:v>No</x:v>
      </x:c>
      <x:c r="V890" s="44"/>
      <x:c r="W890" s="43" t="str"/>
      <x:c r="X890" s="43" t="str"/>
      <x:c r="Y890" s="43" t="str"/>
      <x:c r="Z890" s="43" t="str">
        <x:v>https://www.get-information-schools.service.gov.uk/Downloads</x:v>
      </x:c>
    </x:row>
    <x:row r="891">
      <x:c r="A891" s="43" t="str">
        <x:v>UK independent</x:v>
      </x:c>
      <x:c r="B891" s="43" t="str">
        <x:v>102689</x:v>
      </x:c>
      <x:c r="C891" s="43" t="n">
        <x:f>IF(K891="Boarding school",30,0)+IF(J891&gt;=18,20,0)+IF(I891&lt;=11,10,0)+IF(L891="Has a sixth form",15,0)+IF(M891&gt;=200,10,0)+IF(N891&lt;&gt;"",10,0)</x:f>
        <x:v>30</x:v>
      </x:c>
      <x:c r="D891" s="43" t="str">
        <x:f>IF(C891&gt;=85,"A",IF(C891&gt;=65,"B","C"))</x:f>
        <x:v>C</x:v>
      </x:c>
      <x:c r="E891" s="43" t="str">
        <x:v>The Study Preparatory School</x:v>
      </x:c>
      <x:c r="F891" s="43" t="str">
        <x:v>London</x:v>
      </x:c>
      <x:c r="G891" s="43" t="str"/>
      <x:c r="H891" s="43" t="str">
        <x:v>SW19 4UN</x:v>
      </x:c>
      <x:c r="I891" s="43" t="n">
        <x:v>4</x:v>
      </x:c>
      <x:c r="J891" s="43" t="n">
        <x:v>11</x:v>
      </x:c>
      <x:c r="K891" s="43" t="str">
        <x:v>No boarders</x:v>
      </x:c>
      <x:c r="L891" s="43" t="str">
        <x:v>Does not have a sixth form</x:v>
      </x:c>
      <x:c r="M891" s="43" t="n">
        <x:v>285</x:v>
      </x:c>
      <x:c r="N891" s="43" t="str">
        <x:v>https://www.thestudyprep.co.uk</x:v>
      </x:c>
      <x:c r="O891" s="43" t="str">
        <x:v>02089476969</x:v>
      </x:c>
      <x:c r="P891" s="43" t="str"/>
      <x:c r="Q891" s="43" t="str"/>
      <x:c r="R891" s="43" t="str">
        <x:v>Queued for contact research</x:v>
      </x:c>
      <x:c r="S891" s="43" t="str">
        <x:v>Not reviewed</x:v>
      </x:c>
      <x:c r="T891" s="43" t="str">
        <x:v>Hold</x:v>
      </x:c>
      <x:c r="U891" s="43" t="str">
        <x:v>No</x:v>
      </x:c>
      <x:c r="V891" s="44"/>
      <x:c r="W891" s="43" t="str"/>
      <x:c r="X891" s="43" t="str"/>
      <x:c r="Y891" s="43" t="str"/>
      <x:c r="Z891" s="43" t="str">
        <x:v>https://www.get-information-schools.service.gov.uk/Downloads</x:v>
      </x:c>
    </x:row>
    <x:row r="892">
      <x:c r="A892" s="43" t="str">
        <x:v>UK independent</x:v>
      </x:c>
      <x:c r="B892" s="43" t="str">
        <x:v>113587</x:v>
      </x:c>
      <x:c r="C892" s="43" t="n">
        <x:f>IF(K892="Boarding school",30,0)+IF(J892&gt;=18,20,0)+IF(I892&lt;=11,10,0)+IF(L892="Has a sixth form",15,0)+IF(M892&gt;=200,10,0)+IF(N892&lt;&gt;"",10,0)</x:f>
        <x:v>30</x:v>
      </x:c>
      <x:c r="D892" s="43" t="str">
        <x:f>IF(C892&gt;=85,"A",IF(C892&gt;=65,"B","C"))</x:f>
        <x:v>C</x:v>
      </x:c>
      <x:c r="E892" s="43" t="str">
        <x:v>St Peter's Preparatory School</x:v>
      </x:c>
      <x:c r="F892" s="43" t="str"/>
      <x:c r="G892" s="43" t="str"/>
      <x:c r="H892" s="43" t="str">
        <x:v>EX8 5AU</x:v>
      </x:c>
      <x:c r="I892" s="43" t="n">
        <x:v>3</x:v>
      </x:c>
      <x:c r="J892" s="43" t="n">
        <x:v>13</x:v>
      </x:c>
      <x:c r="K892" s="43" t="str">
        <x:v>No boarders</x:v>
      </x:c>
      <x:c r="L892" s="43" t="str">
        <x:v>Does not have a sixth form</x:v>
      </x:c>
      <x:c r="M892" s="43" t="n">
        <x:v>283</x:v>
      </x:c>
      <x:c r="N892" s="43" t="str">
        <x:v>https://www.stpetersprep.co.uk</x:v>
      </x:c>
      <x:c r="O892" s="43" t="str">
        <x:v>01395272148</x:v>
      </x:c>
      <x:c r="P892" s="43" t="str"/>
      <x:c r="Q892" s="43" t="str"/>
      <x:c r="R892" s="43" t="str">
        <x:v>Queued for contact research</x:v>
      </x:c>
      <x:c r="S892" s="43" t="str">
        <x:v>Not reviewed</x:v>
      </x:c>
      <x:c r="T892" s="43" t="str">
        <x:v>Hold</x:v>
      </x:c>
      <x:c r="U892" s="43" t="str">
        <x:v>No</x:v>
      </x:c>
      <x:c r="V892" s="44"/>
      <x:c r="W892" s="43" t="str"/>
      <x:c r="X892" s="43" t="str"/>
      <x:c r="Y892" s="43" t="str"/>
      <x:c r="Z892" s="43" t="str">
        <x:v>https://www.get-information-schools.service.gov.uk/Downloads</x:v>
      </x:c>
    </x:row>
    <x:row r="893">
      <x:c r="A893" s="43" t="str">
        <x:v>UK independent</x:v>
      </x:c>
      <x:c r="B893" s="43" t="str">
        <x:v>116514</x:v>
      </x:c>
      <x:c r="C893" s="43" t="n">
        <x:f>IF(K893="Boarding school",30,0)+IF(J893&gt;=18,20,0)+IF(I893&lt;=11,10,0)+IF(L893="Has a sixth form",15,0)+IF(M893&gt;=200,10,0)+IF(N893&lt;&gt;"",10,0)</x:f>
        <x:v>30</x:v>
      </x:c>
      <x:c r="D893" s="43" t="str">
        <x:f>IF(C893&gt;=85,"A",IF(C893&gt;=65,"B","C"))</x:f>
        <x:v>C</x:v>
      </x:c>
      <x:c r="E893" s="43" t="str">
        <x:v>Sherborne House School</x:v>
      </x:c>
      <x:c r="F893" s="43" t="str">
        <x:v>Eastleigh</x:v>
      </x:c>
      <x:c r="G893" s="43" t="str">
        <x:v>Hampshire</x:v>
      </x:c>
      <x:c r="H893" s="43" t="str">
        <x:v>SO53 1EU</x:v>
      </x:c>
      <x:c r="I893" s="43" t="n">
        <x:v>0</x:v>
      </x:c>
      <x:c r="J893" s="43" t="n">
        <x:v>11</x:v>
      </x:c>
      <x:c r="K893" s="43" t="str">
        <x:v>No boarders</x:v>
      </x:c>
      <x:c r="L893" s="43" t="str">
        <x:v>Does not have a sixth form</x:v>
      </x:c>
      <x:c r="M893" s="43" t="n">
        <x:v>282</x:v>
      </x:c>
      <x:c r="N893" s="43" t="str">
        <x:v>https://www.sherbornehouse.co.uk</x:v>
      </x:c>
      <x:c r="O893" s="43" t="str">
        <x:v>02380252440</x:v>
      </x:c>
      <x:c r="P893" s="43" t="str"/>
      <x:c r="Q893" s="43" t="str"/>
      <x:c r="R893" s="43" t="str">
        <x:v>Queued for contact research</x:v>
      </x:c>
      <x:c r="S893" s="43" t="str">
        <x:v>Not reviewed</x:v>
      </x:c>
      <x:c r="T893" s="43" t="str">
        <x:v>Hold</x:v>
      </x:c>
      <x:c r="U893" s="43" t="str">
        <x:v>No</x:v>
      </x:c>
      <x:c r="V893" s="44"/>
      <x:c r="W893" s="43" t="str"/>
      <x:c r="X893" s="43" t="str"/>
      <x:c r="Y893" s="43" t="str"/>
      <x:c r="Z893" s="43" t="str">
        <x:v>https://www.get-information-schools.service.gov.uk/Downloads</x:v>
      </x:c>
    </x:row>
    <x:row r="894">
      <x:c r="A894" s="43" t="str">
        <x:v>UK independent</x:v>
      </x:c>
      <x:c r="B894" s="43" t="str">
        <x:v>125392</x:v>
      </x:c>
      <x:c r="C894" s="43" t="n">
        <x:f>IF(K894="Boarding school",30,0)+IF(J894&gt;=18,20,0)+IF(I894&lt;=11,10,0)+IF(L894="Has a sixth form",15,0)+IF(M894&gt;=200,10,0)+IF(N894&lt;&gt;"",10,0)</x:f>
        <x:v>30</x:v>
      </x:c>
      <x:c r="D894" s="43" t="str">
        <x:f>IF(C894&gt;=85,"A",IF(C894&gt;=65,"B","C"))</x:f>
        <x:v>C</x:v>
      </x:c>
      <x:c r="E894" s="43" t="str">
        <x:v>Barfield Prep School</x:v>
      </x:c>
      <x:c r="F894" s="43" t="str">
        <x:v>Guildford</x:v>
      </x:c>
      <x:c r="G894" s="43" t="str">
        <x:v>Surrey</x:v>
      </x:c>
      <x:c r="H894" s="43" t="str">
        <x:v>GU10 1PB</x:v>
      </x:c>
      <x:c r="I894" s="43" t="n">
        <x:v>2</x:v>
      </x:c>
      <x:c r="J894" s="43" t="n">
        <x:v>11</x:v>
      </x:c>
      <x:c r="K894" s="43" t="str">
        <x:v>No boarders</x:v>
      </x:c>
      <x:c r="L894" s="43" t="str">
        <x:v>Does not have a sixth form</x:v>
      </x:c>
      <x:c r="M894" s="43" t="n">
        <x:v>281</x:v>
      </x:c>
      <x:c r="N894" s="43" t="str">
        <x:v>https://www.barfieldprep.org.uk</x:v>
      </x:c>
      <x:c r="O894" s="43" t="str">
        <x:v>01252782271</x:v>
      </x:c>
      <x:c r="P894" s="43" t="str"/>
      <x:c r="Q894" s="43" t="str"/>
      <x:c r="R894" s="43" t="str">
        <x:v>Queued for contact research</x:v>
      </x:c>
      <x:c r="S894" s="43" t="str">
        <x:v>Not reviewed</x:v>
      </x:c>
      <x:c r="T894" s="43" t="str">
        <x:v>Hold</x:v>
      </x:c>
      <x:c r="U894" s="43" t="str">
        <x:v>No</x:v>
      </x:c>
      <x:c r="V894" s="44"/>
      <x:c r="W894" s="43" t="str"/>
      <x:c r="X894" s="43" t="str"/>
      <x:c r="Y894" s="43" t="str"/>
      <x:c r="Z894" s="43" t="str">
        <x:v>https://www.get-information-schools.service.gov.uk/Downloads</x:v>
      </x:c>
    </x:row>
    <x:row r="895">
      <x:c r="A895" s="43" t="str">
        <x:v>UK independent</x:v>
      </x:c>
      <x:c r="B895" s="43" t="str">
        <x:v>115409</x:v>
      </x:c>
      <x:c r="C895" s="43" t="n">
        <x:f>IF(K895="Boarding school",30,0)+IF(J895&gt;=18,20,0)+IF(I895&lt;=11,10,0)+IF(L895="Has a sixth form",15,0)+IF(M895&gt;=200,10,0)+IF(N895&lt;&gt;"",10,0)</x:f>
        <x:v>30</x:v>
      </x:c>
      <x:c r="D895" s="43" t="str">
        <x:f>IF(C895&gt;=85,"A",IF(C895&gt;=65,"B","C"))</x:f>
        <x:v>C</x:v>
      </x:c>
      <x:c r="E895" s="43" t="str">
        <x:v>Colchester Prep &amp; High School</x:v>
      </x:c>
      <x:c r="F895" s="43" t="str">
        <x:v>Colchester</x:v>
      </x:c>
      <x:c r="G895" s="43" t="str">
        <x:v>Essex</x:v>
      </x:c>
      <x:c r="H895" s="43" t="str">
        <x:v>CO3 3HD</x:v>
      </x:c>
      <x:c r="I895" s="43" t="n">
        <x:v>2</x:v>
      </x:c>
      <x:c r="J895" s="43" t="n">
        <x:v>16</x:v>
      </x:c>
      <x:c r="K895" s="43" t="str">
        <x:v>No boarders</x:v>
      </x:c>
      <x:c r="L895" s="43" t="str">
        <x:v>Does not have a sixth form</x:v>
      </x:c>
      <x:c r="M895" s="43" t="n">
        <x:v>280</x:v>
      </x:c>
      <x:c r="N895" s="43" t="str">
        <x:v>https://www.colchesterhighschool.co.uk</x:v>
      </x:c>
      <x:c r="O895" s="43" t="str">
        <x:v>01206573389</x:v>
      </x:c>
      <x:c r="P895" s="43" t="str"/>
      <x:c r="Q895" s="43" t="str"/>
      <x:c r="R895" s="43" t="str">
        <x:v>Queued for contact research</x:v>
      </x:c>
      <x:c r="S895" s="43" t="str">
        <x:v>Not reviewed</x:v>
      </x:c>
      <x:c r="T895" s="43" t="str">
        <x:v>Hold</x:v>
      </x:c>
      <x:c r="U895" s="43" t="str">
        <x:v>No</x:v>
      </x:c>
      <x:c r="V895" s="44"/>
      <x:c r="W895" s="43" t="str"/>
      <x:c r="X895" s="43" t="str"/>
      <x:c r="Y895" s="43" t="str"/>
      <x:c r="Z895" s="43" t="str">
        <x:v>https://www.get-information-schools.service.gov.uk/Downloads</x:v>
      </x:c>
    </x:row>
    <x:row r="896">
      <x:c r="A896" s="43" t="str">
        <x:v>UK independent</x:v>
      </x:c>
      <x:c r="B896" s="43" t="str">
        <x:v>139826</x:v>
      </x:c>
      <x:c r="C896" s="43" t="n">
        <x:f>IF(K896="Boarding school",30,0)+IF(J896&gt;=18,20,0)+IF(I896&lt;=11,10,0)+IF(L896="Has a sixth form",15,0)+IF(M896&gt;=200,10,0)+IF(N896&lt;&gt;"",10,0)</x:f>
        <x:v>30</x:v>
      </x:c>
      <x:c r="D896" s="43" t="str">
        <x:f>IF(C896&gt;=85,"A",IF(C896&gt;=65,"B","C"))</x:f>
        <x:v>C</x:v>
      </x:c>
      <x:c r="E896" s="43" t="str">
        <x:v>Read Academy Education</x:v>
      </x:c>
      <x:c r="F896" s="43" t="str">
        <x:v>Ilford</x:v>
      </x:c>
      <x:c r="G896" s="43" t="str">
        <x:v>Essex</x:v>
      </x:c>
      <x:c r="H896" s="43" t="str">
        <x:v>IG1 3BD</x:v>
      </x:c>
      <x:c r="I896" s="43" t="n">
        <x:v>3</x:v>
      </x:c>
      <x:c r="J896" s="43" t="n">
        <x:v>16</x:v>
      </x:c>
      <x:c r="K896" s="43" t="str">
        <x:v>No boarders</x:v>
      </x:c>
      <x:c r="L896" s="43" t="str">
        <x:v>Does not have a sixth form</x:v>
      </x:c>
      <x:c r="M896" s="43" t="n">
        <x:v>280</x:v>
      </x:c>
      <x:c r="N896" s="43" t="str">
        <x:v>https://www.readacademy.co.uk</x:v>
      </x:c>
      <x:c r="O896" s="43" t="str">
        <x:v>02085549111</x:v>
      </x:c>
      <x:c r="P896" s="43" t="str"/>
      <x:c r="Q896" s="43" t="str"/>
      <x:c r="R896" s="43" t="str">
        <x:v>Queued for contact research</x:v>
      </x:c>
      <x:c r="S896" s="43" t="str">
        <x:v>Not reviewed</x:v>
      </x:c>
      <x:c r="T896" s="43" t="str">
        <x:v>Hold</x:v>
      </x:c>
      <x:c r="U896" s="43" t="str">
        <x:v>No</x:v>
      </x:c>
      <x:c r="V896" s="44"/>
      <x:c r="W896" s="43" t="str"/>
      <x:c r="X896" s="43" t="str"/>
      <x:c r="Y896" s="43" t="str"/>
      <x:c r="Z896" s="43" t="str">
        <x:v>https://www.get-information-schools.service.gov.uk/Downloads</x:v>
      </x:c>
    </x:row>
    <x:row r="897">
      <x:c r="A897" s="43" t="str">
        <x:v>UK independent</x:v>
      </x:c>
      <x:c r="B897" s="43" t="str">
        <x:v>131165</x:v>
      </x:c>
      <x:c r="C897" s="43" t="n">
        <x:f>IF(K897="Boarding school",30,0)+IF(J897&gt;=18,20,0)+IF(I897&lt;=11,10,0)+IF(L897="Has a sixth form",15,0)+IF(M897&gt;=200,10,0)+IF(N897&lt;&gt;"",10,0)</x:f>
        <x:v>30</x:v>
      </x:c>
      <x:c r="D897" s="43" t="str">
        <x:f>IF(C897&gt;=85,"A",IF(C897&gt;=65,"B","C"))</x:f>
        <x:v>C</x:v>
      </x:c>
      <x:c r="E897" s="43" t="str">
        <x:v>The Fulham Prep School Ltd</x:v>
      </x:c>
      <x:c r="F897" s="43" t="str">
        <x:v>London</x:v>
      </x:c>
      <x:c r="G897" s="43" t="str"/>
      <x:c r="H897" s="43" t="str">
        <x:v>W14 9SD</x:v>
      </x:c>
      <x:c r="I897" s="43" t="n">
        <x:v>1</x:v>
      </x:c>
      <x:c r="J897" s="43" t="n">
        <x:v>14</x:v>
      </x:c>
      <x:c r="K897" s="43" t="str">
        <x:v>No boarders</x:v>
      </x:c>
      <x:c r="L897" s="43" t="str">
        <x:v>Does not have a sixth form</x:v>
      </x:c>
      <x:c r="M897" s="43" t="n">
        <x:v>280</x:v>
      </x:c>
      <x:c r="N897" s="43" t="str">
        <x:v>https://www.fulhamprep.co.uk/</x:v>
      </x:c>
      <x:c r="O897" s="43" t="str">
        <x:v>02073862444</x:v>
      </x:c>
      <x:c r="P897" s="43" t="str"/>
      <x:c r="Q897" s="43" t="str"/>
      <x:c r="R897" s="43" t="str">
        <x:v>Queued for contact research</x:v>
      </x:c>
      <x:c r="S897" s="43" t="str">
        <x:v>Not reviewed</x:v>
      </x:c>
      <x:c r="T897" s="43" t="str">
        <x:v>Hold</x:v>
      </x:c>
      <x:c r="U897" s="43" t="str">
        <x:v>No</x:v>
      </x:c>
      <x:c r="V897" s="44"/>
      <x:c r="W897" s="43" t="str"/>
      <x:c r="X897" s="43" t="str"/>
      <x:c r="Y897" s="43" t="str"/>
      <x:c r="Z897" s="43" t="str">
        <x:v>https://www.get-information-schools.service.gov.uk/Downloads</x:v>
      </x:c>
    </x:row>
    <x:row r="898">
      <x:c r="A898" s="43" t="str">
        <x:v>UK independent</x:v>
      </x:c>
      <x:c r="B898" s="43" t="str">
        <x:v>110142</x:v>
      </x:c>
      <x:c r="C898" s="43" t="n">
        <x:f>IF(K898="Boarding school",30,0)+IF(J898&gt;=18,20,0)+IF(I898&lt;=11,10,0)+IF(L898="Has a sixth form",15,0)+IF(M898&gt;=200,10,0)+IF(N898&lt;&gt;"",10,0)</x:f>
        <x:v>30</x:v>
      </x:c>
      <x:c r="D898" s="43" t="str">
        <x:f>IF(C898&gt;=85,"A",IF(C898&gt;=65,"B","C"))</x:f>
        <x:v>C</x:v>
      </x:c>
      <x:c r="E898" s="43" t="str">
        <x:v>Waverley Preparatory School &amp; Day Nursery</x:v>
      </x:c>
      <x:c r="F898" s="43" t="str">
        <x:v>Berkshire</x:v>
      </x:c>
      <x:c r="G898" s="43" t="str"/>
      <x:c r="H898" s="43" t="str">
        <x:v>RG40 4YD</x:v>
      </x:c>
      <x:c r="I898" s="43" t="n">
        <x:v>0</x:v>
      </x:c>
      <x:c r="J898" s="43" t="n">
        <x:v>11</x:v>
      </x:c>
      <x:c r="K898" s="43" t="str">
        <x:v>No boarders</x:v>
      </x:c>
      <x:c r="L898" s="43" t="str">
        <x:v>Does not have a sixth form</x:v>
      </x:c>
      <x:c r="M898" s="43" t="n">
        <x:v>280</x:v>
      </x:c>
      <x:c r="N898" s="43" t="str">
        <x:v>https://www.waverleyschool.co.uk</x:v>
      </x:c>
      <x:c r="O898" s="43" t="str">
        <x:v>01189731121</x:v>
      </x:c>
      <x:c r="P898" s="43" t="str"/>
      <x:c r="Q898" s="43" t="str"/>
      <x:c r="R898" s="43" t="str">
        <x:v>Queued for contact research</x:v>
      </x:c>
      <x:c r="S898" s="43" t="str">
        <x:v>Not reviewed</x:v>
      </x:c>
      <x:c r="T898" s="43" t="str">
        <x:v>Hold</x:v>
      </x:c>
      <x:c r="U898" s="43" t="str">
        <x:v>No</x:v>
      </x:c>
      <x:c r="V898" s="44"/>
      <x:c r="W898" s="43" t="str"/>
      <x:c r="X898" s="43" t="str"/>
      <x:c r="Y898" s="43" t="str"/>
      <x:c r="Z898" s="43" t="str">
        <x:v>https://www.get-information-schools.service.gov.uk/Downloads</x:v>
      </x:c>
    </x:row>
    <x:row r="899">
      <x:c r="A899" s="43" t="str">
        <x:v>UK independent</x:v>
      </x:c>
      <x:c r="B899" s="43" t="str">
        <x:v>119833</x:v>
      </x:c>
      <x:c r="C899" s="43" t="n">
        <x:f>IF(K899="Boarding school",30,0)+IF(J899&gt;=18,20,0)+IF(I899&lt;=11,10,0)+IF(L899="Has a sixth form",15,0)+IF(M899&gt;=200,10,0)+IF(N899&lt;&gt;"",10,0)</x:f>
        <x:v>30</x:v>
      </x:c>
      <x:c r="D899" s="43" t="str">
        <x:f>IF(C899&gt;=85,"A",IF(C899&gt;=65,"B","C"))</x:f>
        <x:v>C</x:v>
      </x:c>
      <x:c r="E899" s="43" t="str">
        <x:v>Oakhill School</x:v>
      </x:c>
      <x:c r="F899" s="43" t="str">
        <x:v>Clitheroe</x:v>
      </x:c>
      <x:c r="G899" s="43" t="str">
        <x:v>Lancashire</x:v>
      </x:c>
      <x:c r="H899" s="43" t="str">
        <x:v>BB7 9AF</x:v>
      </x:c>
      <x:c r="I899" s="43" t="n">
        <x:v>0</x:v>
      </x:c>
      <x:c r="J899" s="43" t="n">
        <x:v>16</x:v>
      </x:c>
      <x:c r="K899" s="43" t="str">
        <x:v>No boarders</x:v>
      </x:c>
      <x:c r="L899" s="43" t="str">
        <x:v>Does not have a sixth form</x:v>
      </x:c>
      <x:c r="M899" s="43" t="n">
        <x:v>279</x:v>
      </x:c>
      <x:c r="N899" s="43" t="str">
        <x:v>https://www.oakhillschool.co.uk</x:v>
      </x:c>
      <x:c r="O899" s="43" t="str">
        <x:v>01254823546</x:v>
      </x:c>
      <x:c r="P899" s="43" t="str"/>
      <x:c r="Q899" s="43" t="str"/>
      <x:c r="R899" s="43" t="str">
        <x:v>Queued for contact research</x:v>
      </x:c>
      <x:c r="S899" s="43" t="str">
        <x:v>Not reviewed</x:v>
      </x:c>
      <x:c r="T899" s="43" t="str">
        <x:v>Hold</x:v>
      </x:c>
      <x:c r="U899" s="43" t="str">
        <x:v>No</x:v>
      </x:c>
      <x:c r="V899" s="44"/>
      <x:c r="W899" s="43" t="str"/>
      <x:c r="X899" s="43" t="str"/>
      <x:c r="Y899" s="43" t="str"/>
      <x:c r="Z899" s="43" t="str">
        <x:v>https://www.get-information-schools.service.gov.uk/Downloads</x:v>
      </x:c>
    </x:row>
    <x:row r="900">
      <x:c r="A900" s="43" t="str">
        <x:v>UK independent</x:v>
      </x:c>
      <x:c r="B900" s="43" t="str">
        <x:v>104837</x:v>
      </x:c>
      <x:c r="C900" s="43" t="n">
        <x:f>IF(K900="Boarding school",30,0)+IF(J900&gt;=18,20,0)+IF(I900&lt;=11,10,0)+IF(L900="Has a sixth form",15,0)+IF(M900&gt;=200,10,0)+IF(N900&lt;&gt;"",10,0)</x:f>
        <x:v>30</x:v>
      </x:c>
      <x:c r="D900" s="43" t="str">
        <x:f>IF(C900&gt;=85,"A",IF(C900&gt;=65,"B","C"))</x:f>
        <x:v>C</x:v>
      </x:c>
      <x:c r="E900" s="43" t="str">
        <x:v>Tower College</x:v>
      </x:c>
      <x:c r="F900" s="43" t="str">
        <x:v>Prescot</x:v>
      </x:c>
      <x:c r="G900" s="43" t="str">
        <x:v>Merseyside</x:v>
      </x:c>
      <x:c r="H900" s="43" t="str">
        <x:v>L35 6NE</x:v>
      </x:c>
      <x:c r="I900" s="43" t="n">
        <x:v>2</x:v>
      </x:c>
      <x:c r="J900" s="43" t="n">
        <x:v>16</x:v>
      </x:c>
      <x:c r="K900" s="43" t="str">
        <x:v>No boarders</x:v>
      </x:c>
      <x:c r="L900" s="43" t="str">
        <x:v>Does not have a sixth form</x:v>
      </x:c>
      <x:c r="M900" s="43" t="n">
        <x:v>279</x:v>
      </x:c>
      <x:c r="N900" s="43" t="str">
        <x:v>https://towercollege.com/</x:v>
      </x:c>
      <x:c r="O900" s="43" t="str">
        <x:v>01514264333</x:v>
      </x:c>
      <x:c r="P900" s="43" t="str"/>
      <x:c r="Q900" s="43" t="str"/>
      <x:c r="R900" s="43" t="str">
        <x:v>Queued for contact research</x:v>
      </x:c>
      <x:c r="S900" s="43" t="str">
        <x:v>Not reviewed</x:v>
      </x:c>
      <x:c r="T900" s="43" t="str">
        <x:v>Hold</x:v>
      </x:c>
      <x:c r="U900" s="43" t="str">
        <x:v>No</x:v>
      </x:c>
      <x:c r="V900" s="44"/>
      <x:c r="W900" s="43" t="str"/>
      <x:c r="X900" s="43" t="str"/>
      <x:c r="Y900" s="43" t="str"/>
      <x:c r="Z900" s="43" t="str">
        <x:v>https://www.get-information-schools.service.gov.uk/Downloads</x:v>
      </x:c>
    </x:row>
    <x:row r="901">
      <x:c r="A901" s="43" t="str">
        <x:v>UK independent</x:v>
      </x:c>
      <x:c r="B901" s="43" t="str">
        <x:v>107162</x:v>
      </x:c>
      <x:c r="C901" s="43" t="n">
        <x:f>IF(K901="Boarding school",30,0)+IF(J901&gt;=18,20,0)+IF(I901&lt;=11,10,0)+IF(L901="Has a sixth form",15,0)+IF(M901&gt;=200,10,0)+IF(N901&lt;&gt;"",10,0)</x:f>
        <x:v>30</x:v>
      </x:c>
      <x:c r="D901" s="43" t="str">
        <x:f>IF(C901&gt;=85,"A",IF(C901&gt;=65,"B","C"))</x:f>
        <x:v>C</x:v>
      </x:c>
      <x:c r="E901" s="43" t="str">
        <x:v>Westbourne School</x:v>
      </x:c>
      <x:c r="F901" s="43" t="str">
        <x:v>Sheffield</x:v>
      </x:c>
      <x:c r="G901" s="43" t="str"/>
      <x:c r="H901" s="43" t="str">
        <x:v>S10 2QT</x:v>
      </x:c>
      <x:c r="I901" s="43" t="n">
        <x:v>3</x:v>
      </x:c>
      <x:c r="J901" s="43" t="n">
        <x:v>16</x:v>
      </x:c>
      <x:c r="K901" s="43" t="str">
        <x:v>No boarders</x:v>
      </x:c>
      <x:c r="L901" s="43" t="str">
        <x:v>Does not have a sixth form</x:v>
      </x:c>
      <x:c r="M901" s="43" t="n">
        <x:v>276</x:v>
      </x:c>
      <x:c r="N901" s="43" t="str">
        <x:v>https://www.westbourneschool.co.uk/</x:v>
      </x:c>
      <x:c r="O901" s="43" t="str">
        <x:v>01142660374</x:v>
      </x:c>
      <x:c r="P901" s="43" t="str"/>
      <x:c r="Q901" s="43" t="str"/>
      <x:c r="R901" s="43" t="str">
        <x:v>Queued for contact research</x:v>
      </x:c>
      <x:c r="S901" s="43" t="str">
        <x:v>Not reviewed</x:v>
      </x:c>
      <x:c r="T901" s="43" t="str">
        <x:v>Hold</x:v>
      </x:c>
      <x:c r="U901" s="43" t="str">
        <x:v>No</x:v>
      </x:c>
      <x:c r="V901" s="44"/>
      <x:c r="W901" s="43" t="str"/>
      <x:c r="X901" s="43" t="str"/>
      <x:c r="Y901" s="43" t="str"/>
      <x:c r="Z901" s="43" t="str">
        <x:v>https://www.get-information-schools.service.gov.uk/Downloads</x:v>
      </x:c>
    </x:row>
    <x:row r="902">
      <x:c r="A902" s="43" t="str">
        <x:v>UK independent</x:v>
      </x:c>
      <x:c r="B902" s="43" t="str">
        <x:v>133948</x:v>
      </x:c>
      <x:c r="C902" s="43" t="n">
        <x:f>IF(K902="Boarding school",30,0)+IF(J902&gt;=18,20,0)+IF(I902&lt;=11,10,0)+IF(L902="Has a sixth form",15,0)+IF(M902&gt;=200,10,0)+IF(N902&lt;&gt;"",10,0)</x:f>
        <x:v>30</x:v>
      </x:c>
      <x:c r="D902" s="43" t="str">
        <x:f>IF(C902&gt;=85,"A",IF(C902&gt;=65,"B","C"))</x:f>
        <x:v>C</x:v>
      </x:c>
      <x:c r="E902" s="43" t="str">
        <x:v>Ashley Manor Preparatory School</x:v>
      </x:c>
      <x:c r="F902" s="43" t="str">
        <x:v>Cheltenham</x:v>
      </x:c>
      <x:c r="G902" s="43" t="str">
        <x:v>Gloucestershire</x:v>
      </x:c>
      <x:c r="H902" s="43" t="str">
        <x:v>GL52 6NR</x:v>
      </x:c>
      <x:c r="I902" s="43" t="n">
        <x:v>1</x:v>
      </x:c>
      <x:c r="J902" s="43" t="n">
        <x:v>11</x:v>
      </x:c>
      <x:c r="K902" s="43" t="str">
        <x:v>No boarders</x:v>
      </x:c>
      <x:c r="L902" s="43" t="str">
        <x:v>Does not have a sixth form</x:v>
      </x:c>
      <x:c r="M902" s="43" t="n">
        <x:v>275</x:v>
      </x:c>
      <x:c r="N902" s="43" t="str">
        <x:v>https://www.ashleymanorprep.co.uk</x:v>
      </x:c>
      <x:c r="O902" s="43" t="str">
        <x:v>01242388550</x:v>
      </x:c>
      <x:c r="P902" s="43" t="str"/>
      <x:c r="Q902" s="43" t="str"/>
      <x:c r="R902" s="43" t="str">
        <x:v>Queued for contact research</x:v>
      </x:c>
      <x:c r="S902" s="43" t="str">
        <x:v>Not reviewed</x:v>
      </x:c>
      <x:c r="T902" s="43" t="str">
        <x:v>Hold</x:v>
      </x:c>
      <x:c r="U902" s="43" t="str">
        <x:v>No</x:v>
      </x:c>
      <x:c r="V902" s="44"/>
      <x:c r="W902" s="43" t="str"/>
      <x:c r="X902" s="43" t="str"/>
      <x:c r="Y902" s="43" t="str"/>
      <x:c r="Z902" s="43" t="str">
        <x:v>https://www.get-information-schools.service.gov.uk/Downloads</x:v>
      </x:c>
    </x:row>
    <x:row r="903">
      <x:c r="A903" s="43" t="str">
        <x:v>UK independent</x:v>
      </x:c>
      <x:c r="B903" s="43" t="str">
        <x:v>113595</x:v>
      </x:c>
      <x:c r="C903" s="43" t="n">
        <x:f>IF(K903="Boarding school",30,0)+IF(J903&gt;=18,20,0)+IF(I903&lt;=11,10,0)+IF(L903="Has a sixth form",15,0)+IF(M903&gt;=200,10,0)+IF(N903&lt;&gt;"",10,0)</x:f>
        <x:v>30</x:v>
      </x:c>
      <x:c r="D903" s="43" t="str">
        <x:f>IF(C903&gt;=85,"A",IF(C903&gt;=65,"B","C"))</x:f>
        <x:v>C</x:v>
      </x:c>
      <x:c r="E903" s="43" t="str">
        <x:v>King's School</x:v>
      </x:c>
      <x:c r="F903" s="43" t="str">
        <x:v>Plymouth</x:v>
      </x:c>
      <x:c r="G903" s="43" t="str">
        <x:v>Devon</x:v>
      </x:c>
      <x:c r="H903" s="43" t="str">
        <x:v>PL3 5LW</x:v>
      </x:c>
      <x:c r="I903" s="43" t="n">
        <x:v>2</x:v>
      </x:c>
      <x:c r="J903" s="43" t="n">
        <x:v>11</x:v>
      </x:c>
      <x:c r="K903" s="43" t="str">
        <x:v>No boarders</x:v>
      </x:c>
      <x:c r="L903" s="43" t="str">
        <x:v>Does not have a sixth form</x:v>
      </x:c>
      <x:c r="M903" s="43" t="n">
        <x:v>275</x:v>
      </x:c>
      <x:c r="N903" s="43" t="str">
        <x:v>https://www.kingsschool-plymouth.co.uk</x:v>
      </x:c>
      <x:c r="O903" s="43" t="str">
        <x:v>01752771789</x:v>
      </x:c>
      <x:c r="P903" s="43" t="str"/>
      <x:c r="Q903" s="43" t="str"/>
      <x:c r="R903" s="43" t="str">
        <x:v>Queued for contact research</x:v>
      </x:c>
      <x:c r="S903" s="43" t="str">
        <x:v>Not reviewed</x:v>
      </x:c>
      <x:c r="T903" s="43" t="str">
        <x:v>Hold</x:v>
      </x:c>
      <x:c r="U903" s="43" t="str">
        <x:v>No</x:v>
      </x:c>
      <x:c r="V903" s="44"/>
      <x:c r="W903" s="43" t="str"/>
      <x:c r="X903" s="43" t="str"/>
      <x:c r="Y903" s="43" t="str"/>
      <x:c r="Z903" s="43" t="str">
        <x:v>https://www.get-information-schools.service.gov.uk/Downloads</x:v>
      </x:c>
    </x:row>
    <x:row r="904">
      <x:c r="A904" s="43" t="str">
        <x:v>UK independent</x:v>
      </x:c>
      <x:c r="B904" s="43" t="str">
        <x:v>101165</x:v>
      </x:c>
      <x:c r="C904" s="43" t="n">
        <x:f>IF(K904="Boarding school",30,0)+IF(J904&gt;=18,20,0)+IF(I904&lt;=11,10,0)+IF(L904="Has a sixth form",15,0)+IF(M904&gt;=200,10,0)+IF(N904&lt;&gt;"",10,0)</x:f>
        <x:v>30</x:v>
      </x:c>
      <x:c r="D904" s="43" t="str">
        <x:f>IF(C904&gt;=85,"A",IF(C904&gt;=65,"B","C"))</x:f>
        <x:v>C</x:v>
      </x:c>
      <x:c r="E904" s="43" t="str">
        <x:v>Westminster Under School</x:v>
      </x:c>
      <x:c r="F904" s="43" t="str"/>
      <x:c r="G904" s="43" t="str"/>
      <x:c r="H904" s="43" t="str">
        <x:v>SW1P 2NN</x:v>
      </x:c>
      <x:c r="I904" s="43" t="n">
        <x:v>4</x:v>
      </x:c>
      <x:c r="J904" s="43" t="n">
        <x:v>14</x:v>
      </x:c>
      <x:c r="K904" s="43" t="str">
        <x:v>No boarders</x:v>
      </x:c>
      <x:c r="L904" s="43" t="str">
        <x:v>Not applicable</x:v>
      </x:c>
      <x:c r="M904" s="43" t="n">
        <x:v>275</x:v>
      </x:c>
      <x:c r="N904" s="43" t="str">
        <x:v>http://www.westminster.org.uk</x:v>
      </x:c>
      <x:c r="O904" s="43" t="str">
        <x:v>02078215788</x:v>
      </x:c>
      <x:c r="P904" s="43" t="str"/>
      <x:c r="Q904" s="43" t="str"/>
      <x:c r="R904" s="43" t="str">
        <x:v>Queued for contact research</x:v>
      </x:c>
      <x:c r="S904" s="43" t="str">
        <x:v>Not reviewed</x:v>
      </x:c>
      <x:c r="T904" s="43" t="str">
        <x:v>Hold</x:v>
      </x:c>
      <x:c r="U904" s="43" t="str">
        <x:v>No</x:v>
      </x:c>
      <x:c r="V904" s="44"/>
      <x:c r="W904" s="43" t="str"/>
      <x:c r="X904" s="43" t="str"/>
      <x:c r="Y904" s="43" t="str"/>
      <x:c r="Z904" s="43" t="str">
        <x:v>https://www.get-information-schools.service.gov.uk/Downloads</x:v>
      </x:c>
    </x:row>
    <x:row r="905">
      <x:c r="A905" s="43" t="str">
        <x:v>UK independent</x:v>
      </x:c>
      <x:c r="B905" s="43" t="str">
        <x:v>115399</x:v>
      </x:c>
      <x:c r="C905" s="43" t="n">
        <x:f>IF(K905="Boarding school",30,0)+IF(J905&gt;=18,20,0)+IF(I905&lt;=11,10,0)+IF(L905="Has a sixth form",15,0)+IF(M905&gt;=200,10,0)+IF(N905&lt;&gt;"",10,0)</x:f>
        <x:v>30</x:v>
      </x:c>
      <x:c r="D905" s="43" t="str">
        <x:f>IF(C905&gt;=85,"A",IF(C905&gt;=65,"B","C"))</x:f>
        <x:v>C</x:v>
      </x:c>
      <x:c r="E905" s="43" t="str">
        <x:v>St John's School</x:v>
      </x:c>
      <x:c r="F905" s="43" t="str"/>
      <x:c r="G905" s="43" t="str">
        <x:v>Essex</x:v>
      </x:c>
      <x:c r="H905" s="43" t="str">
        <x:v>CM12 0AR</x:v>
      </x:c>
      <x:c r="I905" s="43" t="n">
        <x:v>2</x:v>
      </x:c>
      <x:c r="J905" s="43" t="n">
        <x:v>16</x:v>
      </x:c>
      <x:c r="K905" s="43" t="str">
        <x:v>No boarders</x:v>
      </x:c>
      <x:c r="L905" s="43" t="str">
        <x:v>Does not have a sixth form</x:v>
      </x:c>
      <x:c r="M905" s="43" t="n">
        <x:v>274</x:v>
      </x:c>
      <x:c r="N905" s="43" t="str">
        <x:v>https://www.stjohnsschool.net</x:v>
      </x:c>
      <x:c r="O905" s="43" t="str">
        <x:v>01277623070</x:v>
      </x:c>
      <x:c r="P905" s="43" t="str"/>
      <x:c r="Q905" s="43" t="str"/>
      <x:c r="R905" s="43" t="str">
        <x:v>Queued for contact research</x:v>
      </x:c>
      <x:c r="S905" s="43" t="str">
        <x:v>Not reviewed</x:v>
      </x:c>
      <x:c r="T905" s="43" t="str">
        <x:v>Hold</x:v>
      </x:c>
      <x:c r="U905" s="43" t="str">
        <x:v>No</x:v>
      </x:c>
      <x:c r="V905" s="44"/>
      <x:c r="W905" s="43" t="str"/>
      <x:c r="X905" s="43" t="str"/>
      <x:c r="Y905" s="43" t="str"/>
      <x:c r="Z905" s="43" t="str">
        <x:v>https://www.get-information-schools.service.gov.uk/Downloads</x:v>
      </x:c>
    </x:row>
    <x:row r="906">
      <x:c r="A906" s="43" t="str">
        <x:v>UK independent</x:v>
      </x:c>
      <x:c r="B906" s="43" t="str">
        <x:v>132134</x:v>
      </x:c>
      <x:c r="C906" s="43" t="n">
        <x:f>IF(K906="Boarding school",30,0)+IF(J906&gt;=18,20,0)+IF(I906&lt;=11,10,0)+IF(L906="Has a sixth form",15,0)+IF(M906&gt;=200,10,0)+IF(N906&lt;&gt;"",10,0)</x:f>
        <x:v>30</x:v>
      </x:c>
      <x:c r="D906" s="43" t="str">
        <x:f>IF(C906&gt;=85,"A",IF(C906&gt;=65,"B","C"))</x:f>
        <x:v>C</x:v>
      </x:c>
      <x:c r="E906" s="43" t="str">
        <x:v>Bancroft's Preparatory School</x:v>
      </x:c>
      <x:c r="F906" s="43" t="str">
        <x:v>Woodford Green</x:v>
      </x:c>
      <x:c r="G906" s="43" t="str">
        <x:v>Essex</x:v>
      </x:c>
      <x:c r="H906" s="43" t="str">
        <x:v>IG8 0RF</x:v>
      </x:c>
      <x:c r="I906" s="43" t="n">
        <x:v>7</x:v>
      </x:c>
      <x:c r="J906" s="43" t="n">
        <x:v>11</x:v>
      </x:c>
      <x:c r="K906" s="43" t="str">
        <x:v>No boarders</x:v>
      </x:c>
      <x:c r="L906" s="43" t="str">
        <x:v>Does not have a sixth form</x:v>
      </x:c>
      <x:c r="M906" s="43" t="n">
        <x:v>271</x:v>
      </x:c>
      <x:c r="N906" s="43" t="str">
        <x:v>https://www.bancrofts.org/</x:v>
      </x:c>
      <x:c r="O906" s="43" t="str">
        <x:v>02085066751</x:v>
      </x:c>
      <x:c r="P906" s="43" t="str"/>
      <x:c r="Q906" s="43" t="str"/>
      <x:c r="R906" s="43" t="str">
        <x:v>Queued for contact research</x:v>
      </x:c>
      <x:c r="S906" s="43" t="str">
        <x:v>Not reviewed</x:v>
      </x:c>
      <x:c r="T906" s="43" t="str">
        <x:v>Hold</x:v>
      </x:c>
      <x:c r="U906" s="43" t="str">
        <x:v>No</x:v>
      </x:c>
      <x:c r="V906" s="44"/>
      <x:c r="W906" s="43" t="str"/>
      <x:c r="X906" s="43" t="str"/>
      <x:c r="Y906" s="43" t="str"/>
      <x:c r="Z906" s="43" t="str">
        <x:v>https://www.get-information-schools.service.gov.uk/Downloads</x:v>
      </x:c>
    </x:row>
    <x:row r="907">
      <x:c r="A907" s="43" t="str">
        <x:v>UK independent</x:v>
      </x:c>
      <x:c r="B907" s="43" t="str">
        <x:v>108103</x:v>
      </x:c>
      <x:c r="C907" s="43" t="n">
        <x:f>IF(K907="Boarding school",30,0)+IF(J907&gt;=18,20,0)+IF(I907&lt;=11,10,0)+IF(L907="Has a sixth form",15,0)+IF(M907&gt;=200,10,0)+IF(N907&lt;&gt;"",10,0)</x:f>
        <x:v>30</x:v>
      </x:c>
      <x:c r="D907" s="43" t="str">
        <x:f>IF(C907&gt;=85,"A",IF(C907&gt;=65,"B","C"))</x:f>
        <x:v>C</x:v>
      </x:c>
      <x:c r="E907" s="43" t="str">
        <x:v>Richmond House School</x:v>
      </x:c>
      <x:c r="F907" s="43" t="str"/>
      <x:c r="G907" s="43" t="str"/>
      <x:c r="H907" s="43" t="str">
        <x:v>LS16 5LG</x:v>
      </x:c>
      <x:c r="I907" s="43" t="n">
        <x:v>2</x:v>
      </x:c>
      <x:c r="J907" s="43" t="n">
        <x:v>11</x:v>
      </x:c>
      <x:c r="K907" s="43" t="str">
        <x:v>No boarders</x:v>
      </x:c>
      <x:c r="L907" s="43" t="str">
        <x:v>Does not have a sixth form</x:v>
      </x:c>
      <x:c r="M907" s="43" t="n">
        <x:v>271</x:v>
      </x:c>
      <x:c r="N907" s="43" t="str">
        <x:v>https://www.rhschool.org</x:v>
      </x:c>
      <x:c r="O907" s="43" t="str">
        <x:v>01132752670</x:v>
      </x:c>
      <x:c r="P907" s="43" t="str"/>
      <x:c r="Q907" s="43" t="str"/>
      <x:c r="R907" s="43" t="str">
        <x:v>Queued for contact research</x:v>
      </x:c>
      <x:c r="S907" s="43" t="str">
        <x:v>Not reviewed</x:v>
      </x:c>
      <x:c r="T907" s="43" t="str">
        <x:v>Hold</x:v>
      </x:c>
      <x:c r="U907" s="43" t="str">
        <x:v>No</x:v>
      </x:c>
      <x:c r="V907" s="44"/>
      <x:c r="W907" s="43" t="str"/>
      <x:c r="X907" s="43" t="str"/>
      <x:c r="Y907" s="43" t="str"/>
      <x:c r="Z907" s="43" t="str">
        <x:v>https://www.get-information-schools.service.gov.uk/Downloads</x:v>
      </x:c>
    </x:row>
    <x:row r="908">
      <x:c r="A908" s="43" t="str">
        <x:v>UK independent</x:v>
      </x:c>
      <x:c r="B908" s="43" t="str">
        <x:v>110567</x:v>
      </x:c>
      <x:c r="C908" s="43" t="n">
        <x:f>IF(K908="Boarding school",30,0)+IF(J908&gt;=18,20,0)+IF(I908&lt;=11,10,0)+IF(L908="Has a sixth form",15,0)+IF(M908&gt;=200,10,0)+IF(N908&lt;&gt;"",10,0)</x:f>
        <x:v>30</x:v>
      </x:c>
      <x:c r="D908" s="43" t="str">
        <x:f>IF(C908&gt;=85,"A",IF(C908&gt;=65,"B","C"))</x:f>
        <x:v>C</x:v>
      </x:c>
      <x:c r="E908" s="43" t="str">
        <x:v>The Webber Independent School</x:v>
      </x:c>
      <x:c r="F908" s="43" t="str"/>
      <x:c r="G908" s="43" t="str"/>
      <x:c r="H908" s="43" t="str">
        <x:v>MK14 6DP</x:v>
      </x:c>
      <x:c r="I908" s="43" t="n">
        <x:v>0</x:v>
      </x:c>
      <x:c r="J908" s="43" t="n">
        <x:v>16</x:v>
      </x:c>
      <x:c r="K908" s="43" t="str">
        <x:v>No boarders</x:v>
      </x:c>
      <x:c r="L908" s="43" t="str">
        <x:v>Does not have a sixth form</x:v>
      </x:c>
      <x:c r="M908" s="43" t="n">
        <x:v>271</x:v>
      </x:c>
      <x:c r="N908" s="43" t="str">
        <x:v>https://www.webberindependentschool.co.uk</x:v>
      </x:c>
      <x:c r="O908" s="43" t="str">
        <x:v>01908574740</x:v>
      </x:c>
      <x:c r="P908" s="43" t="str"/>
      <x:c r="Q908" s="43" t="str"/>
      <x:c r="R908" s="43" t="str">
        <x:v>Queued for contact research</x:v>
      </x:c>
      <x:c r="S908" s="43" t="str">
        <x:v>Not reviewed</x:v>
      </x:c>
      <x:c r="T908" s="43" t="str">
        <x:v>Hold</x:v>
      </x:c>
      <x:c r="U908" s="43" t="str">
        <x:v>No</x:v>
      </x:c>
      <x:c r="V908" s="44"/>
      <x:c r="W908" s="43" t="str"/>
      <x:c r="X908" s="43" t="str"/>
      <x:c r="Y908" s="43" t="str"/>
      <x:c r="Z908" s="43" t="str">
        <x:v>https://www.get-information-schools.service.gov.uk/Downloads</x:v>
      </x:c>
    </x:row>
    <x:row r="909">
      <x:c r="A909" s="43" t="str">
        <x:v>UK independent</x:v>
      </x:c>
      <x:c r="B909" s="43" t="str">
        <x:v>118973</x:v>
      </x:c>
      <x:c r="C909" s="43" t="n">
        <x:f>IF(K909="Boarding school",30,0)+IF(J909&gt;=18,20,0)+IF(I909&lt;=11,10,0)+IF(L909="Has a sixth form",15,0)+IF(M909&gt;=200,10,0)+IF(N909&lt;&gt;"",10,0)</x:f>
        <x:v>30</x:v>
      </x:c>
      <x:c r="D909" s="43" t="str">
        <x:f>IF(C909&gt;=85,"A",IF(C909&gt;=65,"B","C"))</x:f>
        <x:v>C</x:v>
      </x:c>
      <x:c r="E909" s="43" t="str">
        <x:v>Hilden Grange School</x:v>
      </x:c>
      <x:c r="F909" s="43" t="str">
        <x:v>Tonbridge</x:v>
      </x:c>
      <x:c r="G909" s="43" t="str">
        <x:v>Kent</x:v>
      </x:c>
      <x:c r="H909" s="43" t="str">
        <x:v>TN10 3BX</x:v>
      </x:c>
      <x:c r="I909" s="43" t="n">
        <x:v>2</x:v>
      </x:c>
      <x:c r="J909" s="43" t="n">
        <x:v>13</x:v>
      </x:c>
      <x:c r="K909" s="43" t="str">
        <x:v>No boarders</x:v>
      </x:c>
      <x:c r="L909" s="43" t="str">
        <x:v>Does not have a sixth form</x:v>
      </x:c>
      <x:c r="M909" s="43" t="n">
        <x:v>269</x:v>
      </x:c>
      <x:c r="N909" s="43" t="str">
        <x:v>https://www.hildengrange.co.uk</x:v>
      </x:c>
      <x:c r="O909" s="43" t="str">
        <x:v>01732352706</x:v>
      </x:c>
      <x:c r="P909" s="43" t="str"/>
      <x:c r="Q909" s="43" t="str"/>
      <x:c r="R909" s="43" t="str">
        <x:v>Queued for contact research</x:v>
      </x:c>
      <x:c r="S909" s="43" t="str">
        <x:v>Not reviewed</x:v>
      </x:c>
      <x:c r="T909" s="43" t="str">
        <x:v>Hold</x:v>
      </x:c>
      <x:c r="U909" s="43" t="str">
        <x:v>No</x:v>
      </x:c>
      <x:c r="V909" s="44"/>
      <x:c r="W909" s="43" t="str"/>
      <x:c r="X909" s="43" t="str"/>
      <x:c r="Y909" s="43" t="str"/>
      <x:c r="Z909" s="43" t="str">
        <x:v>https://www.get-information-schools.service.gov.uk/Downloads</x:v>
      </x:c>
    </x:row>
    <x:row r="910">
      <x:c r="A910" s="43" t="str">
        <x:v>UK independent</x:v>
      </x:c>
      <x:c r="B910" s="43" t="str">
        <x:v>125333</x:v>
      </x:c>
      <x:c r="C910" s="43" t="n">
        <x:f>IF(K910="Boarding school",30,0)+IF(J910&gt;=18,20,0)+IF(I910&lt;=11,10,0)+IF(L910="Has a sixth form",15,0)+IF(M910&gt;=200,10,0)+IF(N910&lt;&gt;"",10,0)</x:f>
        <x:v>30</x:v>
      </x:c>
      <x:c r="D910" s="43" t="str">
        <x:f>IF(C910&gt;=85,"A",IF(C910&gt;=65,"B","C"))</x:f>
        <x:v>C</x:v>
      </x:c>
      <x:c r="E910" s="43" t="str">
        <x:v>Rowan Preparatory School</x:v>
      </x:c>
      <x:c r="F910" s="43" t="str">
        <x:v>Esher</x:v>
      </x:c>
      <x:c r="G910" s="43" t="str">
        <x:v>Surrey</x:v>
      </x:c>
      <x:c r="H910" s="43" t="str">
        <x:v>KT10 0LX</x:v>
      </x:c>
      <x:c r="I910" s="43" t="n">
        <x:v>2</x:v>
      </x:c>
      <x:c r="J910" s="43" t="n">
        <x:v>11</x:v>
      </x:c>
      <x:c r="K910" s="43" t="str">
        <x:v>No boarders</x:v>
      </x:c>
      <x:c r="L910" s="43" t="str">
        <x:v>Does not have a sixth form</x:v>
      </x:c>
      <x:c r="M910" s="43" t="n">
        <x:v>266</x:v>
      </x:c>
      <x:c r="N910" s="43" t="str">
        <x:v>https://www.rowanprepschool.co.uk</x:v>
      </x:c>
      <x:c r="O910" s="43" t="str">
        <x:v>01372462627</x:v>
      </x:c>
      <x:c r="P910" s="43" t="str"/>
      <x:c r="Q910" s="43" t="str"/>
      <x:c r="R910" s="43" t="str">
        <x:v>Queued for contact research</x:v>
      </x:c>
      <x:c r="S910" s="43" t="str">
        <x:v>Not reviewed</x:v>
      </x:c>
      <x:c r="T910" s="43" t="str">
        <x:v>Hold</x:v>
      </x:c>
      <x:c r="U910" s="43" t="str">
        <x:v>No</x:v>
      </x:c>
      <x:c r="V910" s="44"/>
      <x:c r="W910" s="43" t="str"/>
      <x:c r="X910" s="43" t="str"/>
      <x:c r="Y910" s="43" t="str"/>
      <x:c r="Z910" s="43" t="str">
        <x:v>https://www.get-information-schools.service.gov.uk/Downloads</x:v>
      </x:c>
    </x:row>
    <x:row r="911">
      <x:c r="A911" s="43" t="str">
        <x:v>UK independent</x:v>
      </x:c>
      <x:c r="B911" s="43" t="str">
        <x:v>102457</x:v>
      </x:c>
      <x:c r="C911" s="43" t="n">
        <x:f>IF(K911="Boarding school",30,0)+IF(J911&gt;=18,20,0)+IF(I911&lt;=11,10,0)+IF(L911="Has a sixth form",15,0)+IF(M911&gt;=200,10,0)+IF(N911&lt;&gt;"",10,0)</x:f>
        <x:v>30</x:v>
      </x:c>
      <x:c r="D911" s="43" t="str">
        <x:f>IF(C911&gt;=85,"A",IF(C911&gt;=65,"B","C"))</x:f>
        <x:v>C</x:v>
      </x:c>
      <x:c r="E911" s="43" t="str">
        <x:v>St John's School</x:v>
      </x:c>
      <x:c r="F911" s="43" t="str">
        <x:v>Pinner</x:v>
      </x:c>
      <x:c r="G911" s="43" t="str"/>
      <x:c r="H911" s="43" t="str">
        <x:v>HA5 3ZF</x:v>
      </x:c>
      <x:c r="I911" s="43" t="n">
        <x:v>3</x:v>
      </x:c>
      <x:c r="J911" s="43" t="n">
        <x:v>11</x:v>
      </x:c>
      <x:c r="K911" s="43" t="str">
        <x:v>No boarders</x:v>
      </x:c>
      <x:c r="L911" s="43" t="str">
        <x:v>Does not have a sixth form</x:v>
      </x:c>
      <x:c r="M911" s="43" t="n">
        <x:v>266</x:v>
      </x:c>
      <x:c r="N911" s="43" t="str">
        <x:v>https://www.st-johns.org.uk</x:v>
      </x:c>
      <x:c r="O911" s="43" t="str">
        <x:v>02088660067</x:v>
      </x:c>
      <x:c r="P911" s="43" t="str"/>
      <x:c r="Q911" s="43" t="str"/>
      <x:c r="R911" s="43" t="str">
        <x:v>Queued for contact research</x:v>
      </x:c>
      <x:c r="S911" s="43" t="str">
        <x:v>Not reviewed</x:v>
      </x:c>
      <x:c r="T911" s="43" t="str">
        <x:v>Hold</x:v>
      </x:c>
      <x:c r="U911" s="43" t="str">
        <x:v>No</x:v>
      </x:c>
      <x:c r="V911" s="44"/>
      <x:c r="W911" s="43" t="str"/>
      <x:c r="X911" s="43" t="str"/>
      <x:c r="Y911" s="43" t="str"/>
      <x:c r="Z911" s="43" t="str">
        <x:v>https://www.get-information-schools.service.gov.uk/Downloads</x:v>
      </x:c>
    </x:row>
    <x:row r="912">
      <x:c r="A912" s="43" t="str">
        <x:v>UK independent</x:v>
      </x:c>
      <x:c r="B912" s="43" t="str">
        <x:v>134782</x:v>
      </x:c>
      <x:c r="C912" s="43" t="n">
        <x:f>IF(K912="Boarding school",30,0)+IF(J912&gt;=18,20,0)+IF(I912&lt;=11,10,0)+IF(L912="Has a sixth form",15,0)+IF(M912&gt;=200,10,0)+IF(N912&lt;&gt;"",10,0)</x:f>
        <x:v>30</x:v>
      </x:c>
      <x:c r="D912" s="43" t="str">
        <x:f>IF(C912&gt;=85,"A",IF(C912&gt;=65,"B","C"))</x:f>
        <x:v>C</x:v>
      </x:c>
      <x:c r="E912" s="43" t="str">
        <x:v>The Gower School</x:v>
      </x:c>
      <x:c r="F912" s="43" t="str">
        <x:v>London</x:v>
      </x:c>
      <x:c r="G912" s="43" t="str"/>
      <x:c r="H912" s="43" t="str">
        <x:v>N1 9JF</x:v>
      </x:c>
      <x:c r="I912" s="43" t="n">
        <x:v>0</x:v>
      </x:c>
      <x:c r="J912" s="43" t="n">
        <x:v>11</x:v>
      </x:c>
      <x:c r="K912" s="43" t="str">
        <x:v>No boarders</x:v>
      </x:c>
      <x:c r="L912" s="43" t="str">
        <x:v>Does not have a sixth form</x:v>
      </x:c>
      <x:c r="M912" s="43" t="n">
        <x:v>266</x:v>
      </x:c>
      <x:c r="N912" s="43" t="str">
        <x:v>http://www.thegowerschool.co.uk</x:v>
      </x:c>
      <x:c r="O912" s="43" t="str">
        <x:v>02077002445</x:v>
      </x:c>
      <x:c r="P912" s="43" t="str"/>
      <x:c r="Q912" s="43" t="str"/>
      <x:c r="R912" s="43" t="str">
        <x:v>Queued for contact research</x:v>
      </x:c>
      <x:c r="S912" s="43" t="str">
        <x:v>Not reviewed</x:v>
      </x:c>
      <x:c r="T912" s="43" t="str">
        <x:v>Hold</x:v>
      </x:c>
      <x:c r="U912" s="43" t="str">
        <x:v>No</x:v>
      </x:c>
      <x:c r="V912" s="44"/>
      <x:c r="W912" s="43" t="str"/>
      <x:c r="X912" s="43" t="str"/>
      <x:c r="Y912" s="43" t="str"/>
      <x:c r="Z912" s="43" t="str">
        <x:v>https://www.get-information-schools.service.gov.uk/Downloads</x:v>
      </x:c>
    </x:row>
    <x:row r="913">
      <x:c r="A913" s="43" t="str">
        <x:v>UK independent</x:v>
      </x:c>
      <x:c r="B913" s="43" t="str">
        <x:v>130318</x:v>
      </x:c>
      <x:c r="C913" s="43" t="n">
        <x:f>IF(K913="Boarding school",30,0)+IF(J913&gt;=18,20,0)+IF(I913&lt;=11,10,0)+IF(L913="Has a sixth form",15,0)+IF(M913&gt;=200,10,0)+IF(N913&lt;&gt;"",10,0)</x:f>
        <x:v>30</x:v>
      </x:c>
      <x:c r="D913" s="43" t="str">
        <x:f>IF(C913&gt;=85,"A",IF(C913&gt;=65,"B","C"))</x:f>
        <x:v>C</x:v>
      </x:c>
      <x:c r="E913" s="43" t="str">
        <x:v>Manchester Islamic Grammar School for Girls</x:v>
      </x:c>
      <x:c r="F913" s="43" t="str">
        <x:v>Manchester</x:v>
      </x:c>
      <x:c r="G913" s="43" t="str"/>
      <x:c r="H913" s="43" t="str">
        <x:v>M20 2PQ</x:v>
      </x:c>
      <x:c r="I913" s="43" t="n">
        <x:v>11</x:v>
      </x:c>
      <x:c r="J913" s="43" t="n">
        <x:v>16</x:v>
      </x:c>
      <x:c r="K913" s="43" t="str">
        <x:v>No boarders</x:v>
      </x:c>
      <x:c r="L913" s="43" t="str">
        <x:v>Does not have a sixth form</x:v>
      </x:c>
      <x:c r="M913" s="43" t="n">
        <x:v>264</x:v>
      </x:c>
      <x:c r="N913" s="43" t="str">
        <x:v>https://migsg.miet.uk</x:v>
      </x:c>
      <x:c r="O913" s="43" t="str">
        <x:v>01618812127</x:v>
      </x:c>
      <x:c r="P913" s="43" t="str"/>
      <x:c r="Q913" s="43" t="str"/>
      <x:c r="R913" s="43" t="str">
        <x:v>Queued for contact research</x:v>
      </x:c>
      <x:c r="S913" s="43" t="str">
        <x:v>Not reviewed</x:v>
      </x:c>
      <x:c r="T913" s="43" t="str">
        <x:v>Hold</x:v>
      </x:c>
      <x:c r="U913" s="43" t="str">
        <x:v>No</x:v>
      </x:c>
      <x:c r="V913" s="44"/>
      <x:c r="W913" s="43" t="str"/>
      <x:c r="X913" s="43" t="str"/>
      <x:c r="Y913" s="43" t="str"/>
      <x:c r="Z913" s="43" t="str">
        <x:v>https://www.get-information-schools.service.gov.uk/Downloads</x:v>
      </x:c>
    </x:row>
    <x:row r="914">
      <x:c r="A914" s="43" t="str">
        <x:v>UK independent</x:v>
      </x:c>
      <x:c r="B914" s="43" t="str">
        <x:v>115419</x:v>
      </x:c>
      <x:c r="C914" s="43" t="n">
        <x:f>IF(K914="Boarding school",30,0)+IF(J914&gt;=18,20,0)+IF(I914&lt;=11,10,0)+IF(L914="Has a sixth form",15,0)+IF(M914&gt;=200,10,0)+IF(N914&lt;&gt;"",10,0)</x:f>
        <x:v>30</x:v>
      </x:c>
      <x:c r="D914" s="43" t="str">
        <x:f>IF(C914&gt;=85,"A",IF(C914&gt;=65,"B","C"))</x:f>
        <x:v>C</x:v>
      </x:c>
      <x:c r="E914" s="43" t="str">
        <x:v>Oaklands School</x:v>
      </x:c>
      <x:c r="F914" s="43" t="str">
        <x:v>Loughton</x:v>
      </x:c>
      <x:c r="G914" s="43" t="str">
        <x:v>Essex</x:v>
      </x:c>
      <x:c r="H914" s="43" t="str">
        <x:v>IG10 4RA</x:v>
      </x:c>
      <x:c r="I914" s="43" t="n">
        <x:v>2</x:v>
      </x:c>
      <x:c r="J914" s="43" t="n">
        <x:v>11</x:v>
      </x:c>
      <x:c r="K914" s="43" t="str">
        <x:v>No boarders</x:v>
      </x:c>
      <x:c r="L914" s="43" t="str">
        <x:v>Does not have a sixth form</x:v>
      </x:c>
      <x:c r="M914" s="43" t="n">
        <x:v>264</x:v>
      </x:c>
      <x:c r="N914" s="43" t="str">
        <x:v>https://www.oaklandsschool.co.uk</x:v>
      </x:c>
      <x:c r="O914" s="43" t="str">
        <x:v>02085083517</x:v>
      </x:c>
      <x:c r="P914" s="43" t="str"/>
      <x:c r="Q914" s="43" t="str"/>
      <x:c r="R914" s="43" t="str">
        <x:v>Queued for contact research</x:v>
      </x:c>
      <x:c r="S914" s="43" t="str">
        <x:v>Not reviewed</x:v>
      </x:c>
      <x:c r="T914" s="43" t="str">
        <x:v>Hold</x:v>
      </x:c>
      <x:c r="U914" s="43" t="str">
        <x:v>No</x:v>
      </x:c>
      <x:c r="V914" s="44"/>
      <x:c r="W914" s="43" t="str"/>
      <x:c r="X914" s="43" t="str"/>
      <x:c r="Y914" s="43" t="str"/>
      <x:c r="Z914" s="43" t="str">
        <x:v>https://www.get-information-schools.service.gov.uk/Downloads</x:v>
      </x:c>
    </x:row>
    <x:row r="915">
      <x:c r="A915" s="43" t="str">
        <x:v>UK independent</x:v>
      </x:c>
      <x:c r="B915" s="43" t="str">
        <x:v>131981</x:v>
      </x:c>
      <x:c r="C915" s="43" t="n">
        <x:f>IF(K915="Boarding school",30,0)+IF(J915&gt;=18,20,0)+IF(I915&lt;=11,10,0)+IF(L915="Has a sixth form",15,0)+IF(M915&gt;=200,10,0)+IF(N915&lt;&gt;"",10,0)</x:f>
        <x:v>30</x:v>
      </x:c>
      <x:c r="D915" s="43" t="str">
        <x:f>IF(C915&gt;=85,"A",IF(C915&gt;=65,"B","C"))</x:f>
        <x:v>C</x:v>
      </x:c>
      <x:c r="E915" s="43" t="str">
        <x:v>Chandlings Prep</x:v>
      </x:c>
      <x:c r="F915" s="43" t="str">
        <x:v>Oxford</x:v>
      </x:c>
      <x:c r="G915" s="43" t="str">
        <x:v>Oxfordshire</x:v>
      </x:c>
      <x:c r="H915" s="43" t="str">
        <x:v>OX1 5ND</x:v>
      </x:c>
      <x:c r="I915" s="43" t="n">
        <x:v>2</x:v>
      </x:c>
      <x:c r="J915" s="43" t="n">
        <x:v>11</x:v>
      </x:c>
      <x:c r="K915" s="43" t="str">
        <x:v>No boarders</x:v>
      </x:c>
      <x:c r="L915" s="43" t="str">
        <x:v>Does not have a sixth form</x:v>
      </x:c>
      <x:c r="M915" s="43" t="n">
        <x:v>263</x:v>
      </x:c>
      <x:c r="N915" s="43" t="str">
        <x:v>http://www.chandlings.org.uk</x:v>
      </x:c>
      <x:c r="O915" s="43" t="str">
        <x:v>01865730771</x:v>
      </x:c>
      <x:c r="P915" s="43" t="str"/>
      <x:c r="Q915" s="43" t="str"/>
      <x:c r="R915" s="43" t="str">
        <x:v>Queued for contact research</x:v>
      </x:c>
      <x:c r="S915" s="43" t="str">
        <x:v>Not reviewed</x:v>
      </x:c>
      <x:c r="T915" s="43" t="str">
        <x:v>Hold</x:v>
      </x:c>
      <x:c r="U915" s="43" t="str">
        <x:v>No</x:v>
      </x:c>
      <x:c r="V915" s="44"/>
      <x:c r="W915" s="43" t="str"/>
      <x:c r="X915" s="43" t="str"/>
      <x:c r="Y915" s="43" t="str"/>
      <x:c r="Z915" s="43" t="str">
        <x:v>https://www.get-information-schools.service.gov.uk/Downloads</x:v>
      </x:c>
    </x:row>
    <x:row r="916">
      <x:c r="A916" s="43" t="str">
        <x:v>UK independent</x:v>
      </x:c>
      <x:c r="B916" s="43" t="str">
        <x:v>110556</x:v>
      </x:c>
      <x:c r="C916" s="43" t="n">
        <x:f>IF(K916="Boarding school",30,0)+IF(J916&gt;=18,20,0)+IF(I916&lt;=11,10,0)+IF(L916="Has a sixth form",15,0)+IF(M916&gt;=200,10,0)+IF(N916&lt;&gt;"",10,0)</x:f>
        <x:v>30</x:v>
      </x:c>
      <x:c r="D916" s="43" t="str">
        <x:f>IF(C916&gt;=85,"A",IF(C916&gt;=65,"B","C"))</x:f>
        <x:v>C</x:v>
      </x:c>
      <x:c r="E916" s="43" t="str">
        <x:v>Gateway School</x:v>
      </x:c>
      <x:c r="F916" s="43" t="str">
        <x:v>Great Missenden</x:v>
      </x:c>
      <x:c r="G916" s="43" t="str">
        <x:v>Buckinghamshire</x:v>
      </x:c>
      <x:c r="H916" s="43" t="str">
        <x:v>HP16 9AA</x:v>
      </x:c>
      <x:c r="I916" s="43" t="n">
        <x:v>2</x:v>
      </x:c>
      <x:c r="J916" s="43" t="n">
        <x:v>11</x:v>
      </x:c>
      <x:c r="K916" s="43" t="str">
        <x:v>No boarders</x:v>
      </x:c>
      <x:c r="L916" s="43" t="str">
        <x:v>Does not have a sixth form</x:v>
      </x:c>
      <x:c r="M916" s="43" t="n">
        <x:v>263</x:v>
      </x:c>
      <x:c r="N916" s="43" t="str">
        <x:v>http://gatewayschool-bucks.co.uk/</x:v>
      </x:c>
      <x:c r="O916" s="43" t="str">
        <x:v>01494862407</x:v>
      </x:c>
      <x:c r="P916" s="43" t="str"/>
      <x:c r="Q916" s="43" t="str"/>
      <x:c r="R916" s="43" t="str">
        <x:v>Queued for contact research</x:v>
      </x:c>
      <x:c r="S916" s="43" t="str">
        <x:v>Not reviewed</x:v>
      </x:c>
      <x:c r="T916" s="43" t="str">
        <x:v>Hold</x:v>
      </x:c>
      <x:c r="U916" s="43" t="str">
        <x:v>No</x:v>
      </x:c>
      <x:c r="V916" s="44"/>
      <x:c r="W916" s="43" t="str"/>
      <x:c r="X916" s="43" t="str"/>
      <x:c r="Y916" s="43" t="str"/>
      <x:c r="Z916" s="43" t="str">
        <x:v>https://www.get-information-schools.service.gov.uk/Downloads</x:v>
      </x:c>
    </x:row>
    <x:row r="917">
      <x:c r="A917" s="43" t="str">
        <x:v>UK independent</x:v>
      </x:c>
      <x:c r="B917" s="43" t="str">
        <x:v>116528</x:v>
      </x:c>
      <x:c r="C917" s="43" t="n">
        <x:f>IF(K917="Boarding school",30,0)+IF(J917&gt;=18,20,0)+IF(I917&lt;=11,10,0)+IF(L917="Has a sixth form",15,0)+IF(M917&gt;=200,10,0)+IF(N917&lt;&gt;"",10,0)</x:f>
        <x:v>30</x:v>
      </x:c>
      <x:c r="D917" s="43" t="str">
        <x:f>IF(C917&gt;=85,"A",IF(C917&gt;=65,"B","C"))</x:f>
        <x:v>C</x:v>
      </x:c>
      <x:c r="E917" s="43" t="str">
        <x:v>King Edward VI Preparatory School</x:v>
      </x:c>
      <x:c r="F917" s="43" t="str">
        <x:v>Romsey</x:v>
      </x:c>
      <x:c r="G917" s="43" t="str">
        <x:v>Hampshire</x:v>
      </x:c>
      <x:c r="H917" s="43" t="str">
        <x:v>SO51 9ZH</x:v>
      </x:c>
      <x:c r="I917" s="43" t="n">
        <x:v>2</x:v>
      </x:c>
      <x:c r="J917" s="43" t="n">
        <x:v>11</x:v>
      </x:c>
      <x:c r="K917" s="43" t="str">
        <x:v>No boarders</x:v>
      </x:c>
      <x:c r="L917" s="43" t="str">
        <x:v>Does not have a sixth form</x:v>
      </x:c>
      <x:c r="M917" s="43" t="n">
        <x:v>263</x:v>
      </x:c>
      <x:c r="N917" s="43" t="str">
        <x:v>https://prep.kes.school</x:v>
      </x:c>
      <x:c r="O917" s="43" t="str">
        <x:v>01794513231</x:v>
      </x:c>
      <x:c r="P917" s="43" t="str"/>
      <x:c r="Q917" s="43" t="str"/>
      <x:c r="R917" s="43" t="str">
        <x:v>Queued for contact research</x:v>
      </x:c>
      <x:c r="S917" s="43" t="str">
        <x:v>Not reviewed</x:v>
      </x:c>
      <x:c r="T917" s="43" t="str">
        <x:v>Hold</x:v>
      </x:c>
      <x:c r="U917" s="43" t="str">
        <x:v>No</x:v>
      </x:c>
      <x:c r="V917" s="44"/>
      <x:c r="W917" s="43" t="str"/>
      <x:c r="X917" s="43" t="str"/>
      <x:c r="Y917" s="43" t="str"/>
      <x:c r="Z917" s="43" t="str">
        <x:v>https://www.get-information-schools.service.gov.uk/Downloads</x:v>
      </x:c>
    </x:row>
    <x:row r="918">
      <x:c r="A918" s="43" t="str">
        <x:v>UK independent</x:v>
      </x:c>
      <x:c r="B918" s="43" t="str">
        <x:v>100645</x:v>
      </x:c>
      <x:c r="C918" s="43" t="n">
        <x:f>IF(K918="Boarding school",30,0)+IF(J918&gt;=18,20,0)+IF(I918&lt;=11,10,0)+IF(L918="Has a sixth form",15,0)+IF(M918&gt;=200,10,0)+IF(N918&lt;&gt;"",10,0)</x:f>
        <x:v>30</x:v>
      </x:c>
      <x:c r="D918" s="43" t="str">
        <x:f>IF(C918&gt;=85,"A",IF(C918&gt;=65,"B","C"))</x:f>
        <x:v>C</x:v>
      </x:c>
      <x:c r="E918" s="43" t="str">
        <x:v>Rosemead Preparatory School</x:v>
      </x:c>
      <x:c r="F918" s="43" t="str">
        <x:v>London</x:v>
      </x:c>
      <x:c r="G918" s="43" t="str"/>
      <x:c r="H918" s="43" t="str">
        <x:v>SE21 8HZ</x:v>
      </x:c>
      <x:c r="I918" s="43" t="n">
        <x:v>2</x:v>
      </x:c>
      <x:c r="J918" s="43" t="n">
        <x:v>11</x:v>
      </x:c>
      <x:c r="K918" s="43" t="str">
        <x:v>No boarders</x:v>
      </x:c>
      <x:c r="L918" s="43" t="str">
        <x:v>Does not have a sixth form</x:v>
      </x:c>
      <x:c r="M918" s="43" t="n">
        <x:v>263</x:v>
      </x:c>
      <x:c r="N918" s="43" t="str">
        <x:v>https://www.rosemeadprep.org.uk/</x:v>
      </x:c>
      <x:c r="O918" s="43" t="str">
        <x:v>02086705865</x:v>
      </x:c>
      <x:c r="P918" s="43" t="str"/>
      <x:c r="Q918" s="43" t="str"/>
      <x:c r="R918" s="43" t="str">
        <x:v>Queued for contact research</x:v>
      </x:c>
      <x:c r="S918" s="43" t="str">
        <x:v>Not reviewed</x:v>
      </x:c>
      <x:c r="T918" s="43" t="str">
        <x:v>Hold</x:v>
      </x:c>
      <x:c r="U918" s="43" t="str">
        <x:v>No</x:v>
      </x:c>
      <x:c r="V918" s="44"/>
      <x:c r="W918" s="43" t="str"/>
      <x:c r="X918" s="43" t="str"/>
      <x:c r="Y918" s="43" t="str"/>
      <x:c r="Z918" s="43" t="str">
        <x:v>https://www.get-information-schools.service.gov.uk/Downloads</x:v>
      </x:c>
    </x:row>
    <x:row r="919">
      <x:c r="A919" s="43" t="str">
        <x:v>UK independent</x:v>
      </x:c>
      <x:c r="B919" s="43" t="str">
        <x:v>116550</x:v>
      </x:c>
      <x:c r="C919" s="43" t="n">
        <x:f>IF(K919="Boarding school",30,0)+IF(J919&gt;=18,20,0)+IF(I919&lt;=11,10,0)+IF(L919="Has a sixth form",15,0)+IF(M919&gt;=200,10,0)+IF(N919&lt;&gt;"",10,0)</x:f>
        <x:v>30</x:v>
      </x:c>
      <x:c r="D919" s="43" t="str">
        <x:f>IF(C919&gt;=85,"A",IF(C919&gt;=65,"B","C"))</x:f>
        <x:v>C</x:v>
      </x:c>
      <x:c r="E919" s="43" t="str">
        <x:v>Wellesley Prep School</x:v>
      </x:c>
      <x:c r="F919" s="43" t="str">
        <x:v>Hook</x:v>
      </x:c>
      <x:c r="G919" s="43" t="str">
        <x:v>Hampshire</x:v>
      </x:c>
      <x:c r="H919" s="43" t="str">
        <x:v>RG27 0AR</x:v>
      </x:c>
      <x:c r="I919" s="43" t="n">
        <x:v>2</x:v>
      </x:c>
      <x:c r="J919" s="43" t="n">
        <x:v>13</x:v>
      </x:c>
      <x:c r="K919" s="43" t="str">
        <x:v>No boarders</x:v>
      </x:c>
      <x:c r="L919" s="43" t="str">
        <x:v>Does not have a sixth form</x:v>
      </x:c>
      <x:c r="M919" s="43" t="n">
        <x:v>263</x:v>
      </x:c>
      <x:c r="N919" s="43" t="str">
        <x:v>https://www.wellesleyprepschool.co.uk</x:v>
      </x:c>
      <x:c r="O919" s="43" t="str">
        <x:v>01256882707</x:v>
      </x:c>
      <x:c r="P919" s="43" t="str"/>
      <x:c r="Q919" s="43" t="str"/>
      <x:c r="R919" s="43" t="str">
        <x:v>Queued for contact research</x:v>
      </x:c>
      <x:c r="S919" s="43" t="str">
        <x:v>Not reviewed</x:v>
      </x:c>
      <x:c r="T919" s="43" t="str">
        <x:v>Hold</x:v>
      </x:c>
      <x:c r="U919" s="43" t="str">
        <x:v>No</x:v>
      </x:c>
      <x:c r="V919" s="44"/>
      <x:c r="W919" s="43" t="str"/>
      <x:c r="X919" s="43" t="str"/>
      <x:c r="Y919" s="43" t="str"/>
      <x:c r="Z919" s="43" t="str">
        <x:v>https://www.get-information-schools.service.gov.uk/Downloads</x:v>
      </x:c>
    </x:row>
    <x:row r="920">
      <x:c r="A920" s="43" t="str">
        <x:v>UK independent</x:v>
      </x:c>
      <x:c r="B920" s="43" t="str">
        <x:v>116522</x:v>
      </x:c>
      <x:c r="C920" s="43" t="n">
        <x:f>IF(K920="Boarding school",30,0)+IF(J920&gt;=18,20,0)+IF(I920&lt;=11,10,0)+IF(L920="Has a sixth form",15,0)+IF(M920&gt;=200,10,0)+IF(N920&lt;&gt;"",10,0)</x:f>
        <x:v>30</x:v>
      </x:c>
      <x:c r="D920" s="43" t="str">
        <x:f>IF(C920&gt;=85,"A",IF(C920&gt;=65,"B","C"))</x:f>
        <x:v>C</x:v>
      </x:c>
      <x:c r="E920" s="43" t="str">
        <x:v>Durlston School</x:v>
      </x:c>
      <x:c r="F920" s="43" t="str">
        <x:v>New Milton</x:v>
      </x:c>
      <x:c r="G920" s="43" t="str">
        <x:v>Hampshire</x:v>
      </x:c>
      <x:c r="H920" s="43" t="str">
        <x:v>BH25 7AQ</x:v>
      </x:c>
      <x:c r="I920" s="43" t="n">
        <x:v>2</x:v>
      </x:c>
      <x:c r="J920" s="43" t="n">
        <x:v>16</x:v>
      </x:c>
      <x:c r="K920" s="43" t="str">
        <x:v>No boarders</x:v>
      </x:c>
      <x:c r="L920" s="43" t="str">
        <x:v>Does not have a sixth form</x:v>
      </x:c>
      <x:c r="M920" s="43" t="n">
        <x:v>262</x:v>
      </x:c>
      <x:c r="N920" s="43" t="str">
        <x:v>https://www.durlstonschool.co.uk</x:v>
      </x:c>
      <x:c r="O920" s="43" t="str">
        <x:v>01425610010</x:v>
      </x:c>
      <x:c r="P920" s="43" t="str"/>
      <x:c r="Q920" s="43" t="str"/>
      <x:c r="R920" s="43" t="str">
        <x:v>Queued for contact research</x:v>
      </x:c>
      <x:c r="S920" s="43" t="str">
        <x:v>Not reviewed</x:v>
      </x:c>
      <x:c r="T920" s="43" t="str">
        <x:v>Hold</x:v>
      </x:c>
      <x:c r="U920" s="43" t="str">
        <x:v>No</x:v>
      </x:c>
      <x:c r="V920" s="44"/>
      <x:c r="W920" s="43" t="str"/>
      <x:c r="X920" s="43" t="str"/>
      <x:c r="Y920" s="43" t="str"/>
      <x:c r="Z920" s="43" t="str">
        <x:v>https://www.get-information-schools.service.gov.uk/Downloads</x:v>
      </x:c>
    </x:row>
    <x:row r="921">
      <x:c r="A921" s="43" t="str">
        <x:v>UK independent</x:v>
      </x:c>
      <x:c r="B921" s="43" t="str">
        <x:v>102940</x:v>
      </x:c>
      <x:c r="C921" s="43" t="n">
        <x:f>IF(K921="Boarding school",30,0)+IF(J921&gt;=18,20,0)+IF(I921&lt;=11,10,0)+IF(L921="Has a sixth form",15,0)+IF(M921&gt;=200,10,0)+IF(N921&lt;&gt;"",10,0)</x:f>
        <x:v>30</x:v>
      </x:c>
      <x:c r="D921" s="43" t="str">
        <x:f>IF(C921&gt;=85,"A",IF(C921&gt;=65,"B","C"))</x:f>
        <x:v>C</x:v>
      </x:c>
      <x:c r="E921" s="43" t="str">
        <x:v>Kew College</x:v>
      </x:c>
      <x:c r="F921" s="43" t="str">
        <x:v>Richmond</x:v>
      </x:c>
      <x:c r="G921" s="43" t="str">
        <x:v>Surrey</x:v>
      </x:c>
      <x:c r="H921" s="43" t="str">
        <x:v>TW9 3HQ</x:v>
      </x:c>
      <x:c r="I921" s="43" t="n">
        <x:v>3</x:v>
      </x:c>
      <x:c r="J921" s="43" t="n">
        <x:v>11</x:v>
      </x:c>
      <x:c r="K921" s="43" t="str">
        <x:v>No boarders</x:v>
      </x:c>
      <x:c r="L921" s="43" t="str">
        <x:v>Does not have a sixth form</x:v>
      </x:c>
      <x:c r="M921" s="43" t="n">
        <x:v>262</x:v>
      </x:c>
      <x:c r="N921" s="43" t="str">
        <x:v>https://kewcollegeprep.com</x:v>
      </x:c>
      <x:c r="O921" s="43" t="str">
        <x:v>02089402039</x:v>
      </x:c>
      <x:c r="P921" s="43" t="str"/>
      <x:c r="Q921" s="43" t="str"/>
      <x:c r="R921" s="43" t="str">
        <x:v>Queued for contact research</x:v>
      </x:c>
      <x:c r="S921" s="43" t="str">
        <x:v>Not reviewed</x:v>
      </x:c>
      <x:c r="T921" s="43" t="str">
        <x:v>Hold</x:v>
      </x:c>
      <x:c r="U921" s="43" t="str">
        <x:v>No</x:v>
      </x:c>
      <x:c r="V921" s="44"/>
      <x:c r="W921" s="43" t="str"/>
      <x:c r="X921" s="43" t="str"/>
      <x:c r="Y921" s="43" t="str"/>
      <x:c r="Z921" s="43" t="str">
        <x:v>https://www.get-information-schools.service.gov.uk/Downloads</x:v>
      </x:c>
    </x:row>
    <x:row r="922">
      <x:c r="A922" s="43" t="str">
        <x:v>UK independent</x:v>
      </x:c>
      <x:c r="B922" s="43" t="str">
        <x:v>125326</x:v>
      </x:c>
      <x:c r="C922" s="43" t="n">
        <x:f>IF(K922="Boarding school",30,0)+IF(J922&gt;=18,20,0)+IF(I922&lt;=11,10,0)+IF(L922="Has a sixth form",15,0)+IF(M922&gt;=200,10,0)+IF(N922&lt;&gt;"",10,0)</x:f>
        <x:v>30</x:v>
      </x:c>
      <x:c r="D922" s="43" t="str">
        <x:f>IF(C922&gt;=85,"A",IF(C922&gt;=65,"B","C"))</x:f>
        <x:v>C</x:v>
      </x:c>
      <x:c r="E922" s="43" t="str">
        <x:v>Parkside School</x:v>
      </x:c>
      <x:c r="F922" s="43" t="str">
        <x:v>Cobham</x:v>
      </x:c>
      <x:c r="G922" s="43" t="str">
        <x:v>Surrey</x:v>
      </x:c>
      <x:c r="H922" s="43" t="str">
        <x:v>KT11 3PX</x:v>
      </x:c>
      <x:c r="I922" s="43" t="n">
        <x:v>2</x:v>
      </x:c>
      <x:c r="J922" s="43" t="n">
        <x:v>13</x:v>
      </x:c>
      <x:c r="K922" s="43" t="str">
        <x:v>No boarders</x:v>
      </x:c>
      <x:c r="L922" s="43" t="str">
        <x:v>Does not have a sixth form</x:v>
      </x:c>
      <x:c r="M922" s="43" t="n">
        <x:v>260</x:v>
      </x:c>
      <x:c r="N922" s="43" t="str">
        <x:v>https://www.parkside-school.co.uk</x:v>
      </x:c>
      <x:c r="O922" s="43" t="str">
        <x:v>01932862749</x:v>
      </x:c>
      <x:c r="P922" s="43" t="str"/>
      <x:c r="Q922" s="43" t="str"/>
      <x:c r="R922" s="43" t="str">
        <x:v>Queued for contact research</x:v>
      </x:c>
      <x:c r="S922" s="43" t="str">
        <x:v>Not reviewed</x:v>
      </x:c>
      <x:c r="T922" s="43" t="str">
        <x:v>Hold</x:v>
      </x:c>
      <x:c r="U922" s="43" t="str">
        <x:v>No</x:v>
      </x:c>
      <x:c r="V922" s="44"/>
      <x:c r="W922" s="43" t="str"/>
      <x:c r="X922" s="43" t="str"/>
      <x:c r="Y922" s="43" t="str"/>
      <x:c r="Z922" s="43" t="str">
        <x:v>https://www.get-information-schools.service.gov.uk/Downloads</x:v>
      </x:c>
    </x:row>
    <x:row r="923">
      <x:c r="A923" s="43" t="str">
        <x:v>UK independent</x:v>
      </x:c>
      <x:c r="B923" s="43" t="str">
        <x:v>135277</x:v>
      </x:c>
      <x:c r="C923" s="43" t="n">
        <x:f>IF(K923="Boarding school",30,0)+IF(J923&gt;=18,20,0)+IF(I923&lt;=11,10,0)+IF(L923="Has a sixth form",15,0)+IF(M923&gt;=200,10,0)+IF(N923&lt;&gt;"",10,0)</x:f>
        <x:v>30</x:v>
      </x:c>
      <x:c r="D923" s="43" t="str">
        <x:f>IF(C923&gt;=85,"A",IF(C923&gt;=65,"B","C"))</x:f>
        <x:v>C</x:v>
      </x:c>
      <x:c r="E923" s="43" t="str">
        <x:v>L'Ecole de Battersea</x:v>
      </x:c>
      <x:c r="F923" s="43" t="str">
        <x:v>London</x:v>
      </x:c>
      <x:c r="G923" s="43" t="str"/>
      <x:c r="H923" s="43" t="str">
        <x:v>SW11 3DS</x:v>
      </x:c>
      <x:c r="I923" s="43" t="n">
        <x:v>2</x:v>
      </x:c>
      <x:c r="J923" s="43" t="n">
        <x:v>11</x:v>
      </x:c>
      <x:c r="K923" s="43" t="str">
        <x:v>No boarders</x:v>
      </x:c>
      <x:c r="L923" s="43" t="str">
        <x:v>Does not have a sixth form</x:v>
      </x:c>
      <x:c r="M923" s="43" t="n">
        <x:v>258</x:v>
      </x:c>
      <x:c r="N923" s="43" t="str">
        <x:v>https://www.lecoledebattersea.co.uk</x:v>
      </x:c>
      <x:c r="O923" s="43" t="str">
        <x:v>02079243186</x:v>
      </x:c>
      <x:c r="P923" s="43" t="str"/>
      <x:c r="Q923" s="43" t="str"/>
      <x:c r="R923" s="43" t="str">
        <x:v>Queued for contact research</x:v>
      </x:c>
      <x:c r="S923" s="43" t="str">
        <x:v>Not reviewed</x:v>
      </x:c>
      <x:c r="T923" s="43" t="str">
        <x:v>Hold</x:v>
      </x:c>
      <x:c r="U923" s="43" t="str">
        <x:v>No</x:v>
      </x:c>
      <x:c r="V923" s="44"/>
      <x:c r="W923" s="43" t="str"/>
      <x:c r="X923" s="43" t="str"/>
      <x:c r="Y923" s="43" t="str"/>
      <x:c r="Z923" s="43" t="str">
        <x:v>https://www.get-information-schools.service.gov.uk/Downloads</x:v>
      </x:c>
    </x:row>
    <x:row r="924">
      <x:c r="A924" s="43" t="str">
        <x:v>UK independent</x:v>
      </x:c>
      <x:c r="B924" s="43" t="str">
        <x:v>125357</x:v>
      </x:c>
      <x:c r="C924" s="43" t="n">
        <x:f>IF(K924="Boarding school",30,0)+IF(J924&gt;=18,20,0)+IF(I924&lt;=11,10,0)+IF(L924="Has a sixth form",15,0)+IF(M924&gt;=200,10,0)+IF(N924&lt;&gt;"",10,0)</x:f>
        <x:v>30</x:v>
      </x:c>
      <x:c r="D924" s="43" t="str">
        <x:f>IF(C924&gt;=85,"A",IF(C924&gt;=65,"B","C"))</x:f>
        <x:v>C</x:v>
      </x:c>
      <x:c r="E924" s="43" t="str">
        <x:v>Micklefield School</x:v>
      </x:c>
      <x:c r="F924" s="43" t="str">
        <x:v>Reigate</x:v>
      </x:c>
      <x:c r="G924" s="43" t="str">
        <x:v>Surrey</x:v>
      </x:c>
      <x:c r="H924" s="43" t="str">
        <x:v>RH2 9DU</x:v>
      </x:c>
      <x:c r="I924" s="43" t="n">
        <x:v>2</x:v>
      </x:c>
      <x:c r="J924" s="43" t="n">
        <x:v>11</x:v>
      </x:c>
      <x:c r="K924" s="43" t="str">
        <x:v>No boarders</x:v>
      </x:c>
      <x:c r="L924" s="43" t="str">
        <x:v>Not applicable</x:v>
      </x:c>
      <x:c r="M924" s="43" t="n">
        <x:v>258</x:v>
      </x:c>
      <x:c r="N924" s="43" t="str">
        <x:v>https://www.micklefieldschool.co.uk</x:v>
      </x:c>
      <x:c r="O924" s="43" t="str">
        <x:v>01737224212</x:v>
      </x:c>
      <x:c r="P924" s="43" t="str"/>
      <x:c r="Q924" s="43" t="str"/>
      <x:c r="R924" s="43" t="str">
        <x:v>Queued for contact research</x:v>
      </x:c>
      <x:c r="S924" s="43" t="str">
        <x:v>Not reviewed</x:v>
      </x:c>
      <x:c r="T924" s="43" t="str">
        <x:v>Hold</x:v>
      </x:c>
      <x:c r="U924" s="43" t="str">
        <x:v>No</x:v>
      </x:c>
      <x:c r="V924" s="44"/>
      <x:c r="W924" s="43" t="str"/>
      <x:c r="X924" s="43" t="str"/>
      <x:c r="Y924" s="43" t="str"/>
      <x:c r="Z924" s="43" t="str">
        <x:v>https://www.get-information-schools.service.gov.uk/Downloads</x:v>
      </x:c>
    </x:row>
    <x:row r="925">
      <x:c r="A925" s="43" t="str">
        <x:v>UK independent</x:v>
      </x:c>
      <x:c r="B925" s="43" t="str">
        <x:v>101163</x:v>
      </x:c>
      <x:c r="C925" s="43" t="n">
        <x:f>IF(K925="Boarding school",30,0)+IF(J925&gt;=18,20,0)+IF(I925&lt;=11,10,0)+IF(L925="Has a sixth form",15,0)+IF(M925&gt;=200,10,0)+IF(N925&lt;&gt;"",10,0)</x:f>
        <x:v>30</x:v>
      </x:c>
      <x:c r="D925" s="43" t="str">
        <x:f>IF(C925&gt;=85,"A",IF(C925&gt;=65,"B","C"))</x:f>
        <x:v>C</x:v>
      </x:c>
      <x:c r="E925" s="43" t="str">
        <x:v>Francis Holland Preparatory School</x:v>
      </x:c>
      <x:c r="F925" s="43" t="str"/>
      <x:c r="G925" s="43" t="str"/>
      <x:c r="H925" s="43" t="str">
        <x:v>SW3 6NB</x:v>
      </x:c>
      <x:c r="I925" s="43" t="n">
        <x:v>4</x:v>
      </x:c>
      <x:c r="J925" s="43" t="n">
        <x:v>12</x:v>
      </x:c>
      <x:c r="K925" s="43" t="str">
        <x:v>No boarders</x:v>
      </x:c>
      <x:c r="L925" s="43" t="str">
        <x:v>Does not have a sixth form</x:v>
      </x:c>
      <x:c r="M925" s="43" t="n">
        <x:v>256</x:v>
      </x:c>
      <x:c r="N925" s="43" t="str">
        <x:v>https://www.francishollandprep.org.uk</x:v>
      </x:c>
      <x:c r="O925" s="43" t="str">
        <x:v>02073527077</x:v>
      </x:c>
      <x:c r="P925" s="43" t="str"/>
      <x:c r="Q925" s="43" t="str"/>
      <x:c r="R925" s="43" t="str">
        <x:v>Queued for contact research</x:v>
      </x:c>
      <x:c r="S925" s="43" t="str">
        <x:v>Not reviewed</x:v>
      </x:c>
      <x:c r="T925" s="43" t="str">
        <x:v>Hold</x:v>
      </x:c>
      <x:c r="U925" s="43" t="str">
        <x:v>No</x:v>
      </x:c>
      <x:c r="V925" s="44"/>
      <x:c r="W925" s="43" t="str"/>
      <x:c r="X925" s="43" t="str"/>
      <x:c r="Y925" s="43" t="str"/>
      <x:c r="Z925" s="43" t="str">
        <x:v>https://www.get-information-schools.service.gov.uk/Downloads</x:v>
      </x:c>
    </x:row>
    <x:row r="926">
      <x:c r="A926" s="43" t="str">
        <x:v>UK independent</x:v>
      </x:c>
      <x:c r="B926" s="43" t="str">
        <x:v>100070</x:v>
      </x:c>
      <x:c r="C926" s="43" t="n">
        <x:f>IF(K926="Boarding school",30,0)+IF(J926&gt;=18,20,0)+IF(I926&lt;=11,10,0)+IF(L926="Has a sixth form",15,0)+IF(M926&gt;=200,10,0)+IF(N926&lt;&gt;"",10,0)</x:f>
        <x:v>30</x:v>
      </x:c>
      <x:c r="D926" s="43" t="str">
        <x:f>IF(C926&gt;=85,"A",IF(C926&gt;=65,"B","C"))</x:f>
        <x:v>C</x:v>
      </x:c>
      <x:c r="E926" s="43" t="str">
        <x:v>St Anthony's School for Boys</x:v>
      </x:c>
      <x:c r="F926" s="43" t="str"/>
      <x:c r="G926" s="43" t="str"/>
      <x:c r="H926" s="43" t="str">
        <x:v>NW3 6NP</x:v>
      </x:c>
      <x:c r="I926" s="43" t="n">
        <x:v>2</x:v>
      </x:c>
      <x:c r="J926" s="43" t="n">
        <x:v>13</x:v>
      </x:c>
      <x:c r="K926" s="43" t="str">
        <x:v>No boarders</x:v>
      </x:c>
      <x:c r="L926" s="43" t="str">
        <x:v>Does not have a sixth form</x:v>
      </x:c>
      <x:c r="M926" s="43" t="n">
        <x:v>256</x:v>
      </x:c>
      <x:c r="N926" s="43" t="str">
        <x:v>https://www.stanthonysprep.org.uk</x:v>
      </x:c>
      <x:c r="O926" s="43" t="str">
        <x:v>02074353597</x:v>
      </x:c>
      <x:c r="P926" s="43" t="str"/>
      <x:c r="Q926" s="43" t="str"/>
      <x:c r="R926" s="43" t="str">
        <x:v>Queued for contact research</x:v>
      </x:c>
      <x:c r="S926" s="43" t="str">
        <x:v>Not reviewed</x:v>
      </x:c>
      <x:c r="T926" s="43" t="str">
        <x:v>Hold</x:v>
      </x:c>
      <x:c r="U926" s="43" t="str">
        <x:v>No</x:v>
      </x:c>
      <x:c r="V926" s="44"/>
      <x:c r="W926" s="43" t="str"/>
      <x:c r="X926" s="43" t="str"/>
      <x:c r="Y926" s="43" t="str"/>
      <x:c r="Z926" s="43" t="str">
        <x:v>https://www.get-information-schools.service.gov.uk/Downloads</x:v>
      </x:c>
    </x:row>
    <x:row r="927">
      <x:c r="A927" s="43" t="str">
        <x:v>UK independent</x:v>
      </x:c>
      <x:c r="B927" s="43" t="str">
        <x:v>134469</x:v>
      </x:c>
      <x:c r="C927" s="43" t="n">
        <x:f>IF(K927="Boarding school",30,0)+IF(J927&gt;=18,20,0)+IF(I927&lt;=11,10,0)+IF(L927="Has a sixth form",15,0)+IF(M927&gt;=200,10,0)+IF(N927&lt;&gt;"",10,0)</x:f>
        <x:v>30</x:v>
      </x:c>
      <x:c r="D927" s="43" t="str">
        <x:f>IF(C927&gt;=85,"A",IF(C927&gt;=65,"B","C"))</x:f>
        <x:v>C</x:v>
      </x:c>
      <x:c r="E927" s="43" t="str">
        <x:v>Afifah School</x:v>
      </x:c>
      <x:c r="F927" s="43" t="str">
        <x:v>Manchester</x:v>
      </x:c>
      <x:c r="G927" s="43" t="str"/>
      <x:c r="H927" s="43" t="str">
        <x:v>M16 9GN</x:v>
      </x:c>
      <x:c r="I927" s="43" t="n">
        <x:v>2</x:v>
      </x:c>
      <x:c r="J927" s="43" t="n">
        <x:v>16</x:v>
      </x:c>
      <x:c r="K927" s="43" t="str">
        <x:v>No boarders</x:v>
      </x:c>
      <x:c r="L927" s="43" t="str">
        <x:v>Does not have a sixth form</x:v>
      </x:c>
      <x:c r="M927" s="43" t="n">
        <x:v>255</x:v>
      </x:c>
      <x:c r="N927" s="43" t="str">
        <x:v>https://www.afifahschool.com</x:v>
      </x:c>
      <x:c r="O927" s="43" t="str">
        <x:v>01618721516</x:v>
      </x:c>
      <x:c r="P927" s="43" t="str"/>
      <x:c r="Q927" s="43" t="str"/>
      <x:c r="R927" s="43" t="str">
        <x:v>Queued for contact research</x:v>
      </x:c>
      <x:c r="S927" s="43" t="str">
        <x:v>Not reviewed</x:v>
      </x:c>
      <x:c r="T927" s="43" t="str">
        <x:v>Hold</x:v>
      </x:c>
      <x:c r="U927" s="43" t="str">
        <x:v>No</x:v>
      </x:c>
      <x:c r="V927" s="44"/>
      <x:c r="W927" s="43" t="str"/>
      <x:c r="X927" s="43" t="str"/>
      <x:c r="Y927" s="43" t="str"/>
      <x:c r="Z927" s="43" t="str">
        <x:v>https://www.get-information-schools.service.gov.uk/Downloads</x:v>
      </x:c>
    </x:row>
    <x:row r="928">
      <x:c r="A928" s="43" t="str">
        <x:v>UK independent</x:v>
      </x:c>
      <x:c r="B928" s="43" t="str">
        <x:v>126533</x:v>
      </x:c>
      <x:c r="C928" s="43" t="n">
        <x:f>IF(K928="Boarding school",30,0)+IF(J928&gt;=18,20,0)+IF(I928&lt;=11,10,0)+IF(L928="Has a sixth form",15,0)+IF(M928&gt;=200,10,0)+IF(N928&lt;&gt;"",10,0)</x:f>
        <x:v>30</x:v>
      </x:c>
      <x:c r="D928" s="43" t="str">
        <x:f>IF(C928&gt;=85,"A",IF(C928&gt;=65,"B","C"))</x:f>
        <x:v>C</x:v>
      </x:c>
      <x:c r="E928" s="43" t="str">
        <x:v>Cricklade Manor Prep</x:v>
      </x:c>
      <x:c r="F928" s="43" t="str">
        <x:v>Swindon</x:v>
      </x:c>
      <x:c r="G928" s="43" t="str">
        <x:v>Wiltshire</x:v>
      </x:c>
      <x:c r="H928" s="43" t="str">
        <x:v>SN6 6BB</x:v>
      </x:c>
      <x:c r="I928" s="43" t="n">
        <x:v>2</x:v>
      </x:c>
      <x:c r="J928" s="43" t="n">
        <x:v>11</x:v>
      </x:c>
      <x:c r="K928" s="43" t="str">
        <x:v>No boarders</x:v>
      </x:c>
      <x:c r="L928" s="43" t="str">
        <x:v>Does not have a sixth form</x:v>
      </x:c>
      <x:c r="M928" s="43" t="n">
        <x:v>255</x:v>
      </x:c>
      <x:c r="N928" s="43" t="str">
        <x:v>https://www.cricklademanor.com</x:v>
      </x:c>
      <x:c r="O928" s="43" t="str">
        <x:v>01793750275</x:v>
      </x:c>
      <x:c r="P928" s="43" t="str"/>
      <x:c r="Q928" s="43" t="str"/>
      <x:c r="R928" s="43" t="str">
        <x:v>Queued for contact research</x:v>
      </x:c>
      <x:c r="S928" s="43" t="str">
        <x:v>Not reviewed</x:v>
      </x:c>
      <x:c r="T928" s="43" t="str">
        <x:v>Hold</x:v>
      </x:c>
      <x:c r="U928" s="43" t="str">
        <x:v>No</x:v>
      </x:c>
      <x:c r="V928" s="44"/>
      <x:c r="W928" s="43" t="str"/>
      <x:c r="X928" s="43" t="str"/>
      <x:c r="Y928" s="43" t="str"/>
      <x:c r="Z928" s="43" t="str">
        <x:v>https://www.get-information-schools.service.gov.uk/Downloads</x:v>
      </x:c>
    </x:row>
    <x:row r="929">
      <x:c r="A929" s="43" t="str">
        <x:v>UK independent</x:v>
      </x:c>
      <x:c r="B929" s="43" t="str">
        <x:v>134822</x:v>
      </x:c>
      <x:c r="C929" s="43" t="n">
        <x:f>IF(K929="Boarding school",30,0)+IF(J929&gt;=18,20,0)+IF(I929&lt;=11,10,0)+IF(L929="Has a sixth form",15,0)+IF(M929&gt;=200,10,0)+IF(N929&lt;&gt;"",10,0)</x:f>
        <x:v>30</x:v>
      </x:c>
      <x:c r="D929" s="43" t="str">
        <x:f>IF(C929&gt;=85,"A",IF(C929&gt;=65,"B","C"))</x:f>
        <x:v>C</x:v>
      </x:c>
      <x:c r="E929" s="43" t="str">
        <x:v>Wetherby Preparatory School</x:v>
      </x:c>
      <x:c r="F929" s="43" t="str">
        <x:v>London</x:v>
      </x:c>
      <x:c r="G929" s="43" t="str"/>
      <x:c r="H929" s="43" t="str">
        <x:v>W1H 2EA</x:v>
      </x:c>
      <x:c r="I929" s="43" t="n">
        <x:v>4</x:v>
      </x:c>
      <x:c r="J929" s="43" t="n">
        <x:v>13</x:v>
      </x:c>
      <x:c r="K929" s="43" t="str">
        <x:v>No boarders</x:v>
      </x:c>
      <x:c r="L929" s="43" t="str">
        <x:v>Does not have a sixth form</x:v>
      </x:c>
      <x:c r="M929" s="43" t="n">
        <x:v>255</x:v>
      </x:c>
      <x:c r="N929" s="43" t="str">
        <x:v>https://www.wetherbyprep.co.uk</x:v>
      </x:c>
      <x:c r="O929" s="43" t="str">
        <x:v>02075353520</x:v>
      </x:c>
      <x:c r="P929" s="43" t="str"/>
      <x:c r="Q929" s="43" t="str"/>
      <x:c r="R929" s="43" t="str">
        <x:v>Queued for contact research</x:v>
      </x:c>
      <x:c r="S929" s="43" t="str">
        <x:v>Not reviewed</x:v>
      </x:c>
      <x:c r="T929" s="43" t="str">
        <x:v>Hold</x:v>
      </x:c>
      <x:c r="U929" s="43" t="str">
        <x:v>No</x:v>
      </x:c>
      <x:c r="V929" s="44"/>
      <x:c r="W929" s="43" t="str"/>
      <x:c r="X929" s="43" t="str"/>
      <x:c r="Y929" s="43" t="str"/>
      <x:c r="Z929" s="43" t="str">
        <x:v>https://www.get-information-schools.service.gov.uk/Downloads</x:v>
      </x:c>
    </x:row>
    <x:row r="930">
      <x:c r="A930" s="43" t="str">
        <x:v>UK independent</x:v>
      </x:c>
      <x:c r="B930" s="43" t="str">
        <x:v>111483</x:v>
      </x:c>
      <x:c r="C930" s="43" t="n">
        <x:f>IF(K930="Boarding school",30,0)+IF(J930&gt;=18,20,0)+IF(I930&lt;=11,10,0)+IF(L930="Has a sixth form",15,0)+IF(M930&gt;=200,10,0)+IF(N930&lt;&gt;"",10,0)</x:f>
        <x:v>30</x:v>
      </x:c>
      <x:c r="D930" s="43" t="str">
        <x:f>IF(C930&gt;=85,"A",IF(C930&gt;=65,"B","C"))</x:f>
        <x:v>C</x:v>
      </x:c>
      <x:c r="E930" s="43" t="str">
        <x:v>Cransley School</x:v>
      </x:c>
      <x:c r="F930" s="43" t="str">
        <x:v>Northwich</x:v>
      </x:c>
      <x:c r="G930" s="43" t="str">
        <x:v>Cheshire</x:v>
      </x:c>
      <x:c r="H930" s="43" t="str">
        <x:v>CW9 6HN</x:v>
      </x:c>
      <x:c r="I930" s="43" t="n">
        <x:v>4</x:v>
      </x:c>
      <x:c r="J930" s="43" t="n">
        <x:v>16</x:v>
      </x:c>
      <x:c r="K930" s="43" t="str">
        <x:v>No boarders</x:v>
      </x:c>
      <x:c r="L930" s="43" t="str">
        <x:v>Does not have a sixth form</x:v>
      </x:c>
      <x:c r="M930" s="43" t="n">
        <x:v>254</x:v>
      </x:c>
      <x:c r="N930" s="43" t="str">
        <x:v>https://cransleyschool.com/</x:v>
      </x:c>
      <x:c r="O930" s="43" t="str">
        <x:v>01606891747</x:v>
      </x:c>
      <x:c r="P930" s="43" t="str"/>
      <x:c r="Q930" s="43" t="str"/>
      <x:c r="R930" s="43" t="str">
        <x:v>Queued for contact research</x:v>
      </x:c>
      <x:c r="S930" s="43" t="str">
        <x:v>Not reviewed</x:v>
      </x:c>
      <x:c r="T930" s="43" t="str">
        <x:v>Hold</x:v>
      </x:c>
      <x:c r="U930" s="43" t="str">
        <x:v>No</x:v>
      </x:c>
      <x:c r="V930" s="44"/>
      <x:c r="W930" s="43" t="str"/>
      <x:c r="X930" s="43" t="str"/>
      <x:c r="Y930" s="43" t="str"/>
      <x:c r="Z930" s="43" t="str">
        <x:v>https://www.get-information-schools.service.gov.uk/Downloads</x:v>
      </x:c>
    </x:row>
    <x:row r="931">
      <x:c r="A931" s="43" t="str">
        <x:v>UK independent</x:v>
      </x:c>
      <x:c r="B931" s="43" t="str">
        <x:v>126524</x:v>
      </x:c>
      <x:c r="C931" s="43" t="n">
        <x:f>IF(K931="Boarding school",30,0)+IF(J931&gt;=18,20,0)+IF(I931&lt;=11,10,0)+IF(L931="Has a sixth form",15,0)+IF(M931&gt;=200,10,0)+IF(N931&lt;&gt;"",10,0)</x:f>
        <x:v>30</x:v>
      </x:c>
      <x:c r="D931" s="43" t="str">
        <x:f>IF(C931&gt;=85,"A",IF(C931&gt;=65,"B","C"))</x:f>
        <x:v>C</x:v>
      </x:c>
      <x:c r="E931" s="43" t="str">
        <x:v>Heywood Prep</x:v>
      </x:c>
      <x:c r="F931" s="43" t="str">
        <x:v>Corsham</x:v>
      </x:c>
      <x:c r="G931" s="43" t="str">
        <x:v>Wiltshire</x:v>
      </x:c>
      <x:c r="H931" s="43" t="str">
        <x:v>SN13 0AP</x:v>
      </x:c>
      <x:c r="I931" s="43" t="n">
        <x:v>2</x:v>
      </x:c>
      <x:c r="J931" s="43" t="n">
        <x:v>11</x:v>
      </x:c>
      <x:c r="K931" s="43" t="str">
        <x:v>No boarders</x:v>
      </x:c>
      <x:c r="L931" s="43" t="str">
        <x:v>Does not have a sixth form</x:v>
      </x:c>
      <x:c r="M931" s="43" t="n">
        <x:v>254</x:v>
      </x:c>
      <x:c r="N931" s="43" t="str">
        <x:v>https://www.heywoodprep.com</x:v>
      </x:c>
      <x:c r="O931" s="43" t="str">
        <x:v>01249713379</x:v>
      </x:c>
      <x:c r="P931" s="43" t="str"/>
      <x:c r="Q931" s="43" t="str"/>
      <x:c r="R931" s="43" t="str">
        <x:v>Queued for contact research</x:v>
      </x:c>
      <x:c r="S931" s="43" t="str">
        <x:v>Not reviewed</x:v>
      </x:c>
      <x:c r="T931" s="43" t="str">
        <x:v>Hold</x:v>
      </x:c>
      <x:c r="U931" s="43" t="str">
        <x:v>No</x:v>
      </x:c>
      <x:c r="V931" s="44"/>
      <x:c r="W931" s="43" t="str"/>
      <x:c r="X931" s="43" t="str"/>
      <x:c r="Y931" s="43" t="str"/>
      <x:c r="Z931" s="43" t="str">
        <x:v>https://www.get-information-schools.service.gov.uk/Downloads</x:v>
      </x:c>
    </x:row>
    <x:row r="932">
      <x:c r="A932" s="43" t="str">
        <x:v>UK independent</x:v>
      </x:c>
      <x:c r="B932" s="43" t="str">
        <x:v>115800</x:v>
      </x:c>
      <x:c r="C932" s="43" t="n">
        <x:f>IF(K932="Boarding school",30,0)+IF(J932&gt;=18,20,0)+IF(I932&lt;=11,10,0)+IF(L932="Has a sixth form",15,0)+IF(M932&gt;=200,10,0)+IF(N932&lt;&gt;"",10,0)</x:f>
        <x:v>30</x:v>
      </x:c>
      <x:c r="D932" s="43" t="str">
        <x:f>IF(C932&gt;=85,"A",IF(C932&gt;=65,"B","C"))</x:f>
        <x:v>C</x:v>
      </x:c>
      <x:c r="E932" s="43" t="str">
        <x:v>Berkhampstead School</x:v>
      </x:c>
      <x:c r="F932" s="43" t="str">
        <x:v>Cheltenham</x:v>
      </x:c>
      <x:c r="G932" s="43" t="str">
        <x:v>Gloucestershire</x:v>
      </x:c>
      <x:c r="H932" s="43" t="str">
        <x:v>GL52 2QA</x:v>
      </x:c>
      <x:c r="I932" s="43" t="n">
        <x:v>3</x:v>
      </x:c>
      <x:c r="J932" s="43" t="n">
        <x:v>11</x:v>
      </x:c>
      <x:c r="K932" s="43" t="str">
        <x:v>No boarders</x:v>
      </x:c>
      <x:c r="L932" s="43" t="str">
        <x:v>Does not have a sixth form</x:v>
      </x:c>
      <x:c r="M932" s="43" t="n">
        <x:v>253</x:v>
      </x:c>
      <x:c r="N932" s="43" t="str">
        <x:v>https://www.berkhampsteadschool.co.uk</x:v>
      </x:c>
      <x:c r="O932" s="43" t="str">
        <x:v>01242523263</x:v>
      </x:c>
      <x:c r="P932" s="43" t="str"/>
      <x:c r="Q932" s="43" t="str"/>
      <x:c r="R932" s="43" t="str">
        <x:v>Queued for contact research</x:v>
      </x:c>
      <x:c r="S932" s="43" t="str">
        <x:v>Not reviewed</x:v>
      </x:c>
      <x:c r="T932" s="43" t="str">
        <x:v>Hold</x:v>
      </x:c>
      <x:c r="U932" s="43" t="str">
        <x:v>No</x:v>
      </x:c>
      <x:c r="V932" s="44"/>
      <x:c r="W932" s="43" t="str"/>
      <x:c r="X932" s="43" t="str"/>
      <x:c r="Y932" s="43" t="str"/>
      <x:c r="Z932" s="43" t="str">
        <x:v>https://www.get-information-schools.service.gov.uk/Downloads</x:v>
      </x:c>
    </x:row>
    <x:row r="933">
      <x:c r="A933" s="43" t="str">
        <x:v>UK independent</x:v>
      </x:c>
      <x:c r="B933" s="43" t="str">
        <x:v>100061</x:v>
      </x:c>
      <x:c r="C933" s="43" t="n">
        <x:f>IF(K933="Boarding school",30,0)+IF(J933&gt;=18,20,0)+IF(I933&lt;=11,10,0)+IF(L933="Has a sixth form",15,0)+IF(M933&gt;=200,10,0)+IF(N933&lt;&gt;"",10,0)</x:f>
        <x:v>30</x:v>
      </x:c>
      <x:c r="D933" s="43" t="str">
        <x:f>IF(C933&gt;=85,"A",IF(C933&gt;=65,"B","C"))</x:f>
        <x:v>C</x:v>
      </x:c>
      <x:c r="E933" s="43" t="str">
        <x:v>St Christopher's School</x:v>
      </x:c>
      <x:c r="F933" s="43" t="str">
        <x:v>London</x:v>
      </x:c>
      <x:c r="G933" s="43" t="str"/>
      <x:c r="H933" s="43" t="str">
        <x:v>NW3 5AE</x:v>
      </x:c>
      <x:c r="I933" s="43" t="n">
        <x:v>4</x:v>
      </x:c>
      <x:c r="J933" s="43" t="n">
        <x:v>11</x:v>
      </x:c>
      <x:c r="K933" s="43" t="str">
        <x:v>No boarders</x:v>
      </x:c>
      <x:c r="L933" s="43" t="str">
        <x:v>Does not have a sixth form</x:v>
      </x:c>
      <x:c r="M933" s="43" t="n">
        <x:v>253</x:v>
      </x:c>
      <x:c r="N933" s="43" t="str">
        <x:v>https://www.stchristophers.london</x:v>
      </x:c>
      <x:c r="O933" s="43" t="str">
        <x:v>02074351521</x:v>
      </x:c>
      <x:c r="P933" s="43" t="str"/>
      <x:c r="Q933" s="43" t="str"/>
      <x:c r="R933" s="43" t="str">
        <x:v>Queued for contact research</x:v>
      </x:c>
      <x:c r="S933" s="43" t="str">
        <x:v>Not reviewed</x:v>
      </x:c>
      <x:c r="T933" s="43" t="str">
        <x:v>Hold</x:v>
      </x:c>
      <x:c r="U933" s="43" t="str">
        <x:v>No</x:v>
      </x:c>
      <x:c r="V933" s="44"/>
      <x:c r="W933" s="43" t="str"/>
      <x:c r="X933" s="43" t="str"/>
      <x:c r="Y933" s="43" t="str"/>
      <x:c r="Z933" s="43" t="str">
        <x:v>https://www.get-information-schools.service.gov.uk/Downloads</x:v>
      </x:c>
    </x:row>
    <x:row r="934">
      <x:c r="A934" s="43" t="str">
        <x:v>UK independent</x:v>
      </x:c>
      <x:c r="B934" s="43" t="str">
        <x:v>110130</x:v>
      </x:c>
      <x:c r="C934" s="43" t="n">
        <x:f>IF(K934="Boarding school",30,0)+IF(J934&gt;=18,20,0)+IF(I934&lt;=11,10,0)+IF(L934="Has a sixth form",15,0)+IF(M934&gt;=200,10,0)+IF(N934&lt;&gt;"",10,0)</x:f>
        <x:v>30</x:v>
      </x:c>
      <x:c r="D934" s="43" t="str">
        <x:f>IF(C934&gt;=85,"A",IF(C934&gt;=65,"B","C"))</x:f>
        <x:v>C</x:v>
      </x:c>
      <x:c r="E934" s="43" t="str">
        <x:v>Upton House School</x:v>
      </x:c>
      <x:c r="F934" s="43" t="str">
        <x:v>Berkshire</x:v>
      </x:c>
      <x:c r="G934" s="43" t="str"/>
      <x:c r="H934" s="43" t="str">
        <x:v>SL4 3DF</x:v>
      </x:c>
      <x:c r="I934" s="43" t="n">
        <x:v>2</x:v>
      </x:c>
      <x:c r="J934" s="43" t="n">
        <x:v>11</x:v>
      </x:c>
      <x:c r="K934" s="43" t="str">
        <x:v>No boarders</x:v>
      </x:c>
      <x:c r="L934" s="43" t="str">
        <x:v>Does not have a sixth form</x:v>
      </x:c>
      <x:c r="M934" s="43" t="n">
        <x:v>252</x:v>
      </x:c>
      <x:c r="N934" s="43" t="str">
        <x:v>https://www.uptonhouse.org.uk</x:v>
      </x:c>
      <x:c r="O934" s="43" t="str">
        <x:v>01753862610</x:v>
      </x:c>
      <x:c r="P934" s="43" t="str"/>
      <x:c r="Q934" s="43" t="str"/>
      <x:c r="R934" s="43" t="str">
        <x:v>Queued for contact research</x:v>
      </x:c>
      <x:c r="S934" s="43" t="str">
        <x:v>Not reviewed</x:v>
      </x:c>
      <x:c r="T934" s="43" t="str">
        <x:v>Hold</x:v>
      </x:c>
      <x:c r="U934" s="43" t="str">
        <x:v>No</x:v>
      </x:c>
      <x:c r="V934" s="44"/>
      <x:c r="W934" s="43" t="str"/>
      <x:c r="X934" s="43" t="str"/>
      <x:c r="Y934" s="43" t="str"/>
      <x:c r="Z934" s="43" t="str">
        <x:v>https://www.get-information-schools.service.gov.uk/Downloads</x:v>
      </x:c>
    </x:row>
    <x:row r="935">
      <x:c r="A935" s="43" t="str">
        <x:v>UK independent</x:v>
      </x:c>
      <x:c r="B935" s="43" t="str">
        <x:v>122141</x:v>
      </x:c>
      <x:c r="C935" s="43" t="n">
        <x:f>IF(K935="Boarding school",30,0)+IF(J935&gt;=18,20,0)+IF(I935&lt;=11,10,0)+IF(L935="Has a sixth form",15,0)+IF(M935&gt;=200,10,0)+IF(N935&lt;&gt;"",10,0)</x:f>
        <x:v>30</x:v>
      </x:c>
      <x:c r="D935" s="43" t="str">
        <x:f>IF(C935&gt;=85,"A",IF(C935&gt;=65,"B","C"))</x:f>
        <x:v>C</x:v>
      </x:c>
      <x:c r="E935" s="43" t="str">
        <x:v>Laxton Junior School</x:v>
      </x:c>
      <x:c r="F935" s="43" t="str"/>
      <x:c r="G935" s="43" t="str"/>
      <x:c r="H935" s="43" t="str">
        <x:v>PE8 4BX</x:v>
      </x:c>
      <x:c r="I935" s="43" t="n">
        <x:v>4</x:v>
      </x:c>
      <x:c r="J935" s="43" t="n">
        <x:v>11</x:v>
      </x:c>
      <x:c r="K935" s="43" t="str">
        <x:v>No boarders</x:v>
      </x:c>
      <x:c r="L935" s="43" t="str">
        <x:v>Does not have a sixth form</x:v>
      </x:c>
      <x:c r="M935" s="43" t="n">
        <x:v>251</x:v>
      </x:c>
      <x:c r="N935" s="43" t="str">
        <x:v>https://www.laxtonjunior.org.uk</x:v>
      </x:c>
      <x:c r="O935" s="43" t="str">
        <x:v>01832277275</x:v>
      </x:c>
      <x:c r="P935" s="43" t="str"/>
      <x:c r="Q935" s="43" t="str"/>
      <x:c r="R935" s="43" t="str">
        <x:v>Queued for contact research</x:v>
      </x:c>
      <x:c r="S935" s="43" t="str">
        <x:v>Not reviewed</x:v>
      </x:c>
      <x:c r="T935" s="43" t="str">
        <x:v>Hold</x:v>
      </x:c>
      <x:c r="U935" s="43" t="str">
        <x:v>No</x:v>
      </x:c>
      <x:c r="V935" s="44"/>
      <x:c r="W935" s="43" t="str"/>
      <x:c r="X935" s="43" t="str"/>
      <x:c r="Y935" s="43" t="str"/>
      <x:c r="Z935" s="43" t="str">
        <x:v>https://www.get-information-schools.service.gov.uk/Downloads</x:v>
      </x:c>
    </x:row>
    <x:row r="936">
      <x:c r="A936" s="43" t="str">
        <x:v>UK independent</x:v>
      </x:c>
      <x:c r="B936" s="43" t="str">
        <x:v>117615</x:v>
      </x:c>
      <x:c r="C936" s="43" t="n">
        <x:f>IF(K936="Boarding school",30,0)+IF(J936&gt;=18,20,0)+IF(I936&lt;=11,10,0)+IF(L936="Has a sixth form",15,0)+IF(M936&gt;=200,10,0)+IF(N936&lt;&gt;"",10,0)</x:f>
        <x:v>30</x:v>
      </x:c>
      <x:c r="D936" s="43" t="str">
        <x:f>IF(C936&gt;=85,"A",IF(C936&gt;=65,"B","C"))</x:f>
        <x:v>C</x:v>
      </x:c>
      <x:c r="E936" s="43" t="str">
        <x:v>Radlett Preparatory School Ltd</x:v>
      </x:c>
      <x:c r="F936" s="43" t="str">
        <x:v>Herts</x:v>
      </x:c>
      <x:c r="G936" s="43" t="str"/>
      <x:c r="H936" s="43" t="str">
        <x:v>WD7 7LY</x:v>
      </x:c>
      <x:c r="I936" s="43" t="n">
        <x:v>3</x:v>
      </x:c>
      <x:c r="J936" s="43" t="n">
        <x:v>11</x:v>
      </x:c>
      <x:c r="K936" s="43" t="str">
        <x:v>No boarders</x:v>
      </x:c>
      <x:c r="L936" s="43" t="str">
        <x:v>Does not have a sixth form</x:v>
      </x:c>
      <x:c r="M936" s="43" t="n">
        <x:v>250</x:v>
      </x:c>
      <x:c r="N936" s="43" t="str">
        <x:v>https://www.radlettprep.co.uk</x:v>
      </x:c>
      <x:c r="O936" s="43" t="str">
        <x:v>01923856812</x:v>
      </x:c>
      <x:c r="P936" s="43" t="str"/>
      <x:c r="Q936" s="43" t="str"/>
      <x:c r="R936" s="43" t="str">
        <x:v>Queued for contact research</x:v>
      </x:c>
      <x:c r="S936" s="43" t="str">
        <x:v>Not reviewed</x:v>
      </x:c>
      <x:c r="T936" s="43" t="str">
        <x:v>Hold</x:v>
      </x:c>
      <x:c r="U936" s="43" t="str">
        <x:v>No</x:v>
      </x:c>
      <x:c r="V936" s="44"/>
      <x:c r="W936" s="43" t="str"/>
      <x:c r="X936" s="43" t="str"/>
      <x:c r="Y936" s="43" t="str"/>
      <x:c r="Z936" s="43" t="str">
        <x:v>https://www.get-information-schools.service.gov.uk/Downloads</x:v>
      </x:c>
    </x:row>
    <x:row r="937">
      <x:c r="A937" s="43" t="str">
        <x:v>UK independent</x:v>
      </x:c>
      <x:c r="B937" s="43" t="str">
        <x:v>104266</x:v>
      </x:c>
      <x:c r="C937" s="43" t="n">
        <x:f>IF(K937="Boarding school",30,0)+IF(J937&gt;=18,20,0)+IF(I937&lt;=11,10,0)+IF(L937="Has a sixth form",15,0)+IF(M937&gt;=200,10,0)+IF(N937&lt;&gt;"",10,0)</x:f>
        <x:v>30</x:v>
      </x:c>
      <x:c r="D937" s="43" t="str">
        <x:f>IF(C937&gt;=85,"A",IF(C937&gt;=65,"B","C"))</x:f>
        <x:v>C</x:v>
      </x:c>
      <x:c r="E937" s="43" t="str">
        <x:v>Hydesville Tower School</x:v>
      </x:c>
      <x:c r="F937" s="43" t="str"/>
      <x:c r="G937" s="43" t="str"/>
      <x:c r="H937" s="43" t="str">
        <x:v>WS1 2QG</x:v>
      </x:c>
      <x:c r="I937" s="43" t="n">
        <x:v>2</x:v>
      </x:c>
      <x:c r="J937" s="43" t="n">
        <x:v>16</x:v>
      </x:c>
      <x:c r="K937" s="43" t="str">
        <x:v>No boarders</x:v>
      </x:c>
      <x:c r="L937" s="43" t="str">
        <x:v>Does not have a sixth form</x:v>
      </x:c>
      <x:c r="M937" s="43" t="n">
        <x:v>247</x:v>
      </x:c>
      <x:c r="N937" s="43" t="str">
        <x:v>https://www.hydesville.com</x:v>
      </x:c>
      <x:c r="O937" s="43" t="str">
        <x:v>01922624374</x:v>
      </x:c>
      <x:c r="P937" s="43" t="str"/>
      <x:c r="Q937" s="43" t="str"/>
      <x:c r="R937" s="43" t="str">
        <x:v>Queued for contact research</x:v>
      </x:c>
      <x:c r="S937" s="43" t="str">
        <x:v>Not reviewed</x:v>
      </x:c>
      <x:c r="T937" s="43" t="str">
        <x:v>Hold</x:v>
      </x:c>
      <x:c r="U937" s="43" t="str">
        <x:v>No</x:v>
      </x:c>
      <x:c r="V937" s="44"/>
      <x:c r="W937" s="43" t="str"/>
      <x:c r="X937" s="43" t="str"/>
      <x:c r="Y937" s="43" t="str"/>
      <x:c r="Z937" s="43" t="str">
        <x:v>https://www.get-information-schools.service.gov.uk/Downloads</x:v>
      </x:c>
    </x:row>
    <x:row r="938">
      <x:c r="A938" s="43" t="str">
        <x:v>UK independent</x:v>
      </x:c>
      <x:c r="B938" s="43" t="str">
        <x:v>101081</x:v>
      </x:c>
      <x:c r="C938" s="43" t="n">
        <x:f>IF(K938="Boarding school",30,0)+IF(J938&gt;=18,20,0)+IF(I938&lt;=11,10,0)+IF(L938="Has a sixth form",15,0)+IF(M938&gt;=200,10,0)+IF(N938&lt;&gt;"",10,0)</x:f>
        <x:v>30</x:v>
      </x:c>
      <x:c r="D938" s="43" t="str">
        <x:f>IF(C938&gt;=85,"A",IF(C938&gt;=65,"B","C"))</x:f>
        <x:v>C</x:v>
      </x:c>
      <x:c r="E938" s="43" t="str">
        <x:v>Prospect House School</x:v>
      </x:c>
      <x:c r="F938" s="43" t="str">
        <x:v>London</x:v>
      </x:c>
      <x:c r="G938" s="43" t="str"/>
      <x:c r="H938" s="43" t="str">
        <x:v>SW15 3NT</x:v>
      </x:c>
      <x:c r="I938" s="43" t="n">
        <x:v>3</x:v>
      </x:c>
      <x:c r="J938" s="43" t="n">
        <x:v>11</x:v>
      </x:c>
      <x:c r="K938" s="43" t="str">
        <x:v>No boarders</x:v>
      </x:c>
      <x:c r="L938" s="43" t="str">
        <x:v>Does not have a sixth form</x:v>
      </x:c>
      <x:c r="M938" s="43" t="n">
        <x:v>245</x:v>
      </x:c>
      <x:c r="N938" s="43" t="str">
        <x:v>https://www.prospecths.org.uk</x:v>
      </x:c>
      <x:c r="O938" s="43" t="str">
        <x:v>02087800456</x:v>
      </x:c>
      <x:c r="P938" s="43" t="str"/>
      <x:c r="Q938" s="43" t="str"/>
      <x:c r="R938" s="43" t="str">
        <x:v>Queued for contact research</x:v>
      </x:c>
      <x:c r="S938" s="43" t="str">
        <x:v>Not reviewed</x:v>
      </x:c>
      <x:c r="T938" s="43" t="str">
        <x:v>Hold</x:v>
      </x:c>
      <x:c r="U938" s="43" t="str">
        <x:v>No</x:v>
      </x:c>
      <x:c r="V938" s="44"/>
      <x:c r="W938" s="43" t="str"/>
      <x:c r="X938" s="43" t="str"/>
      <x:c r="Y938" s="43" t="str"/>
      <x:c r="Z938" s="43" t="str">
        <x:v>https://www.get-information-schools.service.gov.uk/Downloads</x:v>
      </x:c>
    </x:row>
    <x:row r="939">
      <x:c r="A939" s="43" t="str">
        <x:v>UK independent</x:v>
      </x:c>
      <x:c r="B939" s="43" t="str">
        <x:v>109357</x:v>
      </x:c>
      <x:c r="C939" s="43" t="n">
        <x:f>IF(K939="Boarding school",30,0)+IF(J939&gt;=18,20,0)+IF(I939&lt;=11,10,0)+IF(L939="Has a sixth form",15,0)+IF(M939&gt;=200,10,0)+IF(N939&lt;&gt;"",10,0)</x:f>
        <x:v>30</x:v>
      </x:c>
      <x:c r="D939" s="43" t="str">
        <x:f>IF(C939&gt;=85,"A",IF(C939&gt;=65,"B","C"))</x:f>
        <x:v>C</x:v>
      </x:c>
      <x:c r="E939" s="43" t="str">
        <x:v>Tockington Manor School</x:v>
      </x:c>
      <x:c r="F939" s="43" t="str">
        <x:v>Bristol</x:v>
      </x:c>
      <x:c r="G939" s="43" t="str"/>
      <x:c r="H939" s="43" t="str">
        <x:v>BS32 4NY</x:v>
      </x:c>
      <x:c r="I939" s="43" t="n">
        <x:v>2</x:v>
      </x:c>
      <x:c r="J939" s="43" t="n">
        <x:v>14</x:v>
      </x:c>
      <x:c r="K939" s="43" t="str">
        <x:v>No boarders</x:v>
      </x:c>
      <x:c r="L939" s="43" t="str">
        <x:v>Does not have a sixth form</x:v>
      </x:c>
      <x:c r="M939" s="43" t="n">
        <x:v>245</x:v>
      </x:c>
      <x:c r="N939" s="43" t="str">
        <x:v>https://www.tockingtonmanorschool.com</x:v>
      </x:c>
      <x:c r="O939" s="43" t="str">
        <x:v>01454613229</x:v>
      </x:c>
      <x:c r="P939" s="43" t="str"/>
      <x:c r="Q939" s="43" t="str"/>
      <x:c r="R939" s="43" t="str">
        <x:v>Queued for contact research</x:v>
      </x:c>
      <x:c r="S939" s="43" t="str">
        <x:v>Not reviewed</x:v>
      </x:c>
      <x:c r="T939" s="43" t="str">
        <x:v>Hold</x:v>
      </x:c>
      <x:c r="U939" s="43" t="str">
        <x:v>No</x:v>
      </x:c>
      <x:c r="V939" s="44"/>
      <x:c r="W939" s="43" t="str"/>
      <x:c r="X939" s="43" t="str"/>
      <x:c r="Y939" s="43" t="str"/>
      <x:c r="Z939" s="43" t="str">
        <x:v>https://www.get-information-schools.service.gov.uk/Downloads</x:v>
      </x:c>
    </x:row>
    <x:row r="940">
      <x:c r="A940" s="43" t="str">
        <x:v>UK independent</x:v>
      </x:c>
      <x:c r="B940" s="43" t="str">
        <x:v>109361</x:v>
      </x:c>
      <x:c r="C940" s="43" t="n">
        <x:f>IF(K940="Boarding school",30,0)+IF(J940&gt;=18,20,0)+IF(I940&lt;=11,10,0)+IF(L940="Has a sixth form",15,0)+IF(M940&gt;=200,10,0)+IF(N940&lt;&gt;"",10,0)</x:f>
        <x:v>30</x:v>
      </x:c>
      <x:c r="D940" s="43" t="str">
        <x:f>IF(C940&gt;=85,"A",IF(C940&gt;=65,"B","C"))</x:f>
        <x:v>C</x:v>
      </x:c>
      <x:c r="E940" s="43" t="str">
        <x:v>The Downs Preparatory School</x:v>
      </x:c>
      <x:c r="F940" s="43" t="str">
        <x:v>Bristol</x:v>
      </x:c>
      <x:c r="G940" s="43" t="str"/>
      <x:c r="H940" s="43" t="str">
        <x:v>BS48 1PF</x:v>
      </x:c>
      <x:c r="I940" s="43" t="n">
        <x:v>4</x:v>
      </x:c>
      <x:c r="J940" s="43" t="n">
        <x:v>13</x:v>
      </x:c>
      <x:c r="K940" s="43" t="str">
        <x:v>No boarders</x:v>
      </x:c>
      <x:c r="L940" s="43" t="str">
        <x:v>Does not have a sixth form</x:v>
      </x:c>
      <x:c r="M940" s="43" t="n">
        <x:v>243</x:v>
      </x:c>
      <x:c r="N940" s="43" t="str">
        <x:v>https://www.thedownsschool.co.uk</x:v>
      </x:c>
      <x:c r="O940" s="43" t="str">
        <x:v>01275852008</x:v>
      </x:c>
      <x:c r="P940" s="43" t="str"/>
      <x:c r="Q940" s="43" t="str"/>
      <x:c r="R940" s="43" t="str">
        <x:v>Queued for contact research</x:v>
      </x:c>
      <x:c r="S940" s="43" t="str">
        <x:v>Not reviewed</x:v>
      </x:c>
      <x:c r="T940" s="43" t="str">
        <x:v>Hold</x:v>
      </x:c>
      <x:c r="U940" s="43" t="str">
        <x:v>No</x:v>
      </x:c>
      <x:c r="V940" s="44"/>
      <x:c r="W940" s="43" t="str"/>
      <x:c r="X940" s="43" t="str"/>
      <x:c r="Y940" s="43" t="str"/>
      <x:c r="Z940" s="43" t="str">
        <x:v>https://www.get-information-schools.service.gov.uk/Downloads</x:v>
      </x:c>
    </x:row>
    <x:row r="941">
      <x:c r="A941" s="43" t="str">
        <x:v>UK independent</x:v>
      </x:c>
      <x:c r="B941" s="43" t="str">
        <x:v>116595</x:v>
      </x:c>
      <x:c r="C941" s="43" t="n">
        <x:f>IF(K941="Boarding school",30,0)+IF(J941&gt;=18,20,0)+IF(I941&lt;=11,10,0)+IF(L941="Has a sixth form",15,0)+IF(M941&gt;=200,10,0)+IF(N941&lt;&gt;"",10,0)</x:f>
        <x:v>30</x:v>
      </x:c>
      <x:c r="D941" s="43" t="str">
        <x:f>IF(C941&gt;=85,"A",IF(C941&gt;=65,"B","C"))</x:f>
        <x:v>C</x:v>
      </x:c>
      <x:c r="E941" s="43" t="str">
        <x:v>The King's School</x:v>
      </x:c>
      <x:c r="F941" s="43" t="str">
        <x:v>Hampshire</x:v>
      </x:c>
      <x:c r="G941" s="43" t="str"/>
      <x:c r="H941" s="43" t="str">
        <x:v>SO50 7DB</x:v>
      </x:c>
      <x:c r="I941" s="43" t="n">
        <x:v>4</x:v>
      </x:c>
      <x:c r="J941" s="43" t="n">
        <x:v>16</x:v>
      </x:c>
      <x:c r="K941" s="43" t="str">
        <x:v>No boarders</x:v>
      </x:c>
      <x:c r="L941" s="43" t="str">
        <x:v>Does not have a sixth form</x:v>
      </x:c>
      <x:c r="M941" s="43" t="n">
        <x:v>243</x:v>
      </x:c>
      <x:c r="N941" s="43" t="str">
        <x:v>https://www.thekingsschool.org.uk</x:v>
      </x:c>
      <x:c r="O941" s="43" t="str">
        <x:v>02380600986</x:v>
      </x:c>
      <x:c r="P941" s="43" t="str"/>
      <x:c r="Q941" s="43" t="str"/>
      <x:c r="R941" s="43" t="str">
        <x:v>Queued for contact research</x:v>
      </x:c>
      <x:c r="S941" s="43" t="str">
        <x:v>Not reviewed</x:v>
      </x:c>
      <x:c r="T941" s="43" t="str">
        <x:v>Hold</x:v>
      </x:c>
      <x:c r="U941" s="43" t="str">
        <x:v>No</x:v>
      </x:c>
      <x:c r="V941" s="44"/>
      <x:c r="W941" s="43" t="str"/>
      <x:c r="X941" s="43" t="str"/>
      <x:c r="Y941" s="43" t="str"/>
      <x:c r="Z941" s="43" t="str">
        <x:v>https://www.get-information-schools.service.gov.uk/Downloads</x:v>
      </x:c>
    </x:row>
    <x:row r="942">
      <x:c r="A942" s="43" t="str">
        <x:v>UK independent</x:v>
      </x:c>
      <x:c r="B942" s="43" t="str">
        <x:v>111468</x:v>
      </x:c>
      <x:c r="C942" s="43" t="n">
        <x:f>IF(K942="Boarding school",30,0)+IF(J942&gt;=18,20,0)+IF(I942&lt;=11,10,0)+IF(L942="Has a sixth form",15,0)+IF(M942&gt;=200,10,0)+IF(N942&lt;&gt;"",10,0)</x:f>
        <x:v>30</x:v>
      </x:c>
      <x:c r="D942" s="43" t="str">
        <x:f>IF(C942&gt;=85,"A",IF(C942&gt;=65,"B","C"))</x:f>
        <x:v>C</x:v>
      </x:c>
      <x:c r="E942" s="43" t="str">
        <x:v>The Ryleys School</x:v>
      </x:c>
      <x:c r="F942" s="43" t="str">
        <x:v>Alderley Edge</x:v>
      </x:c>
      <x:c r="G942" s="43" t="str">
        <x:v>Cheshire</x:v>
      </x:c>
      <x:c r="H942" s="43" t="str">
        <x:v>SK9 7UY</x:v>
      </x:c>
      <x:c r="I942" s="43" t="n">
        <x:v>1</x:v>
      </x:c>
      <x:c r="J942" s="43" t="n">
        <x:v>11</x:v>
      </x:c>
      <x:c r="K942" s="43" t="str">
        <x:v>No boarders</x:v>
      </x:c>
      <x:c r="L942" s="43" t="str">
        <x:v>Does not have a sixth form</x:v>
      </x:c>
      <x:c r="M942" s="43" t="n">
        <x:v>243</x:v>
      </x:c>
      <x:c r="N942" s="43" t="str">
        <x:v>https://www.theryleys.com</x:v>
      </x:c>
      <x:c r="O942" s="43" t="str">
        <x:v>01625583241</x:v>
      </x:c>
      <x:c r="P942" s="43" t="str"/>
      <x:c r="Q942" s="43" t="str"/>
      <x:c r="R942" s="43" t="str">
        <x:v>Queued for contact research</x:v>
      </x:c>
      <x:c r="S942" s="43" t="str">
        <x:v>Not reviewed</x:v>
      </x:c>
      <x:c r="T942" s="43" t="str">
        <x:v>Hold</x:v>
      </x:c>
      <x:c r="U942" s="43" t="str">
        <x:v>No</x:v>
      </x:c>
      <x:c r="V942" s="44"/>
      <x:c r="W942" s="43" t="str"/>
      <x:c r="X942" s="43" t="str"/>
      <x:c r="Y942" s="43" t="str"/>
      <x:c r="Z942" s="43" t="str">
        <x:v>https://www.get-information-schools.service.gov.uk/Downloads</x:v>
      </x:c>
    </x:row>
    <x:row r="943">
      <x:c r="A943" s="43" t="str">
        <x:v>UK independent</x:v>
      </x:c>
      <x:c r="B943" s="43" t="str">
        <x:v>147184</x:v>
      </x:c>
      <x:c r="C943" s="43" t="n">
        <x:f>IF(K943="Boarding school",30,0)+IF(J943&gt;=18,20,0)+IF(I943&lt;=11,10,0)+IF(L943="Has a sixth form",15,0)+IF(M943&gt;=200,10,0)+IF(N943&lt;&gt;"",10,0)</x:f>
        <x:v>30</x:v>
      </x:c>
      <x:c r="D943" s="43" t="str">
        <x:f>IF(C943&gt;=85,"A",IF(C943&gt;=65,"B","C"))</x:f>
        <x:v>C</x:v>
      </x:c>
      <x:c r="E943" s="43" t="str">
        <x:v>Al-Khair School Preparatory School</x:v>
      </x:c>
      <x:c r="F943" s="43" t="str"/>
      <x:c r="G943" s="43" t="str"/>
      <x:c r="H943" s="43" t="str">
        <x:v>CR0 3RA</x:v>
      </x:c>
      <x:c r="I943" s="43" t="n">
        <x:v>4</x:v>
      </x:c>
      <x:c r="J943" s="43" t="n">
        <x:v>11</x:v>
      </x:c>
      <x:c r="K943" s="43" t="str">
        <x:v>No boarders</x:v>
      </x:c>
      <x:c r="L943" s="43" t="str">
        <x:v>Does not have a sixth form</x:v>
      </x:c>
      <x:c r="M943" s="43" t="n">
        <x:v>241</x:v>
      </x:c>
      <x:c r="N943" s="43" t="str">
        <x:v>http://alkhairschool.org.uk/</x:v>
      </x:c>
      <x:c r="O943" s="43" t="str">
        <x:v>02086628664</x:v>
      </x:c>
      <x:c r="P943" s="43" t="str"/>
      <x:c r="Q943" s="43" t="str"/>
      <x:c r="R943" s="43" t="str">
        <x:v>Queued for contact research</x:v>
      </x:c>
      <x:c r="S943" s="43" t="str">
        <x:v>Not reviewed</x:v>
      </x:c>
      <x:c r="T943" s="43" t="str">
        <x:v>Hold</x:v>
      </x:c>
      <x:c r="U943" s="43" t="str">
        <x:v>No</x:v>
      </x:c>
      <x:c r="V943" s="44"/>
      <x:c r="W943" s="43" t="str"/>
      <x:c r="X943" s="43" t="str"/>
      <x:c r="Y943" s="43" t="str"/>
      <x:c r="Z943" s="43" t="str">
        <x:v>https://www.get-information-schools.service.gov.uk/Downloads</x:v>
      </x:c>
    </x:row>
    <x:row r="944">
      <x:c r="A944" s="43" t="str">
        <x:v>UK independent</x:v>
      </x:c>
      <x:c r="B944" s="43" t="str">
        <x:v>125318</x:v>
      </x:c>
      <x:c r="C944" s="43" t="n">
        <x:f>IF(K944="Boarding school",30,0)+IF(J944&gt;=18,20,0)+IF(I944&lt;=11,10,0)+IF(L944="Has a sixth form",15,0)+IF(M944&gt;=200,10,0)+IF(N944&lt;&gt;"",10,0)</x:f>
        <x:v>30</x:v>
      </x:c>
      <x:c r="D944" s="43" t="str">
        <x:f>IF(C944&gt;=85,"A",IF(C944&gt;=65,"B","C"))</x:f>
        <x:v>C</x:v>
      </x:c>
      <x:c r="E944" s="43" t="str">
        <x:v>Banstead Preparatory School</x:v>
      </x:c>
      <x:c r="F944" s="43" t="str">
        <x:v>Banstead</x:v>
      </x:c>
      <x:c r="G944" s="43" t="str">
        <x:v>Surrey</x:v>
      </x:c>
      <x:c r="H944" s="43" t="str">
        <x:v>SM7 3RA</x:v>
      </x:c>
      <x:c r="I944" s="43" t="n">
        <x:v>2</x:v>
      </x:c>
      <x:c r="J944" s="43" t="n">
        <x:v>11</x:v>
      </x:c>
      <x:c r="K944" s="43" t="str">
        <x:v>No boarders</x:v>
      </x:c>
      <x:c r="L944" s="43" t="str">
        <x:v>Does not have a sixth form</x:v>
      </x:c>
      <x:c r="M944" s="43" t="n">
        <x:v>241</x:v>
      </x:c>
      <x:c r="N944" s="43" t="str">
        <x:v>https://www.bansteadprep.com</x:v>
      </x:c>
      <x:c r="O944" s="43" t="str">
        <x:v>01737363601</x:v>
      </x:c>
      <x:c r="P944" s="43" t="str"/>
      <x:c r="Q944" s="43" t="str"/>
      <x:c r="R944" s="43" t="str">
        <x:v>Queued for contact research</x:v>
      </x:c>
      <x:c r="S944" s="43" t="str">
        <x:v>Not reviewed</x:v>
      </x:c>
      <x:c r="T944" s="43" t="str">
        <x:v>Hold</x:v>
      </x:c>
      <x:c r="U944" s="43" t="str">
        <x:v>No</x:v>
      </x:c>
      <x:c r="V944" s="44"/>
      <x:c r="W944" s="43" t="str"/>
      <x:c r="X944" s="43" t="str"/>
      <x:c r="Y944" s="43" t="str"/>
      <x:c r="Z944" s="43" t="str">
        <x:v>https://www.get-information-schools.service.gov.uk/Downloads</x:v>
      </x:c>
    </x:row>
    <x:row r="945">
      <x:c r="A945" s="43" t="str">
        <x:v>UK independent</x:v>
      </x:c>
      <x:c r="B945" s="43" t="str">
        <x:v>125352</x:v>
      </x:c>
      <x:c r="C945" s="43" t="n">
        <x:f>IF(K945="Boarding school",30,0)+IF(J945&gt;=18,20,0)+IF(I945&lt;=11,10,0)+IF(L945="Has a sixth form",15,0)+IF(M945&gt;=200,10,0)+IF(N945&lt;&gt;"",10,0)</x:f>
        <x:v>30</x:v>
      </x:c>
      <x:c r="D945" s="43" t="str">
        <x:f>IF(C945&gt;=85,"A",IF(C945&gt;=65,"B","C"))</x:f>
        <x:v>C</x:v>
      </x:c>
      <x:c r="E945" s="43" t="str">
        <x:v>Manor House School</x:v>
      </x:c>
      <x:c r="F945" s="43" t="str">
        <x:v>Leatherhead</x:v>
      </x:c>
      <x:c r="G945" s="43" t="str">
        <x:v>Surrey</x:v>
      </x:c>
      <x:c r="H945" s="43" t="str">
        <x:v>KT23 4EN</x:v>
      </x:c>
      <x:c r="I945" s="43" t="n">
        <x:v>2</x:v>
      </x:c>
      <x:c r="J945" s="43" t="n">
        <x:v>11</x:v>
      </x:c>
      <x:c r="K945" s="43" t="str">
        <x:v>No boarders</x:v>
      </x:c>
      <x:c r="L945" s="43" t="str">
        <x:v>Does not have a sixth form</x:v>
      </x:c>
      <x:c r="M945" s="43" t="n">
        <x:v>241</x:v>
      </x:c>
      <x:c r="N945" s="43" t="str">
        <x:v>https://www.manorhouseschool.org/</x:v>
      </x:c>
      <x:c r="O945" s="43" t="str">
        <x:v>01372458538</x:v>
      </x:c>
      <x:c r="P945" s="43" t="str"/>
      <x:c r="Q945" s="43" t="str"/>
      <x:c r="R945" s="43" t="str">
        <x:v>Queued for contact research</x:v>
      </x:c>
      <x:c r="S945" s="43" t="str">
        <x:v>Not reviewed</x:v>
      </x:c>
      <x:c r="T945" s="43" t="str">
        <x:v>Hold</x:v>
      </x:c>
      <x:c r="U945" s="43" t="str">
        <x:v>No</x:v>
      </x:c>
      <x:c r="V945" s="44"/>
      <x:c r="W945" s="43" t="str"/>
      <x:c r="X945" s="43" t="str"/>
      <x:c r="Y945" s="43" t="str"/>
      <x:c r="Z945" s="43" t="str">
        <x:v>https://www.get-information-schools.service.gov.uk/Downloads</x:v>
      </x:c>
    </x:row>
    <x:row r="946">
      <x:c r="A946" s="43" t="str">
        <x:v>UK independent</x:v>
      </x:c>
      <x:c r="B946" s="43" t="str">
        <x:v>108540</x:v>
      </x:c>
      <x:c r="C946" s="43" t="n">
        <x:f>IF(K946="Boarding school",30,0)+IF(J946&gt;=18,20,0)+IF(I946&lt;=11,10,0)+IF(L946="Has a sixth form",15,0)+IF(M946&gt;=200,10,0)+IF(N946&lt;&gt;"",10,0)</x:f>
        <x:v>30</x:v>
      </x:c>
      <x:c r="D946" s="43" t="str">
        <x:f>IF(C946&gt;=85,"A",IF(C946&gt;=65,"B","C"))</x:f>
        <x:v>C</x:v>
      </x:c>
      <x:c r="E946" s="43" t="str">
        <x:v>Newcastle Preparatory School</x:v>
      </x:c>
      <x:c r="F946" s="43" t="str">
        <x:v>Newcastle-upon-Tyne</x:v>
      </x:c>
      <x:c r="G946" s="43" t="str">
        <x:v>Tyne and Wear</x:v>
      </x:c>
      <x:c r="H946" s="43" t="str">
        <x:v>NE2 4RH</x:v>
      </x:c>
      <x:c r="I946" s="43" t="n">
        <x:v>3</x:v>
      </x:c>
      <x:c r="J946" s="43" t="n">
        <x:v>11</x:v>
      </x:c>
      <x:c r="K946" s="43" t="str">
        <x:v>No boarders</x:v>
      </x:c>
      <x:c r="L946" s="43" t="str">
        <x:v>Does not have a sixth form</x:v>
      </x:c>
      <x:c r="M946" s="43" t="n">
        <x:v>241</x:v>
      </x:c>
      <x:c r="N946" s="43" t="str">
        <x:v>https://www.newcastleprepschool.org.uk</x:v>
      </x:c>
      <x:c r="O946" s="43" t="str">
        <x:v>01912811769</x:v>
      </x:c>
      <x:c r="P946" s="43" t="str"/>
      <x:c r="Q946" s="43" t="str"/>
      <x:c r="R946" s="43" t="str">
        <x:v>Queued for contact research</x:v>
      </x:c>
      <x:c r="S946" s="43" t="str">
        <x:v>Not reviewed</x:v>
      </x:c>
      <x:c r="T946" s="43" t="str">
        <x:v>Hold</x:v>
      </x:c>
      <x:c r="U946" s="43" t="str">
        <x:v>No</x:v>
      </x:c>
      <x:c r="V946" s="44"/>
      <x:c r="W946" s="43" t="str"/>
      <x:c r="X946" s="43" t="str"/>
      <x:c r="Y946" s="43" t="str"/>
      <x:c r="Z946" s="43" t="str">
        <x:v>https://www.get-information-schools.service.gov.uk/Downloads</x:v>
      </x:c>
    </x:row>
    <x:row r="947">
      <x:c r="A947" s="43" t="str">
        <x:v>UK independent</x:v>
      </x:c>
      <x:c r="B947" s="43" t="str">
        <x:v>126130</x:v>
      </x:c>
      <x:c r="C947" s="43" t="n">
        <x:f>IF(K947="Boarding school",30,0)+IF(J947&gt;=18,20,0)+IF(I947&lt;=11,10,0)+IF(L947="Has a sixth form",15,0)+IF(M947&gt;=200,10,0)+IF(N947&lt;&gt;"",10,0)</x:f>
        <x:v>30</x:v>
      </x:c>
      <x:c r="D947" s="43" t="str">
        <x:f>IF(C947&gt;=85,"A",IF(C947&gt;=65,"B","C"))</x:f>
        <x:v>C</x:v>
      </x:c>
      <x:c r="E947" s="43" t="str">
        <x:v>Great Ballard School</x:v>
      </x:c>
      <x:c r="F947" s="43" t="str">
        <x:v>Chichester</x:v>
      </x:c>
      <x:c r="G947" s="43" t="str">
        <x:v>West Sussex</x:v>
      </x:c>
      <x:c r="H947" s="43" t="str">
        <x:v>PO18 0LR</x:v>
      </x:c>
      <x:c r="I947" s="43" t="n">
        <x:v>2</x:v>
      </x:c>
      <x:c r="J947" s="43" t="n">
        <x:v>16</x:v>
      </x:c>
      <x:c r="K947" s="43" t="str">
        <x:v>No boarders</x:v>
      </x:c>
      <x:c r="L947" s="43" t="str">
        <x:v>Does not have a sixth form</x:v>
      </x:c>
      <x:c r="M947" s="43" t="n">
        <x:v>240</x:v>
      </x:c>
      <x:c r="N947" s="43" t="str">
        <x:v>https://www.greatballard.co.uk</x:v>
      </x:c>
      <x:c r="O947" s="43" t="str">
        <x:v>01243814236</x:v>
      </x:c>
      <x:c r="P947" s="43" t="str"/>
      <x:c r="Q947" s="43" t="str"/>
      <x:c r="R947" s="43" t="str">
        <x:v>Queued for contact research</x:v>
      </x:c>
      <x:c r="S947" s="43" t="str">
        <x:v>Not reviewed</x:v>
      </x:c>
      <x:c r="T947" s="43" t="str">
        <x:v>Hold</x:v>
      </x:c>
      <x:c r="U947" s="43" t="str">
        <x:v>No</x:v>
      </x:c>
      <x:c r="V947" s="44"/>
      <x:c r="W947" s="43" t="str"/>
      <x:c r="X947" s="43" t="str"/>
      <x:c r="Y947" s="43" t="str"/>
      <x:c r="Z947" s="43" t="str">
        <x:v>https://www.get-information-schools.service.gov.uk/Downloads</x:v>
      </x:c>
    </x:row>
    <x:row r="948">
      <x:c r="A948" s="43" t="str">
        <x:v>UK independent</x:v>
      </x:c>
      <x:c r="B948" s="43" t="str">
        <x:v>113929</x:v>
      </x:c>
      <x:c r="C948" s="43" t="n">
        <x:f>IF(K948="Boarding school",30,0)+IF(J948&gt;=18,20,0)+IF(I948&lt;=11,10,0)+IF(L948="Has a sixth form",15,0)+IF(M948&gt;=200,10,0)+IF(N948&lt;&gt;"",10,0)</x:f>
        <x:v>30</x:v>
      </x:c>
      <x:c r="D948" s="43" t="str">
        <x:f>IF(C948&gt;=85,"A",IF(C948&gt;=65,"B","C"))</x:f>
        <x:v>C</x:v>
      </x:c>
      <x:c r="E948" s="43" t="str">
        <x:v>Bournemouth Collegiate Preparatory School</x:v>
      </x:c>
      <x:c r="F948" s="43" t="str">
        <x:v>Poole</x:v>
      </x:c>
      <x:c r="G948" s="43" t="str">
        <x:v>Dorset</x:v>
      </x:c>
      <x:c r="H948" s="43" t="str">
        <x:v>BH14 9JY</x:v>
      </x:c>
      <x:c r="I948" s="43" t="n">
        <x:v>2</x:v>
      </x:c>
      <x:c r="J948" s="43" t="n">
        <x:v>11</x:v>
      </x:c>
      <x:c r="K948" s="43" t="str">
        <x:v>No boarders</x:v>
      </x:c>
      <x:c r="L948" s="43" t="str">
        <x:v>Does not have a sixth form</x:v>
      </x:c>
      <x:c r="M948" s="43" t="n">
        <x:v>238</x:v>
      </x:c>
      <x:c r="N948" s="43" t="str">
        <x:v>https://www.bournemouthcollegiateschool.co.uk</x:v>
      </x:c>
      <x:c r="O948" s="43" t="str">
        <x:v>01202714110</x:v>
      </x:c>
      <x:c r="P948" s="43" t="str"/>
      <x:c r="Q948" s="43" t="str"/>
      <x:c r="R948" s="43" t="str">
        <x:v>Queued for contact research</x:v>
      </x:c>
      <x:c r="S948" s="43" t="str">
        <x:v>Not reviewed</x:v>
      </x:c>
      <x:c r="T948" s="43" t="str">
        <x:v>Hold</x:v>
      </x:c>
      <x:c r="U948" s="43" t="str">
        <x:v>No</x:v>
      </x:c>
      <x:c r="V948" s="44"/>
      <x:c r="W948" s="43" t="str"/>
      <x:c r="X948" s="43" t="str"/>
      <x:c r="Y948" s="43" t="str"/>
      <x:c r="Z948" s="43" t="str">
        <x:v>https://www.get-information-schools.service.gov.uk/Downloads</x:v>
      </x:c>
    </x:row>
    <x:row r="949">
      <x:c r="A949" s="43" t="str">
        <x:v>UK independent</x:v>
      </x:c>
      <x:c r="B949" s="43" t="str">
        <x:v>113914</x:v>
      </x:c>
      <x:c r="C949" s="43" t="n">
        <x:f>IF(K949="Boarding school",30,0)+IF(J949&gt;=18,20,0)+IF(I949&lt;=11,10,0)+IF(L949="Has a sixth form",15,0)+IF(M949&gt;=200,10,0)+IF(N949&lt;&gt;"",10,0)</x:f>
        <x:v>30</x:v>
      </x:c>
      <x:c r="D949" s="43" t="str">
        <x:f>IF(C949&gt;=85,"A",IF(C949&gt;=65,"B","C"))</x:f>
        <x:v>C</x:v>
      </x:c>
      <x:c r="E949" s="43" t="str">
        <x:v>Yarrells Preparatory School</x:v>
      </x:c>
      <x:c r="F949" s="43" t="str">
        <x:v>Poole</x:v>
      </x:c>
      <x:c r="G949" s="43" t="str">
        <x:v>Dorset</x:v>
      </x:c>
      <x:c r="H949" s="43" t="str">
        <x:v>BH16 5EU</x:v>
      </x:c>
      <x:c r="I949" s="43" t="n">
        <x:v>0</x:v>
      </x:c>
      <x:c r="J949" s="43" t="n">
        <x:v>11</x:v>
      </x:c>
      <x:c r="K949" s="43" t="str">
        <x:v>No boarders</x:v>
      </x:c>
      <x:c r="L949" s="43" t="str">
        <x:v>Does not have a sixth form</x:v>
      </x:c>
      <x:c r="M949" s="43" t="n">
        <x:v>238</x:v>
      </x:c>
      <x:c r="N949" s="43" t="str">
        <x:v>http://www.yarrells.co.uk</x:v>
      </x:c>
      <x:c r="O949" s="43" t="str">
        <x:v>01202622229</x:v>
      </x:c>
      <x:c r="P949" s="43" t="str"/>
      <x:c r="Q949" s="43" t="str"/>
      <x:c r="R949" s="43" t="str">
        <x:v>Queued for contact research</x:v>
      </x:c>
      <x:c r="S949" s="43" t="str">
        <x:v>Not reviewed</x:v>
      </x:c>
      <x:c r="T949" s="43" t="str">
        <x:v>Hold</x:v>
      </x:c>
      <x:c r="U949" s="43" t="str">
        <x:v>No</x:v>
      </x:c>
      <x:c r="V949" s="44"/>
      <x:c r="W949" s="43" t="str"/>
      <x:c r="X949" s="43" t="str"/>
      <x:c r="Y949" s="43" t="str"/>
      <x:c r="Z949" s="43" t="str">
        <x:v>https://www.get-information-schools.service.gov.uk/Downloads</x:v>
      </x:c>
    </x:row>
    <x:row r="950">
      <x:c r="A950" s="43" t="str">
        <x:v>UK independent</x:v>
      </x:c>
      <x:c r="B950" s="43" t="str">
        <x:v>116553</x:v>
      </x:c>
      <x:c r="C950" s="43" t="n">
        <x:f>IF(K950="Boarding school",30,0)+IF(J950&gt;=18,20,0)+IF(I950&lt;=11,10,0)+IF(L950="Has a sixth form",15,0)+IF(M950&gt;=200,10,0)+IF(N950&lt;&gt;"",10,0)</x:f>
        <x:v>30</x:v>
      </x:c>
      <x:c r="D950" s="43" t="str">
        <x:f>IF(C950&gt;=85,"A",IF(C950&gt;=65,"B","C"))</x:f>
        <x:v>C</x:v>
      </x:c>
      <x:c r="E950" s="43" t="str">
        <x:v>Yateley Manor School</x:v>
      </x:c>
      <x:c r="F950" s="43" t="str"/>
      <x:c r="G950" s="43" t="str"/>
      <x:c r="H950" s="43" t="str">
        <x:v>GU46 7UQ</x:v>
      </x:c>
      <x:c r="I950" s="43" t="n">
        <x:v>2</x:v>
      </x:c>
      <x:c r="J950" s="43" t="n">
        <x:v>16</x:v>
      </x:c>
      <x:c r="K950" s="43" t="str">
        <x:v>No boarders</x:v>
      </x:c>
      <x:c r="L950" s="43" t="str">
        <x:v>Does not have a sixth form</x:v>
      </x:c>
      <x:c r="M950" s="43" t="n">
        <x:v>238</x:v>
      </x:c>
      <x:c r="N950" s="43" t="str">
        <x:v>https://www.yateleymanor.com</x:v>
      </x:c>
      <x:c r="O950" s="43" t="str">
        <x:v>01252405500</x:v>
      </x:c>
      <x:c r="P950" s="43" t="str"/>
      <x:c r="Q950" s="43" t="str"/>
      <x:c r="R950" s="43" t="str">
        <x:v>Queued for contact research</x:v>
      </x:c>
      <x:c r="S950" s="43" t="str">
        <x:v>Not reviewed</x:v>
      </x:c>
      <x:c r="T950" s="43" t="str">
        <x:v>Hold</x:v>
      </x:c>
      <x:c r="U950" s="43" t="str">
        <x:v>No</x:v>
      </x:c>
      <x:c r="V950" s="44"/>
      <x:c r="W950" s="43" t="str"/>
      <x:c r="X950" s="43" t="str"/>
      <x:c r="Y950" s="43" t="str"/>
      <x:c r="Z950" s="43" t="str">
        <x:v>https://www.get-information-schools.service.gov.uk/Downloads</x:v>
      </x:c>
    </x:row>
    <x:row r="951">
      <x:c r="A951" s="43" t="str">
        <x:v>UK independent</x:v>
      </x:c>
      <x:c r="B951" s="43" t="str">
        <x:v>136153</x:v>
      </x:c>
      <x:c r="C951" s="43" t="n">
        <x:f>IF(K951="Boarding school",30,0)+IF(J951&gt;=18,20,0)+IF(I951&lt;=11,10,0)+IF(L951="Has a sixth form",15,0)+IF(M951&gt;=200,10,0)+IF(N951&lt;&gt;"",10,0)</x:f>
        <x:v>30</x:v>
      </x:c>
      <x:c r="D951" s="43" t="str">
        <x:f>IF(C951&gt;=85,"A",IF(C951&gt;=65,"B","C"))</x:f>
        <x:v>C</x:v>
      </x:c>
      <x:c r="E951" s="43" t="str">
        <x:v>Broughton Manor Preparatory School</x:v>
      </x:c>
      <x:c r="F951" s="43" t="str">
        <x:v>Milton Keynes</x:v>
      </x:c>
      <x:c r="G951" s="43" t="str">
        <x:v>Buckinghamshire</x:v>
      </x:c>
      <x:c r="H951" s="43" t="str">
        <x:v>MK10 9AA</x:v>
      </x:c>
      <x:c r="I951" s="43" t="n">
        <x:v>0</x:v>
      </x:c>
      <x:c r="J951" s="43" t="n">
        <x:v>11</x:v>
      </x:c>
      <x:c r="K951" s="43" t="str">
        <x:v>No boarders</x:v>
      </x:c>
      <x:c r="L951" s="43" t="str">
        <x:v>Does not have a sixth form</x:v>
      </x:c>
      <x:c r="M951" s="43" t="n">
        <x:v>237</x:v>
      </x:c>
      <x:c r="N951" s="43" t="str">
        <x:v>https://www.bmprep.co.uk</x:v>
      </x:c>
      <x:c r="O951" s="43" t="str">
        <x:v>01908665234</x:v>
      </x:c>
      <x:c r="P951" s="43" t="str"/>
      <x:c r="Q951" s="43" t="str"/>
      <x:c r="R951" s="43" t="str">
        <x:v>Queued for contact research</x:v>
      </x:c>
      <x:c r="S951" s="43" t="str">
        <x:v>Not reviewed</x:v>
      </x:c>
      <x:c r="T951" s="43" t="str">
        <x:v>Hold</x:v>
      </x:c>
      <x:c r="U951" s="43" t="str">
        <x:v>No</x:v>
      </x:c>
      <x:c r="V951" s="44"/>
      <x:c r="W951" s="43" t="str"/>
      <x:c r="X951" s="43" t="str"/>
      <x:c r="Y951" s="43" t="str"/>
      <x:c r="Z951" s="43" t="str">
        <x:v>https://www.get-information-schools.service.gov.uk/Downloads</x:v>
      </x:c>
    </x:row>
    <x:row r="952">
      <x:c r="A952" s="43" t="str">
        <x:v>UK independent</x:v>
      </x:c>
      <x:c r="B952" s="43" t="str">
        <x:v>100510</x:v>
      </x:c>
      <x:c r="C952" s="43" t="n">
        <x:f>IF(K952="Boarding school",30,0)+IF(J952&gt;=18,20,0)+IF(I952&lt;=11,10,0)+IF(L952="Has a sixth form",15,0)+IF(M952&gt;=200,10,0)+IF(N952&lt;&gt;"",10,0)</x:f>
        <x:v>30</x:v>
      </x:c>
      <x:c r="D952" s="43" t="str">
        <x:f>IF(C952&gt;=85,"A",IF(C952&gt;=65,"B","C"))</x:f>
        <x:v>C</x:v>
      </x:c>
      <x:c r="E952" s="43" t="str">
        <x:v>Norland Place School</x:v>
      </x:c>
      <x:c r="F952" s="43" t="str">
        <x:v>London</x:v>
      </x:c>
      <x:c r="G952" s="43" t="str"/>
      <x:c r="H952" s="43" t="str">
        <x:v>W11 4UH</x:v>
      </x:c>
      <x:c r="I952" s="43" t="n">
        <x:v>4</x:v>
      </x:c>
      <x:c r="J952" s="43" t="n">
        <x:v>11</x:v>
      </x:c>
      <x:c r="K952" s="43" t="str">
        <x:v>No boarders</x:v>
      </x:c>
      <x:c r="L952" s="43" t="str">
        <x:v>Does not have a sixth form</x:v>
      </x:c>
      <x:c r="M952" s="43" t="n">
        <x:v>237</x:v>
      </x:c>
      <x:c r="N952" s="43" t="str">
        <x:v>https://www.norlandplace.com/</x:v>
      </x:c>
      <x:c r="O952" s="43" t="str">
        <x:v>02076039103</x:v>
      </x:c>
      <x:c r="P952" s="43" t="str"/>
      <x:c r="Q952" s="43" t="str"/>
      <x:c r="R952" s="43" t="str">
        <x:v>Queued for contact research</x:v>
      </x:c>
      <x:c r="S952" s="43" t="str">
        <x:v>Not reviewed</x:v>
      </x:c>
      <x:c r="T952" s="43" t="str">
        <x:v>Hold</x:v>
      </x:c>
      <x:c r="U952" s="43" t="str">
        <x:v>No</x:v>
      </x:c>
      <x:c r="V952" s="44"/>
      <x:c r="W952" s="43" t="str"/>
      <x:c r="X952" s="43" t="str"/>
      <x:c r="Y952" s="43" t="str"/>
      <x:c r="Z952" s="43" t="str">
        <x:v>https://www.get-information-schools.service.gov.uk/Downloads</x:v>
      </x:c>
    </x:row>
    <x:row r="953">
      <x:c r="A953" s="43" t="str">
        <x:v>UK independent</x:v>
      </x:c>
      <x:c r="B953" s="43" t="str">
        <x:v>120325</x:v>
      </x:c>
      <x:c r="C953" s="43" t="n">
        <x:f>IF(K953="Boarding school",30,0)+IF(J953&gt;=18,20,0)+IF(I953&lt;=11,10,0)+IF(L953="Has a sixth form",15,0)+IF(M953&gt;=200,10,0)+IF(N953&lt;&gt;"",10,0)</x:f>
        <x:v>30</x:v>
      </x:c>
      <x:c r="D953" s="43" t="str">
        <x:f>IF(C953&gt;=85,"A",IF(C953&gt;=65,"B","C"))</x:f>
        <x:v>C</x:v>
      </x:c>
      <x:c r="E953" s="43" t="str">
        <x:v>LGS Stoneygate</x:v>
      </x:c>
      <x:c r="F953" s="43" t="str">
        <x:v>Leicester</x:v>
      </x:c>
      <x:c r="G953" s="43" t="str">
        <x:v>Leicestershire</x:v>
      </x:c>
      <x:c r="H953" s="43" t="str">
        <x:v>LE8 9DJ</x:v>
      </x:c>
      <x:c r="I953" s="43" t="n">
        <x:v>3</x:v>
      </x:c>
      <x:c r="J953" s="43" t="n">
        <x:v>16</x:v>
      </x:c>
      <x:c r="K953" s="43" t="str">
        <x:v>No boarders</x:v>
      </x:c>
      <x:c r="L953" s="43" t="str">
        <x:v>Does not have a sixth form</x:v>
      </x:c>
      <x:c r="M953" s="43" t="n">
        <x:v>236</x:v>
      </x:c>
      <x:c r="N953" s="43" t="str">
        <x:v>https://www.lgs-stoneygate.org.uk</x:v>
      </x:c>
      <x:c r="O953" s="43" t="str">
        <x:v>01162592282</x:v>
      </x:c>
      <x:c r="P953" s="43" t="str"/>
      <x:c r="Q953" s="43" t="str"/>
      <x:c r="R953" s="43" t="str">
        <x:v>Queued for contact research</x:v>
      </x:c>
      <x:c r="S953" s="43" t="str">
        <x:v>Not reviewed</x:v>
      </x:c>
      <x:c r="T953" s="43" t="str">
        <x:v>Hold</x:v>
      </x:c>
      <x:c r="U953" s="43" t="str">
        <x:v>No</x:v>
      </x:c>
      <x:c r="V953" s="44"/>
      <x:c r="W953" s="43" t="str"/>
      <x:c r="X953" s="43" t="str"/>
      <x:c r="Y953" s="43" t="str"/>
      <x:c r="Z953" s="43" t="str">
        <x:v>https://www.get-information-schools.service.gov.uk/Downloads</x:v>
      </x:c>
    </x:row>
    <x:row r="954">
      <x:c r="A954" s="43" t="str">
        <x:v>UK independent</x:v>
      </x:c>
      <x:c r="B954" s="43" t="str">
        <x:v>122138</x:v>
      </x:c>
      <x:c r="C954" s="43" t="n">
        <x:f>IF(K954="Boarding school",30,0)+IF(J954&gt;=18,20,0)+IF(I954&lt;=11,10,0)+IF(L954="Has a sixth form",15,0)+IF(M954&gt;=200,10,0)+IF(N954&lt;&gt;"",10,0)</x:f>
        <x:v>30</x:v>
      </x:c>
      <x:c r="D954" s="43" t="str">
        <x:f>IF(C954&gt;=85,"A",IF(C954&gt;=65,"B","C"))</x:f>
        <x:v>C</x:v>
      </x:c>
      <x:c r="E954" s="43" t="str">
        <x:v>Akeley Wood Junior School</x:v>
      </x:c>
      <x:c r="F954" s="43" t="str">
        <x:v>Northamptonshire</x:v>
      </x:c>
      <x:c r="G954" s="43" t="str"/>
      <x:c r="H954" s="43" t="str">
        <x:v>MK19 6DA</x:v>
      </x:c>
      <x:c r="I954" s="43" t="n">
        <x:v>1</x:v>
      </x:c>
      <x:c r="J954" s="43" t="n">
        <x:v>11</x:v>
      </x:c>
      <x:c r="K954" s="43" t="str">
        <x:v>No boarders</x:v>
      </x:c>
      <x:c r="L954" s="43" t="str">
        <x:v>Does not have a sixth form</x:v>
      </x:c>
      <x:c r="M954" s="43" t="n">
        <x:v>234</x:v>
      </x:c>
      <x:c r="N954" s="43" t="str">
        <x:v>https://www.akeleywoodschool.co.uk</x:v>
      </x:c>
      <x:c r="O954" s="43" t="str">
        <x:v>01908571231</x:v>
      </x:c>
      <x:c r="P954" s="43" t="str"/>
      <x:c r="Q954" s="43" t="str"/>
      <x:c r="R954" s="43" t="str">
        <x:v>Queued for contact research</x:v>
      </x:c>
      <x:c r="S954" s="43" t="str">
        <x:v>Not reviewed</x:v>
      </x:c>
      <x:c r="T954" s="43" t="str">
        <x:v>Hold</x:v>
      </x:c>
      <x:c r="U954" s="43" t="str">
        <x:v>No</x:v>
      </x:c>
      <x:c r="V954" s="44"/>
      <x:c r="W954" s="43" t="str"/>
      <x:c r="X954" s="43" t="str"/>
      <x:c r="Y954" s="43" t="str"/>
      <x:c r="Z954" s="43" t="str">
        <x:v>https://www.get-information-schools.service.gov.uk/Downloads</x:v>
      </x:c>
    </x:row>
    <x:row r="955">
      <x:c r="A955" s="43" t="str">
        <x:v>UK independent</x:v>
      </x:c>
      <x:c r="B955" s="43" t="str">
        <x:v>110154</x:v>
      </x:c>
      <x:c r="C955" s="43" t="n">
        <x:f>IF(K955="Boarding school",30,0)+IF(J955&gt;=18,20,0)+IF(I955&lt;=11,10,0)+IF(L955="Has a sixth form",15,0)+IF(M955&gt;=200,10,0)+IF(N955&lt;&gt;"",10,0)</x:f>
        <x:v>30</x:v>
      </x:c>
      <x:c r="D955" s="43" t="str">
        <x:f>IF(C955&gt;=85,"A",IF(C955&gt;=65,"B","C"))</x:f>
        <x:v>C</x:v>
      </x:c>
      <x:c r="E955" s="43" t="str">
        <x:v>Our Lady's Preparatory School</x:v>
      </x:c>
      <x:c r="F955" s="43" t="str">
        <x:v>Crowthorne</x:v>
      </x:c>
      <x:c r="G955" s="43" t="str">
        <x:v>Berkshire</x:v>
      </x:c>
      <x:c r="H955" s="43" t="str">
        <x:v>RG45 6PB</x:v>
      </x:c>
      <x:c r="I955" s="43" t="n">
        <x:v>0</x:v>
      </x:c>
      <x:c r="J955" s="43" t="n">
        <x:v>11</x:v>
      </x:c>
      <x:c r="K955" s="43" t="str">
        <x:v>No boarders</x:v>
      </x:c>
      <x:c r="L955" s="43" t="str">
        <x:v>Does not have a sixth form</x:v>
      </x:c>
      <x:c r="M955" s="43" t="n">
        <x:v>234</x:v>
      </x:c>
      <x:c r="N955" s="43" t="str">
        <x:v>https://www.olps.co.uk</x:v>
      </x:c>
      <x:c r="O955" s="43" t="str">
        <x:v>01344773394</x:v>
      </x:c>
      <x:c r="P955" s="43" t="str"/>
      <x:c r="Q955" s="43" t="str"/>
      <x:c r="R955" s="43" t="str">
        <x:v>Queued for contact research</x:v>
      </x:c>
      <x:c r="S955" s="43" t="str">
        <x:v>Not reviewed</x:v>
      </x:c>
      <x:c r="T955" s="43" t="str">
        <x:v>Hold</x:v>
      </x:c>
      <x:c r="U955" s="43" t="str">
        <x:v>No</x:v>
      </x:c>
      <x:c r="V955" s="44"/>
      <x:c r="W955" s="43" t="str"/>
      <x:c r="X955" s="43" t="str"/>
      <x:c r="Y955" s="43" t="str"/>
      <x:c r="Z955" s="43" t="str">
        <x:v>https://www.get-information-schools.service.gov.uk/Downloads</x:v>
      </x:c>
    </x:row>
    <x:row r="956">
      <x:c r="A956" s="43" t="str">
        <x:v>UK independent</x:v>
      </x:c>
      <x:c r="B956" s="43" t="str">
        <x:v>102943</x:v>
      </x:c>
      <x:c r="C956" s="43" t="n">
        <x:f>IF(K956="Boarding school",30,0)+IF(J956&gt;=18,20,0)+IF(I956&lt;=11,10,0)+IF(L956="Has a sixth form",15,0)+IF(M956&gt;=200,10,0)+IF(N956&lt;&gt;"",10,0)</x:f>
        <x:v>30</x:v>
      </x:c>
      <x:c r="D956" s="43" t="str">
        <x:f>IF(C956&gt;=85,"A",IF(C956&gt;=65,"B","C"))</x:f>
        <x:v>C</x:v>
      </x:c>
      <x:c r="E956" s="43" t="str">
        <x:v>Twickenham Preparatory School</x:v>
      </x:c>
      <x:c r="F956" s="43" t="str">
        <x:v>Hampton</x:v>
      </x:c>
      <x:c r="G956" s="43" t="str"/>
      <x:c r="H956" s="43" t="str">
        <x:v>TW12 2SA</x:v>
      </x:c>
      <x:c r="I956" s="43" t="n">
        <x:v>4</x:v>
      </x:c>
      <x:c r="J956" s="43" t="n">
        <x:v>13</x:v>
      </x:c>
      <x:c r="K956" s="43" t="str">
        <x:v>No boarders</x:v>
      </x:c>
      <x:c r="L956" s="43" t="str">
        <x:v>Does not have a sixth form</x:v>
      </x:c>
      <x:c r="M956" s="43" t="n">
        <x:v>233</x:v>
      </x:c>
      <x:c r="N956" s="43" t="str">
        <x:v>https://twickenhamprep.org.uk/</x:v>
      </x:c>
      <x:c r="O956" s="43" t="str">
        <x:v>02089796216</x:v>
      </x:c>
      <x:c r="P956" s="43" t="str"/>
      <x:c r="Q956" s="43" t="str"/>
      <x:c r="R956" s="43" t="str">
        <x:v>Queued for contact research</x:v>
      </x:c>
      <x:c r="S956" s="43" t="str">
        <x:v>Not reviewed</x:v>
      </x:c>
      <x:c r="T956" s="43" t="str">
        <x:v>Hold</x:v>
      </x:c>
      <x:c r="U956" s="43" t="str">
        <x:v>No</x:v>
      </x:c>
      <x:c r="V956" s="44"/>
      <x:c r="W956" s="43" t="str"/>
      <x:c r="X956" s="43" t="str"/>
      <x:c r="Y956" s="43" t="str"/>
      <x:c r="Z956" s="43" t="str">
        <x:v>https://www.get-information-schools.service.gov.uk/Downloads</x:v>
      </x:c>
    </x:row>
    <x:row r="957">
      <x:c r="A957" s="43" t="str">
        <x:v>UK independent</x:v>
      </x:c>
      <x:c r="B957" s="43" t="str">
        <x:v>116552</x:v>
      </x:c>
      <x:c r="C957" s="43" t="n">
        <x:f>IF(K957="Boarding school",30,0)+IF(J957&gt;=18,20,0)+IF(I957&lt;=11,10,0)+IF(L957="Has a sixth form",15,0)+IF(M957&gt;=200,10,0)+IF(N957&lt;&gt;"",10,0)</x:f>
        <x:v>30</x:v>
      </x:c>
      <x:c r="D957" s="43" t="str">
        <x:f>IF(C957&gt;=85,"A",IF(C957&gt;=65,"B","C"))</x:f>
        <x:v>C</x:v>
      </x:c>
      <x:c r="E957" s="43" t="str">
        <x:v>Prince's Mead School</x:v>
      </x:c>
      <x:c r="F957" s="43" t="str">
        <x:v>Hampshire</x:v>
      </x:c>
      <x:c r="G957" s="43" t="str"/>
      <x:c r="H957" s="43" t="str">
        <x:v>SO21 1AN</x:v>
      </x:c>
      <x:c r="I957" s="43" t="n">
        <x:v>2</x:v>
      </x:c>
      <x:c r="J957" s="43" t="n">
        <x:v>11</x:v>
      </x:c>
      <x:c r="K957" s="43" t="str">
        <x:v>No boarders</x:v>
      </x:c>
      <x:c r="L957" s="43" t="str">
        <x:v>Does not have a sixth form</x:v>
      </x:c>
      <x:c r="M957" s="43" t="n">
        <x:v>232</x:v>
      </x:c>
      <x:c r="N957" s="43" t="str">
        <x:v>https://www.princesmeadschool.org.uk/</x:v>
      </x:c>
      <x:c r="O957" s="43" t="str">
        <x:v>01962888000</x:v>
      </x:c>
      <x:c r="P957" s="43" t="str"/>
      <x:c r="Q957" s="43" t="str"/>
      <x:c r="R957" s="43" t="str">
        <x:v>Queued for contact research</x:v>
      </x:c>
      <x:c r="S957" s="43" t="str">
        <x:v>Not reviewed</x:v>
      </x:c>
      <x:c r="T957" s="43" t="str">
        <x:v>Hold</x:v>
      </x:c>
      <x:c r="U957" s="43" t="str">
        <x:v>No</x:v>
      </x:c>
      <x:c r="V957" s="44"/>
      <x:c r="W957" s="43" t="str"/>
      <x:c r="X957" s="43" t="str"/>
      <x:c r="Y957" s="43" t="str"/>
      <x:c r="Z957" s="43" t="str">
        <x:v>https://www.get-information-schools.service.gov.uk/Downloads</x:v>
      </x:c>
    </x:row>
    <x:row r="958">
      <x:c r="A958" s="43" t="str">
        <x:v>UK independent</x:v>
      </x:c>
      <x:c r="B958" s="43" t="str">
        <x:v>106377</x:v>
      </x:c>
      <x:c r="C958" s="43" t="n">
        <x:f>IF(K958="Boarding school",30,0)+IF(J958&gt;=18,20,0)+IF(I958&lt;=11,10,0)+IF(L958="Has a sixth form",15,0)+IF(M958&gt;=200,10,0)+IF(N958&lt;&gt;"",10,0)</x:f>
        <x:v>30</x:v>
      </x:c>
      <x:c r="D958" s="43" t="str">
        <x:f>IF(C958&gt;=85,"A",IF(C958&gt;=65,"B","C"))</x:f>
        <x:v>C</x:v>
      </x:c>
      <x:c r="E958" s="43" t="str">
        <x:v>Bowdon Preparatory School</x:v>
      </x:c>
      <x:c r="F958" s="43" t="str">
        <x:v>Altrincham</x:v>
      </x:c>
      <x:c r="G958" s="43" t="str">
        <x:v>Cheshire</x:v>
      </x:c>
      <x:c r="H958" s="43" t="str">
        <x:v>WA14 2LT</x:v>
      </x:c>
      <x:c r="I958" s="43" t="n">
        <x:v>3</x:v>
      </x:c>
      <x:c r="J958" s="43" t="n">
        <x:v>11</x:v>
      </x:c>
      <x:c r="K958" s="43" t="str">
        <x:v>No boarders</x:v>
      </x:c>
      <x:c r="L958" s="43" t="str">
        <x:v>Does not have a sixth form</x:v>
      </x:c>
      <x:c r="M958" s="43" t="n">
        <x:v>230</x:v>
      </x:c>
      <x:c r="N958" s="43" t="str">
        <x:v>https://www.bowdonprep.org.uk</x:v>
      </x:c>
      <x:c r="O958" s="43" t="str">
        <x:v>01619280678</x:v>
      </x:c>
      <x:c r="P958" s="43" t="str"/>
      <x:c r="Q958" s="43" t="str"/>
      <x:c r="R958" s="43" t="str">
        <x:v>Queued for contact research</x:v>
      </x:c>
      <x:c r="S958" s="43" t="str">
        <x:v>Not reviewed</x:v>
      </x:c>
      <x:c r="T958" s="43" t="str">
        <x:v>Hold</x:v>
      </x:c>
      <x:c r="U958" s="43" t="str">
        <x:v>No</x:v>
      </x:c>
      <x:c r="V958" s="44"/>
      <x:c r="W958" s="43" t="str"/>
      <x:c r="X958" s="43" t="str"/>
      <x:c r="Y958" s="43" t="str"/>
      <x:c r="Z958" s="43" t="str">
        <x:v>https://www.get-information-schools.service.gov.uk/Downloads</x:v>
      </x:c>
    </x:row>
    <x:row r="959">
      <x:c r="A959" s="43" t="str">
        <x:v>UK independent</x:v>
      </x:c>
      <x:c r="B959" s="43" t="str">
        <x:v>117628</x:v>
      </x:c>
      <x:c r="C959" s="43" t="n">
        <x:f>IF(K959="Boarding school",30,0)+IF(J959&gt;=18,20,0)+IF(I959&lt;=11,10,0)+IF(L959="Has a sixth form",15,0)+IF(M959&gt;=200,10,0)+IF(N959&lt;&gt;"",10,0)</x:f>
        <x:v>30</x:v>
      </x:c>
      <x:c r="D959" s="43" t="str">
        <x:f>IF(C959&gt;=85,"A",IF(C959&gt;=65,"B","C"))</x:f>
        <x:v>C</x:v>
      </x:c>
      <x:c r="E959" s="43" t="str">
        <x:v>Duncombe School</x:v>
      </x:c>
      <x:c r="F959" s="43" t="str">
        <x:v>Hertford</x:v>
      </x:c>
      <x:c r="G959" s="43" t="str">
        <x:v>Hertfordshire</x:v>
      </x:c>
      <x:c r="H959" s="43" t="str">
        <x:v>SG14 3JA</x:v>
      </x:c>
      <x:c r="I959" s="43" t="n">
        <x:v>2</x:v>
      </x:c>
      <x:c r="J959" s="43" t="n">
        <x:v>11</x:v>
      </x:c>
      <x:c r="K959" s="43" t="str">
        <x:v>No boarders</x:v>
      </x:c>
      <x:c r="L959" s="43" t="str">
        <x:v>Does not have a sixth form</x:v>
      </x:c>
      <x:c r="M959" s="43" t="n">
        <x:v>230</x:v>
      </x:c>
      <x:c r="N959" s="43" t="str">
        <x:v>https://www.duncombe-school.co.uk</x:v>
      </x:c>
      <x:c r="O959" s="43" t="str">
        <x:v>01992414100</x:v>
      </x:c>
      <x:c r="P959" s="43" t="str"/>
      <x:c r="Q959" s="43" t="str"/>
      <x:c r="R959" s="43" t="str">
        <x:v>Queued for contact research</x:v>
      </x:c>
      <x:c r="S959" s="43" t="str">
        <x:v>Not reviewed</x:v>
      </x:c>
      <x:c r="T959" s="43" t="str">
        <x:v>Hold</x:v>
      </x:c>
      <x:c r="U959" s="43" t="str">
        <x:v>No</x:v>
      </x:c>
      <x:c r="V959" s="44"/>
      <x:c r="W959" s="43" t="str"/>
      <x:c r="X959" s="43" t="str"/>
      <x:c r="Y959" s="43" t="str"/>
      <x:c r="Z959" s="43" t="str">
        <x:v>https://www.get-information-schools.service.gov.uk/Downloads</x:v>
      </x:c>
    </x:row>
    <x:row r="960">
      <x:c r="A960" s="43" t="str">
        <x:v>UK independent</x:v>
      </x:c>
      <x:c r="B960" s="43" t="str">
        <x:v>110160</x:v>
      </x:c>
      <x:c r="C960" s="43" t="n">
        <x:f>IF(K960="Boarding school",30,0)+IF(J960&gt;=18,20,0)+IF(I960&lt;=11,10,0)+IF(L960="Has a sixth form",15,0)+IF(M960&gt;=200,10,0)+IF(N960&lt;&gt;"",10,0)</x:f>
        <x:v>30</x:v>
      </x:c>
      <x:c r="D960" s="43" t="str">
        <x:f>IF(C960&gt;=85,"A",IF(C960&gt;=65,"B","C"))</x:f>
        <x:v>C</x:v>
      </x:c>
      <x:c r="E960" s="43" t="str">
        <x:v>St Bernard's Preparatory School</x:v>
      </x:c>
      <x:c r="F960" s="43" t="str">
        <x:v>Slough</x:v>
      </x:c>
      <x:c r="G960" s="43" t="str">
        <x:v>Berkshire</x:v>
      </x:c>
      <x:c r="H960" s="43" t="str">
        <x:v>SL1 1TB</x:v>
      </x:c>
      <x:c r="I960" s="43" t="n">
        <x:v>2</x:v>
      </x:c>
      <x:c r="J960" s="43" t="n">
        <x:v>11</x:v>
      </x:c>
      <x:c r="K960" s="43" t="str">
        <x:v>No boarders</x:v>
      </x:c>
      <x:c r="L960" s="43" t="str">
        <x:v>Does not have a sixth form</x:v>
      </x:c>
      <x:c r="M960" s="43" t="n">
        <x:v>229</x:v>
      </x:c>
      <x:c r="N960" s="43" t="str">
        <x:v>https://www.stbernardsprep.org</x:v>
      </x:c>
      <x:c r="O960" s="43" t="str">
        <x:v>01753521821</x:v>
      </x:c>
      <x:c r="P960" s="43" t="str"/>
      <x:c r="Q960" s="43" t="str"/>
      <x:c r="R960" s="43" t="str">
        <x:v>Queued for contact research</x:v>
      </x:c>
      <x:c r="S960" s="43" t="str">
        <x:v>Not reviewed</x:v>
      </x:c>
      <x:c r="T960" s="43" t="str">
        <x:v>Hold</x:v>
      </x:c>
      <x:c r="U960" s="43" t="str">
        <x:v>No</x:v>
      </x:c>
      <x:c r="V960" s="44"/>
      <x:c r="W960" s="43" t="str"/>
      <x:c r="X960" s="43" t="str"/>
      <x:c r="Y960" s="43" t="str"/>
      <x:c r="Z960" s="43" t="str">
        <x:v>https://www.get-information-schools.service.gov.uk/Downloads</x:v>
      </x:c>
    </x:row>
    <x:row r="961">
      <x:c r="A961" s="43" t="str">
        <x:v>UK independent</x:v>
      </x:c>
      <x:c r="B961" s="43" t="str">
        <x:v>113577</x:v>
      </x:c>
      <x:c r="C961" s="43" t="n">
        <x:f>IF(K961="Boarding school",30,0)+IF(J961&gt;=18,20,0)+IF(I961&lt;=11,10,0)+IF(L961="Has a sixth form",15,0)+IF(M961&gt;=200,10,0)+IF(N961&lt;&gt;"",10,0)</x:f>
        <x:v>30</x:v>
      </x:c>
      <x:c r="D961" s="43" t="str">
        <x:f>IF(C961&gt;=85,"A",IF(C961&gt;=65,"B","C"))</x:f>
        <x:v>C</x:v>
      </x:c>
      <x:c r="E961" s="43" t="str">
        <x:v>Blundell's Preparatory School</x:v>
      </x:c>
      <x:c r="F961" s="43" t="str">
        <x:v>Tiverton</x:v>
      </x:c>
      <x:c r="G961" s="43" t="str">
        <x:v>Devon</x:v>
      </x:c>
      <x:c r="H961" s="43" t="str">
        <x:v>EX16 4NA</x:v>
      </x:c>
      <x:c r="I961" s="43" t="n">
        <x:v>2</x:v>
      </x:c>
      <x:c r="J961" s="43" t="n">
        <x:v>11</x:v>
      </x:c>
      <x:c r="K961" s="43" t="str">
        <x:v>No boarders</x:v>
      </x:c>
      <x:c r="L961" s="43" t="str">
        <x:v>Does not have a sixth form</x:v>
      </x:c>
      <x:c r="M961" s="43" t="n">
        <x:v>228</x:v>
      </x:c>
      <x:c r="N961" s="43" t="str">
        <x:v>https://www.blundells.org</x:v>
      </x:c>
      <x:c r="O961" s="43" t="str">
        <x:v>01884252393</x:v>
      </x:c>
      <x:c r="P961" s="43" t="str"/>
      <x:c r="Q961" s="43" t="str"/>
      <x:c r="R961" s="43" t="str">
        <x:v>Queued for contact research</x:v>
      </x:c>
      <x:c r="S961" s="43" t="str">
        <x:v>Not reviewed</x:v>
      </x:c>
      <x:c r="T961" s="43" t="str">
        <x:v>Hold</x:v>
      </x:c>
      <x:c r="U961" s="43" t="str">
        <x:v>No</x:v>
      </x:c>
      <x:c r="V961" s="44"/>
      <x:c r="W961" s="43" t="str"/>
      <x:c r="X961" s="43" t="str"/>
      <x:c r="Y961" s="43" t="str"/>
      <x:c r="Z961" s="43" t="str">
        <x:v>https://www.get-information-schools.service.gov.uk/Downloads</x:v>
      </x:c>
    </x:row>
    <x:row r="962">
      <x:c r="A962" s="43" t="str">
        <x:v>UK independent</x:v>
      </x:c>
      <x:c r="B962" s="43" t="str">
        <x:v>113931</x:v>
      </x:c>
      <x:c r="C962" s="43" t="n">
        <x:f>IF(K962="Boarding school",30,0)+IF(J962&gt;=18,20,0)+IF(I962&lt;=11,10,0)+IF(L962="Has a sixth form",15,0)+IF(M962&gt;=200,10,0)+IF(N962&lt;&gt;"",10,0)</x:f>
        <x:v>30</x:v>
      </x:c>
      <x:c r="D962" s="43" t="str">
        <x:f>IF(C962&gt;=85,"A",IF(C962&gt;=65,"B","C"))</x:f>
        <x:v>C</x:v>
      </x:c>
      <x:c r="E962" s="43" t="str">
        <x:v>Castle Court School</x:v>
      </x:c>
      <x:c r="F962" s="43" t="str"/>
      <x:c r="G962" s="43" t="str">
        <x:v>Dorset</x:v>
      </x:c>
      <x:c r="H962" s="43" t="str">
        <x:v>BH21 3RF</x:v>
      </x:c>
      <x:c r="I962" s="43" t="n">
        <x:v>2</x:v>
      </x:c>
      <x:c r="J962" s="43" t="n">
        <x:v>13</x:v>
      </x:c>
      <x:c r="K962" s="43" t="str">
        <x:v>No boarders</x:v>
      </x:c>
      <x:c r="L962" s="43" t="str">
        <x:v>Does not have a sixth form</x:v>
      </x:c>
      <x:c r="M962" s="43" t="n">
        <x:v>227</x:v>
      </x:c>
      <x:c r="N962" s="43" t="str">
        <x:v>https://www.castlecourt.com</x:v>
      </x:c>
      <x:c r="O962" s="43" t="str">
        <x:v>01202694438</x:v>
      </x:c>
      <x:c r="P962" s="43" t="str"/>
      <x:c r="Q962" s="43" t="str"/>
      <x:c r="R962" s="43" t="str">
        <x:v>Queued for contact research</x:v>
      </x:c>
      <x:c r="S962" s="43" t="str">
        <x:v>Not reviewed</x:v>
      </x:c>
      <x:c r="T962" s="43" t="str">
        <x:v>Hold</x:v>
      </x:c>
      <x:c r="U962" s="43" t="str">
        <x:v>No</x:v>
      </x:c>
      <x:c r="V962" s="44"/>
      <x:c r="W962" s="43" t="str"/>
      <x:c r="X962" s="43" t="str"/>
      <x:c r="Y962" s="43" t="str"/>
      <x:c r="Z962" s="43" t="str">
        <x:v>https://www.get-information-schools.service.gov.uk/Downloads</x:v>
      </x:c>
    </x:row>
    <x:row r="963">
      <x:c r="A963" s="43" t="str">
        <x:v>UK independent</x:v>
      </x:c>
      <x:c r="B963" s="43" t="str">
        <x:v>139221</x:v>
      </x:c>
      <x:c r="C963" s="43" t="n">
        <x:f>IF(K963="Boarding school",30,0)+IF(J963&gt;=18,20,0)+IF(I963&lt;=11,10,0)+IF(L963="Has a sixth form",15,0)+IF(M963&gt;=200,10,0)+IF(N963&lt;&gt;"",10,0)</x:f>
        <x:v>30</x:v>
      </x:c>
      <x:c r="D963" s="43" t="str">
        <x:f>IF(C963&gt;=85,"A",IF(C963&gt;=65,"B","C"))</x:f>
        <x:v>C</x:v>
      </x:c>
      <x:c r="E963" s="43" t="str">
        <x:v>Date Palm Primary</x:v>
      </x:c>
      <x:c r="F963" s="43" t="str"/>
      <x:c r="G963" s="43" t="str"/>
      <x:c r="H963" s="43" t="str">
        <x:v>E1 1EJ</x:v>
      </x:c>
      <x:c r="I963" s="43" t="n">
        <x:v>2</x:v>
      </x:c>
      <x:c r="J963" s="43" t="n">
        <x:v>11</x:v>
      </x:c>
      <x:c r="K963" s="43" t="str">
        <x:v>No boarders</x:v>
      </x:c>
      <x:c r="L963" s="43" t="str">
        <x:v>Does not have a sixth form</x:v>
      </x:c>
      <x:c r="M963" s="43" t="n">
        <x:v>227</x:v>
      </x:c>
      <x:c r="N963" s="43" t="str">
        <x:v>https://www.datepalmprimary.co.uk</x:v>
      </x:c>
      <x:c r="O963" s="43" t="str">
        <x:v>07877134630</x:v>
      </x:c>
      <x:c r="P963" s="43" t="str"/>
      <x:c r="Q963" s="43" t="str"/>
      <x:c r="R963" s="43" t="str">
        <x:v>Queued for contact research</x:v>
      </x:c>
      <x:c r="S963" s="43" t="str">
        <x:v>Not reviewed</x:v>
      </x:c>
      <x:c r="T963" s="43" t="str">
        <x:v>Hold</x:v>
      </x:c>
      <x:c r="U963" s="43" t="str">
        <x:v>No</x:v>
      </x:c>
      <x:c r="V963" s="44"/>
      <x:c r="W963" s="43" t="str"/>
      <x:c r="X963" s="43" t="str"/>
      <x:c r="Y963" s="43" t="str"/>
      <x:c r="Z963" s="43" t="str">
        <x:v>https://www.get-information-schools.service.gov.uk/Downloads</x:v>
      </x:c>
    </x:row>
    <x:row r="964">
      <x:c r="A964" s="43" t="str">
        <x:v>UK independent</x:v>
      </x:c>
      <x:c r="B964" s="43" t="str">
        <x:v>102935</x:v>
      </x:c>
      <x:c r="C964" s="43" t="n">
        <x:f>IF(K964="Boarding school",30,0)+IF(J964&gt;=18,20,0)+IF(I964&lt;=11,10,0)+IF(L964="Has a sixth form",15,0)+IF(M964&gt;=200,10,0)+IF(N964&lt;&gt;"",10,0)</x:f>
        <x:v>30</x:v>
      </x:c>
      <x:c r="D964" s="43" t="str">
        <x:f>IF(C964&gt;=85,"A",IF(C964&gt;=65,"B","C"))</x:f>
        <x:v>C</x:v>
      </x:c>
      <x:c r="E964" s="43" t="str">
        <x:v>The Old Vicarage School</x:v>
      </x:c>
      <x:c r="F964" s="43" t="str">
        <x:v>Richmond</x:v>
      </x:c>
      <x:c r="G964" s="43" t="str">
        <x:v>Surrey</x:v>
      </x:c>
      <x:c r="H964" s="43" t="str">
        <x:v>TW10 6QX</x:v>
      </x:c>
      <x:c r="I964" s="43" t="n">
        <x:v>3</x:v>
      </x:c>
      <x:c r="J964" s="43" t="n">
        <x:v>11</x:v>
      </x:c>
      <x:c r="K964" s="43" t="str">
        <x:v>No boarders</x:v>
      </x:c>
      <x:c r="L964" s="43" t="str">
        <x:v>Does not have a sixth form</x:v>
      </x:c>
      <x:c r="M964" s="43" t="n">
        <x:v>227</x:v>
      </x:c>
      <x:c r="N964" s="43" t="str">
        <x:v>https://www.oldvicarageschool.com</x:v>
      </x:c>
      <x:c r="O964" s="43" t="str">
        <x:v>02089400922</x:v>
      </x:c>
      <x:c r="P964" s="43" t="str"/>
      <x:c r="Q964" s="43" t="str"/>
      <x:c r="R964" s="43" t="str">
        <x:v>Queued for contact research</x:v>
      </x:c>
      <x:c r="S964" s="43" t="str">
        <x:v>Not reviewed</x:v>
      </x:c>
      <x:c r="T964" s="43" t="str">
        <x:v>Hold</x:v>
      </x:c>
      <x:c r="U964" s="43" t="str">
        <x:v>No</x:v>
      </x:c>
      <x:c r="V964" s="44"/>
      <x:c r="W964" s="43" t="str"/>
      <x:c r="X964" s="43" t="str"/>
      <x:c r="Y964" s="43" t="str"/>
      <x:c r="Z964" s="43" t="str">
        <x:v>https://www.get-information-schools.service.gov.uk/Downloads</x:v>
      </x:c>
    </x:row>
    <x:row r="965">
      <x:c r="A965" s="43" t="str">
        <x:v>UK independent</x:v>
      </x:c>
      <x:c r="B965" s="43" t="str">
        <x:v>101069</x:v>
      </x:c>
      <x:c r="C965" s="43" t="n">
        <x:f>IF(K965="Boarding school",30,0)+IF(J965&gt;=18,20,0)+IF(I965&lt;=11,10,0)+IF(L965="Has a sixth form",15,0)+IF(M965&gt;=200,10,0)+IF(N965&lt;&gt;"",10,0)</x:f>
        <x:v>30</x:v>
      </x:c>
      <x:c r="D965" s="43" t="str">
        <x:f>IF(C965&gt;=85,"A",IF(C965&gt;=65,"B","C"))</x:f>
        <x:v>C</x:v>
      </x:c>
      <x:c r="E965" s="43" t="str">
        <x:v>Willington School</x:v>
      </x:c>
      <x:c r="F965" s="43" t="str">
        <x:v>London</x:v>
      </x:c>
      <x:c r="G965" s="43" t="str"/>
      <x:c r="H965" s="43" t="str">
        <x:v>SW19 7QQ</x:v>
      </x:c>
      <x:c r="I965" s="43" t="n">
        <x:v>3</x:v>
      </x:c>
      <x:c r="J965" s="43" t="n">
        <x:v>11</x:v>
      </x:c>
      <x:c r="K965" s="43" t="str">
        <x:v>No boarders</x:v>
      </x:c>
      <x:c r="L965" s="43" t="str">
        <x:v>Does not have a sixth form</x:v>
      </x:c>
      <x:c r="M965" s="43" t="n">
        <x:v>225</x:v>
      </x:c>
      <x:c r="N965" s="43" t="str">
        <x:v>https://www.willingtonschool.co.uk</x:v>
      </x:c>
      <x:c r="O965" s="43" t="str">
        <x:v>02089447020</x:v>
      </x:c>
      <x:c r="P965" s="43" t="str"/>
      <x:c r="Q965" s="43" t="str"/>
      <x:c r="R965" s="43" t="str">
        <x:v>Queued for contact research</x:v>
      </x:c>
      <x:c r="S965" s="43" t="str">
        <x:v>Not reviewed</x:v>
      </x:c>
      <x:c r="T965" s="43" t="str">
        <x:v>Hold</x:v>
      </x:c>
      <x:c r="U965" s="43" t="str">
        <x:v>No</x:v>
      </x:c>
      <x:c r="V965" s="44"/>
      <x:c r="W965" s="43" t="str"/>
      <x:c r="X965" s="43" t="str"/>
      <x:c r="Y965" s="43" t="str"/>
      <x:c r="Z965" s="43" t="str">
        <x:v>https://www.get-information-schools.service.gov.uk/Downloads</x:v>
      </x:c>
    </x:row>
    <x:row r="966">
      <x:c r="A966" s="43" t="str">
        <x:v>UK independent</x:v>
      </x:c>
      <x:c r="B966" s="43" t="str">
        <x:v>124872</x:v>
      </x:c>
      <x:c r="C966" s="43" t="n">
        <x:f>IF(K966="Boarding school",30,0)+IF(J966&gt;=18,20,0)+IF(I966&lt;=11,10,0)+IF(L966="Has a sixth form",15,0)+IF(M966&gt;=200,10,0)+IF(N966&lt;&gt;"",10,0)</x:f>
        <x:v>30</x:v>
      </x:c>
      <x:c r="D966" s="43" t="str">
        <x:f>IF(C966&gt;=85,"A",IF(C966&gt;=65,"B","C"))</x:f>
        <x:v>C</x:v>
      </x:c>
      <x:c r="E966" s="43" t="str">
        <x:v>Fairstead House</x:v>
      </x:c>
      <x:c r="F966" s="43" t="str"/>
      <x:c r="G966" s="43" t="str"/>
      <x:c r="H966" s="43" t="str">
        <x:v>CB8 7AA</x:v>
      </x:c>
      <x:c r="I966" s="43" t="n">
        <x:v>3</x:v>
      </x:c>
      <x:c r="J966" s="43" t="n">
        <x:v>11</x:v>
      </x:c>
      <x:c r="K966" s="43" t="str">
        <x:v>No boarders</x:v>
      </x:c>
      <x:c r="L966" s="43" t="str">
        <x:v>Does not have a sixth form</x:v>
      </x:c>
      <x:c r="M966" s="43" t="n">
        <x:v>224</x:v>
      </x:c>
      <x:c r="N966" s="43" t="str">
        <x:v>https://www.fairsteadhouseschool.org</x:v>
      </x:c>
      <x:c r="O966" s="43" t="str">
        <x:v>01638662318</x:v>
      </x:c>
      <x:c r="P966" s="43" t="str"/>
      <x:c r="Q966" s="43" t="str"/>
      <x:c r="R966" s="43" t="str">
        <x:v>Queued for contact research</x:v>
      </x:c>
      <x:c r="S966" s="43" t="str">
        <x:v>Not reviewed</x:v>
      </x:c>
      <x:c r="T966" s="43" t="str">
        <x:v>Hold</x:v>
      </x:c>
      <x:c r="U966" s="43" t="str">
        <x:v>No</x:v>
      </x:c>
      <x:c r="V966" s="44"/>
      <x:c r="W966" s="43" t="str"/>
      <x:c r="X966" s="43" t="str"/>
      <x:c r="Y966" s="43" t="str"/>
      <x:c r="Z966" s="43" t="str">
        <x:v>https://www.get-information-schools.service.gov.uk/Downloads</x:v>
      </x:c>
    </x:row>
    <x:row r="967">
      <x:c r="A967" s="43" t="str">
        <x:v>UK independent</x:v>
      </x:c>
      <x:c r="B967" s="43" t="str">
        <x:v>103015</x:v>
      </x:c>
      <x:c r="C967" s="43" t="n">
        <x:f>IF(K967="Boarding school",30,0)+IF(J967&gt;=18,20,0)+IF(I967&lt;=11,10,0)+IF(L967="Has a sixth form",15,0)+IF(M967&gt;=200,10,0)+IF(N967&lt;&gt;"",10,0)</x:f>
        <x:v>30</x:v>
      </x:c>
      <x:c r="D967" s="43" t="str">
        <x:f>IF(C967&gt;=85,"A",IF(C967&gt;=65,"B","C"))</x:f>
        <x:v>C</x:v>
      </x:c>
      <x:c r="E967" s="43" t="str">
        <x:v>Homefield Preparatory School</x:v>
      </x:c>
      <x:c r="F967" s="43" t="str"/>
      <x:c r="G967" s="43" t="str"/>
      <x:c r="H967" s="43" t="str">
        <x:v>SM1 2TE</x:v>
      </x:c>
      <x:c r="I967" s="43" t="n">
        <x:v>3</x:v>
      </x:c>
      <x:c r="J967" s="43" t="n">
        <x:v>14</x:v>
      </x:c>
      <x:c r="K967" s="43" t="str">
        <x:v>No boarders</x:v>
      </x:c>
      <x:c r="L967" s="43" t="str">
        <x:v>Does not have a sixth form</x:v>
      </x:c>
      <x:c r="M967" s="43" t="n">
        <x:v>224</x:v>
      </x:c>
      <x:c r="N967" s="43" t="str">
        <x:v>https://www.homefieldprep.school</x:v>
      </x:c>
      <x:c r="O967" s="43" t="str">
        <x:v>02086420965</x:v>
      </x:c>
      <x:c r="P967" s="43" t="str"/>
      <x:c r="Q967" s="43" t="str"/>
      <x:c r="R967" s="43" t="str">
        <x:v>Queued for contact research</x:v>
      </x:c>
      <x:c r="S967" s="43" t="str">
        <x:v>Not reviewed</x:v>
      </x:c>
      <x:c r="T967" s="43" t="str">
        <x:v>Hold</x:v>
      </x:c>
      <x:c r="U967" s="43" t="str">
        <x:v>No</x:v>
      </x:c>
      <x:c r="V967" s="44"/>
      <x:c r="W967" s="43" t="str"/>
      <x:c r="X967" s="43" t="str"/>
      <x:c r="Y967" s="43" t="str"/>
      <x:c r="Z967" s="43" t="str">
        <x:v>https://www.get-information-schools.service.gov.uk/Downloads</x:v>
      </x:c>
    </x:row>
    <x:row r="968">
      <x:c r="A968" s="43" t="str">
        <x:v>UK independent</x:v>
      </x:c>
      <x:c r="B968" s="43" t="str">
        <x:v>107582</x:v>
      </x:c>
      <x:c r="C968" s="43" t="n">
        <x:f>IF(K968="Boarding school",30,0)+IF(J968&gt;=18,20,0)+IF(I968&lt;=11,10,0)+IF(L968="Has a sixth form",15,0)+IF(M968&gt;=200,10,0)+IF(N968&lt;&gt;"",10,0)</x:f>
        <x:v>30</x:v>
      </x:c>
      <x:c r="D968" s="43" t="str">
        <x:f>IF(C968&gt;=85,"A",IF(C968&gt;=65,"B","C"))</x:f>
        <x:v>C</x:v>
      </x:c>
      <x:c r="E968" s="43" t="str">
        <x:v>The Gleddings School</x:v>
      </x:c>
      <x:c r="F968" s="43" t="str">
        <x:v>Halifax</x:v>
      </x:c>
      <x:c r="G968" s="43" t="str">
        <x:v>West Yorkshire</x:v>
      </x:c>
      <x:c r="H968" s="43" t="str">
        <x:v>HX3 0JB</x:v>
      </x:c>
      <x:c r="I968" s="43" t="n">
        <x:v>3</x:v>
      </x:c>
      <x:c r="J968" s="43" t="n">
        <x:v>11</x:v>
      </x:c>
      <x:c r="K968" s="43" t="str">
        <x:v>No boarders</x:v>
      </x:c>
      <x:c r="L968" s="43" t="str">
        <x:v>Does not have a sixth form</x:v>
      </x:c>
      <x:c r="M968" s="43" t="n">
        <x:v>224</x:v>
      </x:c>
      <x:c r="N968" s="43" t="str">
        <x:v>https://www.thegleddings.co.uk</x:v>
      </x:c>
      <x:c r="O968" s="43" t="str">
        <x:v>01422354605</x:v>
      </x:c>
      <x:c r="P968" s="43" t="str"/>
      <x:c r="Q968" s="43" t="str"/>
      <x:c r="R968" s="43" t="str">
        <x:v>Queued for contact research</x:v>
      </x:c>
      <x:c r="S968" s="43" t="str">
        <x:v>Not reviewed</x:v>
      </x:c>
      <x:c r="T968" s="43" t="str">
        <x:v>Hold</x:v>
      </x:c>
      <x:c r="U968" s="43" t="str">
        <x:v>No</x:v>
      </x:c>
      <x:c r="V968" s="44"/>
      <x:c r="W968" s="43" t="str"/>
      <x:c r="X968" s="43" t="str"/>
      <x:c r="Y968" s="43" t="str"/>
      <x:c r="Z968" s="43" t="str">
        <x:v>https://www.get-information-schools.service.gov.uk/Downloads</x:v>
      </x:c>
    </x:row>
    <x:row r="969">
      <x:c r="A969" s="43" t="str">
        <x:v>UK independent</x:v>
      </x:c>
      <x:c r="B969" s="43" t="str">
        <x:v>137561</x:v>
      </x:c>
      <x:c r="C969" s="43" t="n">
        <x:f>IF(K969="Boarding school",30,0)+IF(J969&gt;=18,20,0)+IF(I969&lt;=11,10,0)+IF(L969="Has a sixth form",15,0)+IF(M969&gt;=200,10,0)+IF(N969&lt;&gt;"",10,0)</x:f>
        <x:v>30</x:v>
      </x:c>
      <x:c r="D969" s="43" t="str">
        <x:f>IF(C969&gt;=85,"A",IF(C969&gt;=65,"B","C"))</x:f>
        <x:v>C</x:v>
      </x:c>
      <x:c r="E969" s="43" t="str">
        <x:v>The Imam Muhammad Adam Institute School</x:v>
      </x:c>
      <x:c r="F969" s="43" t="str">
        <x:v>Leicester</x:v>
      </x:c>
      <x:c r="G969" s="43" t="str"/>
      <x:c r="H969" s="43" t="str">
        <x:v>LE5 3LD</x:v>
      </x:c>
      <x:c r="I969" s="43" t="n">
        <x:v>5</x:v>
      </x:c>
      <x:c r="J969" s="43" t="n">
        <x:v>16</x:v>
      </x:c>
      <x:c r="K969" s="43" t="str">
        <x:v>No boarders</x:v>
      </x:c>
      <x:c r="L969" s="43" t="str">
        <x:v>Does not have a sixth form</x:v>
      </x:c>
      <x:c r="M969" s="43" t="n">
        <x:v>224</x:v>
      </x:c>
      <x:c r="N969" s="43" t="str">
        <x:v>https://www.imai.org.uk</x:v>
      </x:c>
      <x:c r="O969" s="43" t="str">
        <x:v>01162767600</x:v>
      </x:c>
      <x:c r="P969" s="43" t="str"/>
      <x:c r="Q969" s="43" t="str"/>
      <x:c r="R969" s="43" t="str">
        <x:v>Queued for contact research</x:v>
      </x:c>
      <x:c r="S969" s="43" t="str">
        <x:v>Not reviewed</x:v>
      </x:c>
      <x:c r="T969" s="43" t="str">
        <x:v>Hold</x:v>
      </x:c>
      <x:c r="U969" s="43" t="str">
        <x:v>No</x:v>
      </x:c>
      <x:c r="V969" s="44"/>
      <x:c r="W969" s="43" t="str"/>
      <x:c r="X969" s="43" t="str"/>
      <x:c r="Y969" s="43" t="str"/>
      <x:c r="Z969" s="43" t="str">
        <x:v>https://www.get-information-schools.service.gov.uk/Downloads</x:v>
      </x:c>
    </x:row>
    <x:row r="970">
      <x:c r="A970" s="43" t="str">
        <x:v>UK independent</x:v>
      </x:c>
      <x:c r="B970" s="43" t="str">
        <x:v>125399</x:v>
      </x:c>
      <x:c r="C970" s="43" t="n">
        <x:f>IF(K970="Boarding school",30,0)+IF(J970&gt;=18,20,0)+IF(I970&lt;=11,10,0)+IF(L970="Has a sixth form",15,0)+IF(M970&gt;=200,10,0)+IF(N970&lt;&gt;"",10,0)</x:f>
        <x:v>30</x:v>
      </x:c>
      <x:c r="D970" s="43" t="str">
        <x:f>IF(C970&gt;=85,"A",IF(C970&gt;=65,"B","C"))</x:f>
        <x:v>C</x:v>
      </x:c>
      <x:c r="E970" s="43" t="str">
        <x:v>Greenfield School</x:v>
      </x:c>
      <x:c r="F970" s="43" t="str">
        <x:v>Woking</x:v>
      </x:c>
      <x:c r="G970" s="43" t="str">
        <x:v>Surrey</x:v>
      </x:c>
      <x:c r="H970" s="43" t="str">
        <x:v>GU22 8HY</x:v>
      </x:c>
      <x:c r="I970" s="43" t="n">
        <x:v>3</x:v>
      </x:c>
      <x:c r="J970" s="43" t="n">
        <x:v>11</x:v>
      </x:c>
      <x:c r="K970" s="43" t="str">
        <x:v>No boarders</x:v>
      </x:c>
      <x:c r="L970" s="43" t="str">
        <x:v>Does not have a sixth form</x:v>
      </x:c>
      <x:c r="M970" s="43" t="n">
        <x:v>223</x:v>
      </x:c>
      <x:c r="N970" s="43" t="str">
        <x:v>https://greenfield.surrey.sch.uk/</x:v>
      </x:c>
      <x:c r="O970" s="43" t="str">
        <x:v>01483772525</x:v>
      </x:c>
      <x:c r="P970" s="43" t="str"/>
      <x:c r="Q970" s="43" t="str"/>
      <x:c r="R970" s="43" t="str">
        <x:v>Queued for contact research</x:v>
      </x:c>
      <x:c r="S970" s="43" t="str">
        <x:v>Not reviewed</x:v>
      </x:c>
      <x:c r="T970" s="43" t="str">
        <x:v>Hold</x:v>
      </x:c>
      <x:c r="U970" s="43" t="str">
        <x:v>No</x:v>
      </x:c>
      <x:c r="V970" s="44"/>
      <x:c r="W970" s="43" t="str"/>
      <x:c r="X970" s="43" t="str"/>
      <x:c r="Y970" s="43" t="str"/>
      <x:c r="Z970" s="43" t="str">
        <x:v>https://www.get-information-schools.service.gov.uk/Downloads</x:v>
      </x:c>
    </x:row>
    <x:row r="971">
      <x:c r="A971" s="43" t="str">
        <x:v>UK independent</x:v>
      </x:c>
      <x:c r="B971" s="43" t="str">
        <x:v>118951</x:v>
      </x:c>
      <x:c r="C971" s="43" t="n">
        <x:f>IF(K971="Boarding school",30,0)+IF(J971&gt;=18,20,0)+IF(I971&lt;=11,10,0)+IF(L971="Has a sixth form",15,0)+IF(M971&gt;=200,10,0)+IF(N971&lt;&gt;"",10,0)</x:f>
        <x:v>30</x:v>
      </x:c>
      <x:c r="D971" s="43" t="str">
        <x:f>IF(C971&gt;=85,"A",IF(C971&gt;=65,"B","C"))</x:f>
        <x:v>C</x:v>
      </x:c>
      <x:c r="E971" s="43" t="str">
        <x:v>Rose Hill School</x:v>
      </x:c>
      <x:c r="F971" s="43" t="str">
        <x:v>Tunbridge Wells</x:v>
      </x:c>
      <x:c r="G971" s="43" t="str">
        <x:v>Kent</x:v>
      </x:c>
      <x:c r="H971" s="43" t="str">
        <x:v>TN4 9SY</x:v>
      </x:c>
      <x:c r="I971" s="43" t="n">
        <x:v>3</x:v>
      </x:c>
      <x:c r="J971" s="43" t="n">
        <x:v>13</x:v>
      </x:c>
      <x:c r="K971" s="43" t="str">
        <x:v>No boarders</x:v>
      </x:c>
      <x:c r="L971" s="43" t="str">
        <x:v>Does not have a sixth form</x:v>
      </x:c>
      <x:c r="M971" s="43" t="n">
        <x:v>223</x:v>
      </x:c>
      <x:c r="N971" s="43" t="str">
        <x:v>https://www.rosehillschool.co.uk</x:v>
      </x:c>
      <x:c r="O971" s="43" t="str">
        <x:v>01892525591</x:v>
      </x:c>
      <x:c r="P971" s="43" t="str"/>
      <x:c r="Q971" s="43" t="str"/>
      <x:c r="R971" s="43" t="str">
        <x:v>Queued for contact research</x:v>
      </x:c>
      <x:c r="S971" s="43" t="str">
        <x:v>Not reviewed</x:v>
      </x:c>
      <x:c r="T971" s="43" t="str">
        <x:v>Hold</x:v>
      </x:c>
      <x:c r="U971" s="43" t="str">
        <x:v>No</x:v>
      </x:c>
      <x:c r="V971" s="44"/>
      <x:c r="W971" s="43" t="str"/>
      <x:c r="X971" s="43" t="str"/>
      <x:c r="Y971" s="43" t="str"/>
      <x:c r="Z971" s="43" t="str">
        <x:v>https://www.get-information-schools.service.gov.uk/Downloads</x:v>
      </x:c>
    </x:row>
    <x:row r="972">
      <x:c r="A972" s="43" t="str">
        <x:v>UK independent</x:v>
      </x:c>
      <x:c r="B972" s="43" t="str">
        <x:v>106379</x:v>
      </x:c>
      <x:c r="C972" s="43" t="n">
        <x:f>IF(K972="Boarding school",30,0)+IF(J972&gt;=18,20,0)+IF(I972&lt;=11,10,0)+IF(L972="Has a sixth form",15,0)+IF(M972&gt;=200,10,0)+IF(N972&lt;&gt;"",10,0)</x:f>
        <x:v>30</x:v>
      </x:c>
      <x:c r="D972" s="43" t="str">
        <x:f>IF(C972&gt;=85,"A",IF(C972&gt;=65,"B","C"))</x:f>
        <x:v>C</x:v>
      </x:c>
      <x:c r="E972" s="43" t="str">
        <x:v>Altrincham Preparatory School</x:v>
      </x:c>
      <x:c r="F972" s="43" t="str">
        <x:v>Altrincham</x:v>
      </x:c>
      <x:c r="G972" s="43" t="str">
        <x:v>Cheshire</x:v>
      </x:c>
      <x:c r="H972" s="43" t="str">
        <x:v>WA14 2RR</x:v>
      </x:c>
      <x:c r="I972" s="43" t="n">
        <x:v>2</x:v>
      </x:c>
      <x:c r="J972" s="43" t="n">
        <x:v>11</x:v>
      </x:c>
      <x:c r="K972" s="43" t="str">
        <x:v>No boarders</x:v>
      </x:c>
      <x:c r="L972" s="43" t="str">
        <x:v>Does not have a sixth form</x:v>
      </x:c>
      <x:c r="M972" s="43" t="n">
        <x:v>222</x:v>
      </x:c>
      <x:c r="N972" s="43" t="str">
        <x:v>https://www.altprep.co.uk</x:v>
      </x:c>
      <x:c r="O972" s="43" t="str">
        <x:v>01619283366</x:v>
      </x:c>
      <x:c r="P972" s="43" t="str"/>
      <x:c r="Q972" s="43" t="str"/>
      <x:c r="R972" s="43" t="str">
        <x:v>Queued for contact research</x:v>
      </x:c>
      <x:c r="S972" s="43" t="str">
        <x:v>Not reviewed</x:v>
      </x:c>
      <x:c r="T972" s="43" t="str">
        <x:v>Hold</x:v>
      </x:c>
      <x:c r="U972" s="43" t="str">
        <x:v>No</x:v>
      </x:c>
      <x:c r="V972" s="44"/>
      <x:c r="W972" s="43" t="str"/>
      <x:c r="X972" s="43" t="str"/>
      <x:c r="Y972" s="43" t="str"/>
      <x:c r="Z972" s="43" t="str">
        <x:v>https://www.get-information-schools.service.gov.uk/Downloads</x:v>
      </x:c>
    </x:row>
    <x:row r="973">
      <x:c r="A973" s="43" t="str">
        <x:v>UK independent</x:v>
      </x:c>
      <x:c r="B973" s="43" t="str">
        <x:v>101178</x:v>
      </x:c>
      <x:c r="C973" s="43" t="n">
        <x:f>IF(K973="Boarding school",30,0)+IF(J973&gt;=18,20,0)+IF(I973&lt;=11,10,0)+IF(L973="Has a sixth form",15,0)+IF(M973&gt;=200,10,0)+IF(N973&lt;&gt;"",10,0)</x:f>
        <x:v>30</x:v>
      </x:c>
      <x:c r="D973" s="43" t="str">
        <x:f>IF(C973&gt;=85,"A",IF(C973&gt;=65,"B","C"))</x:f>
        <x:v>C</x:v>
      </x:c>
      <x:c r="E973" s="43" t="str">
        <x:v>Eaton Square Prep School</x:v>
      </x:c>
      <x:c r="F973" s="43" t="str"/>
      <x:c r="G973" s="43" t="str"/>
      <x:c r="H973" s="43" t="str">
        <x:v>SW1V 1PH</x:v>
      </x:c>
      <x:c r="I973" s="43" t="n">
        <x:v>2</x:v>
      </x:c>
      <x:c r="J973" s="43" t="n">
        <x:v>13</x:v>
      </x:c>
      <x:c r="K973" s="43" t="str">
        <x:v>No boarders</x:v>
      </x:c>
      <x:c r="L973" s="43" t="str">
        <x:v>Does not have a sixth form</x:v>
      </x:c>
      <x:c r="M973" s="43" t="n">
        <x:v>222</x:v>
      </x:c>
      <x:c r="N973" s="43" t="str">
        <x:v>https://www.eatonsquareschools.com</x:v>
      </x:c>
      <x:c r="O973" s="43" t="str">
        <x:v>02072253131</x:v>
      </x:c>
      <x:c r="P973" s="43" t="str"/>
      <x:c r="Q973" s="43" t="str"/>
      <x:c r="R973" s="43" t="str">
        <x:v>Queued for contact research</x:v>
      </x:c>
      <x:c r="S973" s="43" t="str">
        <x:v>Not reviewed</x:v>
      </x:c>
      <x:c r="T973" s="43" t="str">
        <x:v>Hold</x:v>
      </x:c>
      <x:c r="U973" s="43" t="str">
        <x:v>No</x:v>
      </x:c>
      <x:c r="V973" s="44"/>
      <x:c r="W973" s="43" t="str"/>
      <x:c r="X973" s="43" t="str"/>
      <x:c r="Y973" s="43" t="str"/>
      <x:c r="Z973" s="43" t="str">
        <x:v>https://www.get-information-schools.service.gov.uk/Downloads</x:v>
      </x:c>
    </x:row>
    <x:row r="974">
      <x:c r="A974" s="43" t="str">
        <x:v>UK independent</x:v>
      </x:c>
      <x:c r="B974" s="43" t="str">
        <x:v>102361</x:v>
      </x:c>
      <x:c r="C974" s="43" t="n">
        <x:f>IF(K974="Boarding school",30,0)+IF(J974&gt;=18,20,0)+IF(I974&lt;=11,10,0)+IF(L974="Has a sixth form",15,0)+IF(M974&gt;=200,10,0)+IF(N974&lt;&gt;"",10,0)</x:f>
        <x:v>30</x:v>
      </x:c>
      <x:c r="D974" s="43" t="str">
        <x:f>IF(C974&gt;=85,"A",IF(C974&gt;=65,"B","C"))</x:f>
        <x:v>C</x:v>
      </x:c>
      <x:c r="E974" s="43" t="str">
        <x:v>Oakfields Preparatory School</x:v>
      </x:c>
      <x:c r="F974" s="43" t="str">
        <x:v>Upminster</x:v>
      </x:c>
      <x:c r="G974" s="43" t="str">
        <x:v>Essex</x:v>
      </x:c>
      <x:c r="H974" s="43" t="str">
        <x:v>RM14 2YG</x:v>
      </x:c>
      <x:c r="I974" s="43" t="n">
        <x:v>3</x:v>
      </x:c>
      <x:c r="J974" s="43" t="n">
        <x:v>11</x:v>
      </x:c>
      <x:c r="K974" s="43" t="str">
        <x:v>No boarders</x:v>
      </x:c>
      <x:c r="L974" s="43" t="str">
        <x:v>Does not have a sixth form</x:v>
      </x:c>
      <x:c r="M974" s="43" t="n">
        <x:v>221</x:v>
      </x:c>
      <x:c r="N974" s="43" t="str">
        <x:v>https://www.oakfieldspreparatoryschool.co.uk/</x:v>
      </x:c>
      <x:c r="O974" s="43" t="str">
        <x:v>01708220117</x:v>
      </x:c>
      <x:c r="P974" s="43" t="str"/>
      <x:c r="Q974" s="43" t="str"/>
      <x:c r="R974" s="43" t="str">
        <x:v>Queued for contact research</x:v>
      </x:c>
      <x:c r="S974" s="43" t="str">
        <x:v>Not reviewed</x:v>
      </x:c>
      <x:c r="T974" s="43" t="str">
        <x:v>Hold</x:v>
      </x:c>
      <x:c r="U974" s="43" t="str">
        <x:v>No</x:v>
      </x:c>
      <x:c r="V974" s="44"/>
      <x:c r="W974" s="43" t="str"/>
      <x:c r="X974" s="43" t="str"/>
      <x:c r="Y974" s="43" t="str"/>
      <x:c r="Z974" s="43" t="str">
        <x:v>https://www.get-information-schools.service.gov.uk/Downloads</x:v>
      </x:c>
    </x:row>
    <x:row r="975">
      <x:c r="A975" s="43" t="str">
        <x:v>UK independent</x:v>
      </x:c>
      <x:c r="B975" s="43" t="str">
        <x:v>119820</x:v>
      </x:c>
      <x:c r="C975" s="43" t="n">
        <x:f>IF(K975="Boarding school",30,0)+IF(J975&gt;=18,20,0)+IF(I975&lt;=11,10,0)+IF(L975="Has a sixth form",15,0)+IF(M975&gt;=200,10,0)+IF(N975&lt;&gt;"",10,0)</x:f>
        <x:v>30</x:v>
      </x:c>
      <x:c r="D975" s="43" t="str">
        <x:f>IF(C975&gt;=85,"A",IF(C975&gt;=65,"B","C"))</x:f>
        <x:v>C</x:v>
      </x:c>
      <x:c r="E975" s="43" t="str">
        <x:v>Moorland School Limited</x:v>
      </x:c>
      <x:c r="F975" s="43" t="str">
        <x:v>Clitheroe</x:v>
      </x:c>
      <x:c r="G975" s="43" t="str">
        <x:v>Lancashire</x:v>
      </x:c>
      <x:c r="H975" s="43" t="str">
        <x:v>BB7 2JA</x:v>
      </x:c>
      <x:c r="I975" s="43" t="n">
        <x:v>4</x:v>
      </x:c>
      <x:c r="J975" s="43" t="n">
        <x:v>11</x:v>
      </x:c>
      <x:c r="K975" s="43" t="str">
        <x:v>No boarders</x:v>
      </x:c>
      <x:c r="L975" s="43" t="str">
        <x:v>Does not have a sixth form</x:v>
      </x:c>
      <x:c r="M975" s="43" t="n">
        <x:v>220</x:v>
      </x:c>
      <x:c r="N975" s="43" t="str">
        <x:v>https://moorlandschool.co.uk/</x:v>
      </x:c>
      <x:c r="O975" s="43" t="str">
        <x:v>01200423833</x:v>
      </x:c>
      <x:c r="P975" s="43" t="str"/>
      <x:c r="Q975" s="43" t="str"/>
      <x:c r="R975" s="43" t="str">
        <x:v>Queued for contact research</x:v>
      </x:c>
      <x:c r="S975" s="43" t="str">
        <x:v>Not reviewed</x:v>
      </x:c>
      <x:c r="T975" s="43" t="str">
        <x:v>Hold</x:v>
      </x:c>
      <x:c r="U975" s="43" t="str">
        <x:v>No</x:v>
      </x:c>
      <x:c r="V975" s="44"/>
      <x:c r="W975" s="43" t="str"/>
      <x:c r="X975" s="43" t="str"/>
      <x:c r="Y975" s="43" t="str"/>
      <x:c r="Z975" s="43" t="str">
        <x:v>https://www.get-information-schools.service.gov.uk/Downloads</x:v>
      </x:c>
    </x:row>
    <x:row r="976">
      <x:c r="A976" s="43" t="str">
        <x:v>UK independent</x:v>
      </x:c>
      <x:c r="B976" s="43" t="str">
        <x:v>115403</x:v>
      </x:c>
      <x:c r="C976" s="43" t="n">
        <x:f>IF(K976="Boarding school",30,0)+IF(J976&gt;=18,20,0)+IF(I976&lt;=11,10,0)+IF(L976="Has a sixth form",15,0)+IF(M976&gt;=200,10,0)+IF(N976&lt;&gt;"",10,0)</x:f>
        <x:v>30</x:v>
      </x:c>
      <x:c r="D976" s="43" t="str">
        <x:f>IF(C976&gt;=85,"A",IF(C976&gt;=65,"B","C"))</x:f>
        <x:v>C</x:v>
      </x:c>
      <x:c r="E976" s="43" t="str">
        <x:v>Alleyn Court Preparatory School</x:v>
      </x:c>
      <x:c r="F976" s="43" t="str">
        <x:v>Southend-on-Sea</x:v>
      </x:c>
      <x:c r="G976" s="43" t="str">
        <x:v>Essex</x:v>
      </x:c>
      <x:c r="H976" s="43" t="str">
        <x:v>SS3 0PW</x:v>
      </x:c>
      <x:c r="I976" s="43" t="n">
        <x:v>2</x:v>
      </x:c>
      <x:c r="J976" s="43" t="n">
        <x:v>11</x:v>
      </x:c>
      <x:c r="K976" s="43" t="str">
        <x:v>No boarders</x:v>
      </x:c>
      <x:c r="L976" s="43" t="str">
        <x:v>Does not have a sixth form</x:v>
      </x:c>
      <x:c r="M976" s="43" t="n">
        <x:v>218</x:v>
      </x:c>
      <x:c r="N976" s="43" t="str">
        <x:v>https://www.alleyn-court.co.uk</x:v>
      </x:c>
      <x:c r="O976" s="43" t="str">
        <x:v>01702582553</x:v>
      </x:c>
      <x:c r="P976" s="43" t="str"/>
      <x:c r="Q976" s="43" t="str"/>
      <x:c r="R976" s="43" t="str">
        <x:v>Queued for contact research</x:v>
      </x:c>
      <x:c r="S976" s="43" t="str">
        <x:v>Not reviewed</x:v>
      </x:c>
      <x:c r="T976" s="43" t="str">
        <x:v>Hold</x:v>
      </x:c>
      <x:c r="U976" s="43" t="str">
        <x:v>No</x:v>
      </x:c>
      <x:c r="V976" s="44"/>
      <x:c r="W976" s="43" t="str"/>
      <x:c r="X976" s="43" t="str"/>
      <x:c r="Y976" s="43" t="str"/>
      <x:c r="Z976" s="43" t="str">
        <x:v>https://www.get-information-schools.service.gov.uk/Downloads</x:v>
      </x:c>
    </x:row>
    <x:row r="977">
      <x:c r="A977" s="43" t="str">
        <x:v>UK independent</x:v>
      </x:c>
      <x:c r="B977" s="43" t="str">
        <x:v>102933</x:v>
      </x:c>
      <x:c r="C977" s="43" t="n">
        <x:f>IF(K977="Boarding school",30,0)+IF(J977&gt;=18,20,0)+IF(I977&lt;=11,10,0)+IF(L977="Has a sixth form",15,0)+IF(M977&gt;=200,10,0)+IF(N977&lt;&gt;"",10,0)</x:f>
        <x:v>30</x:v>
      </x:c>
      <x:c r="D977" s="43" t="str">
        <x:f>IF(C977&gt;=85,"A",IF(C977&gt;=65,"B","C"))</x:f>
        <x:v>C</x:v>
      </x:c>
      <x:c r="E977" s="43" t="str">
        <x:v>The Mall School</x:v>
      </x:c>
      <x:c r="F977" s="43" t="str">
        <x:v>Twickenham</x:v>
      </x:c>
      <x:c r="G977" s="43" t="str"/>
      <x:c r="H977" s="43" t="str">
        <x:v>TW2 5NQ</x:v>
      </x:c>
      <x:c r="I977" s="43" t="n">
        <x:v>0</x:v>
      </x:c>
      <x:c r="J977" s="43" t="n">
        <x:v>11</x:v>
      </x:c>
      <x:c r="K977" s="43" t="str">
        <x:v>No boarders</x:v>
      </x:c>
      <x:c r="L977" s="43" t="str">
        <x:v>Does not have a sixth form</x:v>
      </x:c>
      <x:c r="M977" s="43" t="n">
        <x:v>218</x:v>
      </x:c>
      <x:c r="N977" s="43" t="str">
        <x:v>https://www.themallschool.org.uk</x:v>
      </x:c>
      <x:c r="O977" s="43" t="str">
        <x:v>02089772523</x:v>
      </x:c>
      <x:c r="P977" s="43" t="str"/>
      <x:c r="Q977" s="43" t="str"/>
      <x:c r="R977" s="43" t="str">
        <x:v>Queued for contact research</x:v>
      </x:c>
      <x:c r="S977" s="43" t="str">
        <x:v>Not reviewed</x:v>
      </x:c>
      <x:c r="T977" s="43" t="str">
        <x:v>Hold</x:v>
      </x:c>
      <x:c r="U977" s="43" t="str">
        <x:v>No</x:v>
      </x:c>
      <x:c r="V977" s="44"/>
      <x:c r="W977" s="43" t="str"/>
      <x:c r="X977" s="43" t="str"/>
      <x:c r="Y977" s="43" t="str"/>
      <x:c r="Z977" s="43" t="str">
        <x:v>https://www.get-information-schools.service.gov.uk/Downloads</x:v>
      </x:c>
    </x:row>
    <x:row r="978">
      <x:c r="A978" s="43" t="str">
        <x:v>UK independent</x:v>
      </x:c>
      <x:c r="B978" s="43" t="str">
        <x:v>109350</x:v>
      </x:c>
      <x:c r="C978" s="43" t="n">
        <x:f>IF(K978="Boarding school",30,0)+IF(J978&gt;=18,20,0)+IF(I978&lt;=11,10,0)+IF(L978="Has a sixth form",15,0)+IF(M978&gt;=200,10,0)+IF(N978&lt;&gt;"",10,0)</x:f>
        <x:v>30</x:v>
      </x:c>
      <x:c r="D978" s="43" t="str">
        <x:f>IF(C978&gt;=85,"A",IF(C978&gt;=65,"B","C"))</x:f>
        <x:v>C</x:v>
      </x:c>
      <x:c r="E978" s="43" t="str">
        <x:v>The Paragon School, Junior School of Prior Park College</x:v>
      </x:c>
      <x:c r="F978" s="43" t="str">
        <x:v>Bath</x:v>
      </x:c>
      <x:c r="G978" s="43" t="str"/>
      <x:c r="H978" s="43" t="str">
        <x:v>BA2 4LT</x:v>
      </x:c>
      <x:c r="I978" s="43" t="n">
        <x:v>3</x:v>
      </x:c>
      <x:c r="J978" s="43" t="n">
        <x:v>11</x:v>
      </x:c>
      <x:c r="K978" s="43" t="str">
        <x:v>No boarders</x:v>
      </x:c>
      <x:c r="L978" s="43" t="str">
        <x:v>Does not have a sixth form</x:v>
      </x:c>
      <x:c r="M978" s="43" t="n">
        <x:v>218</x:v>
      </x:c>
      <x:c r="N978" s="43" t="str">
        <x:v>https://www.paragonschool.co.uk</x:v>
      </x:c>
      <x:c r="O978" s="43" t="str">
        <x:v>01225310837</x:v>
      </x:c>
      <x:c r="P978" s="43" t="str"/>
      <x:c r="Q978" s="43" t="str"/>
      <x:c r="R978" s="43" t="str">
        <x:v>Queued for contact research</x:v>
      </x:c>
      <x:c r="S978" s="43" t="str">
        <x:v>Not reviewed</x:v>
      </x:c>
      <x:c r="T978" s="43" t="str">
        <x:v>Hold</x:v>
      </x:c>
      <x:c r="U978" s="43" t="str">
        <x:v>No</x:v>
      </x:c>
      <x:c r="V978" s="44"/>
      <x:c r="W978" s="43" t="str"/>
      <x:c r="X978" s="43" t="str"/>
      <x:c r="Y978" s="43" t="str"/>
      <x:c r="Z978" s="43" t="str">
        <x:v>https://www.get-information-schools.service.gov.uk/Downloads</x:v>
      </x:c>
    </x:row>
    <x:row r="979">
      <x:c r="A979" s="43" t="str">
        <x:v>UK independent</x:v>
      </x:c>
      <x:c r="B979" s="43" t="str">
        <x:v>133349</x:v>
      </x:c>
      <x:c r="C979" s="43" t="n">
        <x:f>IF(K979="Boarding school",30,0)+IF(J979&gt;=18,20,0)+IF(I979&lt;=11,10,0)+IF(L979="Has a sixth form",15,0)+IF(M979&gt;=200,10,0)+IF(N979&lt;&gt;"",10,0)</x:f>
        <x:v>30</x:v>
      </x:c>
      <x:c r="D979" s="43" t="str">
        <x:f>IF(C979&gt;=85,"A",IF(C979&gt;=65,"B","C"))</x:f>
        <x:v>C</x:v>
      </x:c>
      <x:c r="E979" s="43" t="str">
        <x:v>Jameah Academy</x:v>
      </x:c>
      <x:c r="F979" s="43" t="str">
        <x:v>Leicester</x:v>
      </x:c>
      <x:c r="G979" s="43" t="str">
        <x:v>Leicestershire</x:v>
      </x:c>
      <x:c r="H979" s="43" t="str">
        <x:v>LE5 3SD</x:v>
      </x:c>
      <x:c r="I979" s="43" t="n">
        <x:v>5</x:v>
      </x:c>
      <x:c r="J979" s="43" t="n">
        <x:v>16</x:v>
      </x:c>
      <x:c r="K979" s="43" t="str">
        <x:v>No boarders</x:v>
      </x:c>
      <x:c r="L979" s="43" t="str">
        <x:v>Does not have a sixth form</x:v>
      </x:c>
      <x:c r="M979" s="43" t="n">
        <x:v>217</x:v>
      </x:c>
      <x:c r="N979" s="43" t="str">
        <x:v>https://www.jameahgirlsacademy.com</x:v>
      </x:c>
      <x:c r="O979" s="43" t="str">
        <x:v>01162627745</x:v>
      </x:c>
      <x:c r="P979" s="43" t="str"/>
      <x:c r="Q979" s="43" t="str"/>
      <x:c r="R979" s="43" t="str">
        <x:v>Queued for contact research</x:v>
      </x:c>
      <x:c r="S979" s="43" t="str">
        <x:v>Not reviewed</x:v>
      </x:c>
      <x:c r="T979" s="43" t="str">
        <x:v>Hold</x:v>
      </x:c>
      <x:c r="U979" s="43" t="str">
        <x:v>No</x:v>
      </x:c>
      <x:c r="V979" s="44"/>
      <x:c r="W979" s="43" t="str"/>
      <x:c r="X979" s="43" t="str"/>
      <x:c r="Y979" s="43" t="str"/>
      <x:c r="Z979" s="43" t="str">
        <x:v>https://www.get-information-schools.service.gov.uk/Downloads</x:v>
      </x:c>
    </x:row>
    <x:row r="980">
      <x:c r="A980" s="43" t="str">
        <x:v>UK independent</x:v>
      </x:c>
      <x:c r="B980" s="43" t="str">
        <x:v>100201</x:v>
      </x:c>
      <x:c r="C980" s="43" t="n">
        <x:f>IF(K980="Boarding school",30,0)+IF(J980&gt;=18,20,0)+IF(I980&lt;=11,10,0)+IF(L980="Has a sixth form",15,0)+IF(M980&gt;=200,10,0)+IF(N980&lt;&gt;"",10,0)</x:f>
        <x:v>30</x:v>
      </x:c>
      <x:c r="D980" s="43" t="str">
        <x:f>IF(C980&gt;=85,"A",IF(C980&gt;=65,"B","C"))</x:f>
        <x:v>C</x:v>
      </x:c>
      <x:c r="E980" s="43" t="str">
        <x:v>St Olave's Prep School</x:v>
      </x:c>
      <x:c r="F980" s="43" t="str">
        <x:v>London</x:v>
      </x:c>
      <x:c r="G980" s="43" t="str"/>
      <x:c r="H980" s="43" t="str">
        <x:v>SE9 3QS</x:v>
      </x:c>
      <x:c r="I980" s="43" t="n">
        <x:v>3</x:v>
      </x:c>
      <x:c r="J980" s="43" t="n">
        <x:v>11</x:v>
      </x:c>
      <x:c r="K980" s="43" t="str">
        <x:v>No boarders</x:v>
      </x:c>
      <x:c r="L980" s="43" t="str">
        <x:v>Does not have a sixth form</x:v>
      </x:c>
      <x:c r="M980" s="43" t="n">
        <x:v>217</x:v>
      </x:c>
      <x:c r="N980" s="43" t="str">
        <x:v>https://www.stolaves.org.uk</x:v>
      </x:c>
      <x:c r="O980" s="43" t="str">
        <x:v>02082948930</x:v>
      </x:c>
      <x:c r="P980" s="43" t="str"/>
      <x:c r="Q980" s="43" t="str"/>
      <x:c r="R980" s="43" t="str">
        <x:v>Queued for contact research</x:v>
      </x:c>
      <x:c r="S980" s="43" t="str">
        <x:v>Not reviewed</x:v>
      </x:c>
      <x:c r="T980" s="43" t="str">
        <x:v>Hold</x:v>
      </x:c>
      <x:c r="U980" s="43" t="str">
        <x:v>No</x:v>
      </x:c>
      <x:c r="V980" s="44"/>
      <x:c r="W980" s="43" t="str"/>
      <x:c r="X980" s="43" t="str"/>
      <x:c r="Y980" s="43" t="str"/>
      <x:c r="Z980" s="43" t="str">
        <x:v>https://www.get-information-schools.service.gov.uk/Downloads</x:v>
      </x:c>
    </x:row>
    <x:row r="981">
      <x:c r="A981" s="43" t="str">
        <x:v>UK independent</x:v>
      </x:c>
      <x:c r="B981" s="43" t="str">
        <x:v>100644</x:v>
      </x:c>
      <x:c r="C981" s="43" t="n">
        <x:f>IF(K981="Boarding school",30,0)+IF(J981&gt;=18,20,0)+IF(I981&lt;=11,10,0)+IF(L981="Has a sixth form",15,0)+IF(M981&gt;=200,10,0)+IF(N981&lt;&gt;"",10,0)</x:f>
        <x:v>30</x:v>
      </x:c>
      <x:c r="D981" s="43" t="str">
        <x:f>IF(C981&gt;=85,"A",IF(C981&gt;=65,"B","C"))</x:f>
        <x:v>C</x:v>
      </x:c>
      <x:c r="E981" s="43" t="str">
        <x:v>Alleyn's Oakfield</x:v>
      </x:c>
      <x:c r="F981" s="43" t="str"/>
      <x:c r="G981" s="43" t="str"/>
      <x:c r="H981" s="43" t="str">
        <x:v>SE21 8HP</x:v>
      </x:c>
      <x:c r="I981" s="43" t="n">
        <x:v>2</x:v>
      </x:c>
      <x:c r="J981" s="43" t="n">
        <x:v>11</x:v>
      </x:c>
      <x:c r="K981" s="43" t="str">
        <x:v>No boarders</x:v>
      </x:c>
      <x:c r="L981" s="43" t="str">
        <x:v>Does not have a sixth form</x:v>
      </x:c>
      <x:c r="M981" s="43" t="n">
        <x:v>215</x:v>
      </x:c>
      <x:c r="N981" s="43" t="str">
        <x:v>https://www.alleyns.org.uk/alleyn-s-oakfield</x:v>
      </x:c>
      <x:c r="O981" s="43" t="str">
        <x:v>02086704206</x:v>
      </x:c>
      <x:c r="P981" s="43" t="str"/>
      <x:c r="Q981" s="43" t="str"/>
      <x:c r="R981" s="43" t="str">
        <x:v>Queued for contact research</x:v>
      </x:c>
      <x:c r="S981" s="43" t="str">
        <x:v>Not reviewed</x:v>
      </x:c>
      <x:c r="T981" s="43" t="str">
        <x:v>Hold</x:v>
      </x:c>
      <x:c r="U981" s="43" t="str">
        <x:v>No</x:v>
      </x:c>
      <x:c r="V981" s="44"/>
      <x:c r="W981" s="43" t="str"/>
      <x:c r="X981" s="43" t="str"/>
      <x:c r="Y981" s="43" t="str"/>
      <x:c r="Z981" s="43" t="str">
        <x:v>https://www.get-information-schools.service.gov.uk/Downloads</x:v>
      </x:c>
    </x:row>
    <x:row r="982">
      <x:c r="A982" s="43" t="str">
        <x:v>UK independent</x:v>
      </x:c>
      <x:c r="B982" s="43" t="str">
        <x:v>136425</x:v>
      </x:c>
      <x:c r="C982" s="43" t="n">
        <x:f>IF(K982="Boarding school",30,0)+IF(J982&gt;=18,20,0)+IF(I982&lt;=11,10,0)+IF(L982="Has a sixth form",15,0)+IF(M982&gt;=200,10,0)+IF(N982&lt;&gt;"",10,0)</x:f>
        <x:v>30</x:v>
      </x:c>
      <x:c r="D982" s="43" t="str">
        <x:f>IF(C982&gt;=85,"A",IF(C982&gt;=65,"B","C"))</x:f>
        <x:v>C</x:v>
      </x:c>
      <x:c r="E982" s="43" t="str">
        <x:v>Green Crescent School</x:v>
      </x:c>
      <x:c r="F982" s="43" t="str">
        <x:v>Nottingham</x:v>
      </x:c>
      <x:c r="G982" s="43" t="str">
        <x:v>Nottinghamshire</x:v>
      </x:c>
      <x:c r="H982" s="43" t="str">
        <x:v>NG6 0DG</x:v>
      </x:c>
      <x:c r="I982" s="43" t="n">
        <x:v>4</x:v>
      </x:c>
      <x:c r="J982" s="43" t="n">
        <x:v>11</x:v>
      </x:c>
      <x:c r="K982" s="43" t="str">
        <x:v>No boarders</x:v>
      </x:c>
      <x:c r="L982" s="43" t="str">
        <x:v>Does not have a sixth form</x:v>
      </x:c>
      <x:c r="M982" s="43" t="n">
        <x:v>215</x:v>
      </x:c>
      <x:c r="N982" s="43" t="str">
        <x:v>https://www.greencrescent.co.uk</x:v>
      </x:c>
      <x:c r="O982" s="43" t="str">
        <x:v>01158371338</x:v>
      </x:c>
      <x:c r="P982" s="43" t="str"/>
      <x:c r="Q982" s="43" t="str"/>
      <x:c r="R982" s="43" t="str">
        <x:v>Queued for contact research</x:v>
      </x:c>
      <x:c r="S982" s="43" t="str">
        <x:v>Not reviewed</x:v>
      </x:c>
      <x:c r="T982" s="43" t="str">
        <x:v>Hold</x:v>
      </x:c>
      <x:c r="U982" s="43" t="str">
        <x:v>No</x:v>
      </x:c>
      <x:c r="V982" s="44"/>
      <x:c r="W982" s="43" t="str"/>
      <x:c r="X982" s="43" t="str"/>
      <x:c r="Y982" s="43" t="str"/>
      <x:c r="Z982" s="43" t="str">
        <x:v>https://www.get-information-schools.service.gov.uk/Downloads</x:v>
      </x:c>
    </x:row>
    <x:row r="983">
      <x:c r="A983" s="43" t="str">
        <x:v>UK independent</x:v>
      </x:c>
      <x:c r="B983" s="43" t="str">
        <x:v>106148</x:v>
      </x:c>
      <x:c r="C983" s="43" t="n">
        <x:f>IF(K983="Boarding school",30,0)+IF(J983&gt;=18,20,0)+IF(I983&lt;=11,10,0)+IF(L983="Has a sixth form",15,0)+IF(M983&gt;=200,10,0)+IF(N983&lt;&gt;"",10,0)</x:f>
        <x:v>30</x:v>
      </x:c>
      <x:c r="D983" s="43" t="str">
        <x:f>IF(C983&gt;=85,"A",IF(C983&gt;=65,"B","C"))</x:f>
        <x:v>C</x:v>
      </x:c>
      <x:c r="E983" s="43" t="str">
        <x:v>Greenbank Preparatory School</x:v>
      </x:c>
      <x:c r="F983" s="43" t="str">
        <x:v>Cheadle</x:v>
      </x:c>
      <x:c r="G983" s="43" t="str">
        <x:v>Cheshire</x:v>
      </x:c>
      <x:c r="H983" s="43" t="str">
        <x:v>SK8 6HU</x:v>
      </x:c>
      <x:c r="I983" s="43" t="n">
        <x:v>2</x:v>
      </x:c>
      <x:c r="J983" s="43" t="n">
        <x:v>11</x:v>
      </x:c>
      <x:c r="K983" s="43" t="str">
        <x:v>No boarders</x:v>
      </x:c>
      <x:c r="L983" s="43" t="str">
        <x:v>Does not have a sixth form</x:v>
      </x:c>
      <x:c r="M983" s="43" t="n">
        <x:v>215</x:v>
      </x:c>
      <x:c r="N983" s="43" t="str">
        <x:v>https://www.greenbankschool.co.uk</x:v>
      </x:c>
      <x:c r="O983" s="43" t="str">
        <x:v>01614853724</x:v>
      </x:c>
      <x:c r="P983" s="43" t="str"/>
      <x:c r="Q983" s="43" t="str"/>
      <x:c r="R983" s="43" t="str">
        <x:v>Queued for contact research</x:v>
      </x:c>
      <x:c r="S983" s="43" t="str">
        <x:v>Not reviewed</x:v>
      </x:c>
      <x:c r="T983" s="43" t="str">
        <x:v>Hold</x:v>
      </x:c>
      <x:c r="U983" s="43" t="str">
        <x:v>No</x:v>
      </x:c>
      <x:c r="V983" s="44"/>
      <x:c r="W983" s="43" t="str"/>
      <x:c r="X983" s="43" t="str"/>
      <x:c r="Y983" s="43" t="str"/>
      <x:c r="Z983" s="43" t="str">
        <x:v>https://www.get-information-schools.service.gov.uk/Downloads</x:v>
      </x:c>
    </x:row>
    <x:row r="984">
      <x:c r="A984" s="43" t="str">
        <x:v>UK independent</x:v>
      </x:c>
      <x:c r="B984" s="43" t="str">
        <x:v>107794</x:v>
      </x:c>
      <x:c r="C984" s="43" t="n">
        <x:f>IF(K984="Boarding school",30,0)+IF(J984&gt;=18,20,0)+IF(I984&lt;=11,10,0)+IF(L984="Has a sixth form",15,0)+IF(M984&gt;=200,10,0)+IF(N984&lt;&gt;"",10,0)</x:f>
        <x:v>30</x:v>
      </x:c>
      <x:c r="D984" s="43" t="str">
        <x:f>IF(C984&gt;=85,"A",IF(C984&gt;=65,"B","C"))</x:f>
        <x:v>C</x:v>
      </x:c>
      <x:c r="E984" s="43" t="str">
        <x:v>Madni Academy</x:v>
      </x:c>
      <x:c r="F984" s="43" t="str">
        <x:v>Dewsbury</x:v>
      </x:c>
      <x:c r="G984" s="43" t="str">
        <x:v>West Yorkshire</x:v>
      </x:c>
      <x:c r="H984" s="43" t="str">
        <x:v>WF12 9AY</x:v>
      </x:c>
      <x:c r="I984" s="43" t="n">
        <x:v>2</x:v>
      </x:c>
      <x:c r="J984" s="43" t="n">
        <x:v>16</x:v>
      </x:c>
      <x:c r="K984" s="43" t="str">
        <x:v>No boarders</x:v>
      </x:c>
      <x:c r="L984" s="43" t="str">
        <x:v>Does not have a sixth form</x:v>
      </x:c>
      <x:c r="M984" s="43" t="n">
        <x:v>215</x:v>
      </x:c>
      <x:c r="N984" s="43" t="str">
        <x:v>https://www.madnimuslimgirls.org.uk</x:v>
      </x:c>
      <x:c r="O984" s="43" t="str">
        <x:v>01924500335</x:v>
      </x:c>
      <x:c r="P984" s="43" t="str"/>
      <x:c r="Q984" s="43" t="str"/>
      <x:c r="R984" s="43" t="str">
        <x:v>Queued for contact research</x:v>
      </x:c>
      <x:c r="S984" s="43" t="str">
        <x:v>Not reviewed</x:v>
      </x:c>
      <x:c r="T984" s="43" t="str">
        <x:v>Hold</x:v>
      </x:c>
      <x:c r="U984" s="43" t="str">
        <x:v>No</x:v>
      </x:c>
      <x:c r="V984" s="44"/>
      <x:c r="W984" s="43" t="str"/>
      <x:c r="X984" s="43" t="str"/>
      <x:c r="Y984" s="43" t="str"/>
      <x:c r="Z984" s="43" t="str">
        <x:v>https://www.get-information-schools.service.gov.uk/Downloads</x:v>
      </x:c>
    </x:row>
    <x:row r="985">
      <x:c r="A985" s="43" t="str">
        <x:v>UK independent</x:v>
      </x:c>
      <x:c r="B985" s="43" t="str">
        <x:v>118971</x:v>
      </x:c>
      <x:c r="C985" s="43" t="n">
        <x:f>IF(K985="Boarding school",30,0)+IF(J985&gt;=18,20,0)+IF(I985&lt;=11,10,0)+IF(L985="Has a sixth form",15,0)+IF(M985&gt;=200,10,0)+IF(N985&lt;&gt;"",10,0)</x:f>
        <x:v>30</x:v>
      </x:c>
      <x:c r="D985" s="43" t="str">
        <x:f>IF(C985&gt;=85,"A",IF(C985&gt;=65,"B","C"))</x:f>
        <x:v>C</x:v>
      </x:c>
      <x:c r="E985" s="43" t="str">
        <x:v>The Granville School</x:v>
      </x:c>
      <x:c r="F985" s="43" t="str">
        <x:v>Sevenoaks</x:v>
      </x:c>
      <x:c r="G985" s="43" t="str">
        <x:v>Kent</x:v>
      </x:c>
      <x:c r="H985" s="43" t="str">
        <x:v>TN13 3LJ</x:v>
      </x:c>
      <x:c r="I985" s="43" t="n">
        <x:v>3</x:v>
      </x:c>
      <x:c r="J985" s="43" t="n">
        <x:v>11</x:v>
      </x:c>
      <x:c r="K985" s="43" t="str">
        <x:v>No boarders</x:v>
      </x:c>
      <x:c r="L985" s="43" t="str">
        <x:v>Does not have a sixth form</x:v>
      </x:c>
      <x:c r="M985" s="43" t="n">
        <x:v>215</x:v>
      </x:c>
      <x:c r="N985" s="43" t="str">
        <x:v>https://www.granvilleschool.org</x:v>
      </x:c>
      <x:c r="O985" s="43" t="str">
        <x:v>01732453039</x:v>
      </x:c>
      <x:c r="P985" s="43" t="str"/>
      <x:c r="Q985" s="43" t="str"/>
      <x:c r="R985" s="43" t="str">
        <x:v>Queued for contact research</x:v>
      </x:c>
      <x:c r="S985" s="43" t="str">
        <x:v>Not reviewed</x:v>
      </x:c>
      <x:c r="T985" s="43" t="str">
        <x:v>Hold</x:v>
      </x:c>
      <x:c r="U985" s="43" t="str">
        <x:v>No</x:v>
      </x:c>
      <x:c r="V985" s="44"/>
      <x:c r="W985" s="43" t="str"/>
      <x:c r="X985" s="43" t="str"/>
      <x:c r="Y985" s="43" t="str"/>
      <x:c r="Z985" s="43" t="str">
        <x:v>https://www.get-information-schools.service.gov.uk/Downloads</x:v>
      </x:c>
    </x:row>
    <x:row r="986">
      <x:c r="A986" s="43" t="str">
        <x:v>UK independent</x:v>
      </x:c>
      <x:c r="B986" s="43" t="str">
        <x:v>102165</x:v>
      </x:c>
      <x:c r="C986" s="43" t="n">
        <x:f>IF(K986="Boarding school",30,0)+IF(J986&gt;=18,20,0)+IF(I986&lt;=11,10,0)+IF(L986="Has a sixth form",15,0)+IF(M986&gt;=200,10,0)+IF(N986&lt;&gt;"",10,0)</x:f>
        <x:v>30</x:v>
      </x:c>
      <x:c r="D986" s="43" t="str">
        <x:f>IF(C986&gt;=85,"A",IF(C986&gt;=65,"B","C"))</x:f>
        <x:v>C</x:v>
      </x:c>
      <x:c r="E986" s="43" t="str">
        <x:v>Norfolk House School</x:v>
      </x:c>
      <x:c r="F986" s="43" t="str"/>
      <x:c r="G986" s="43" t="str"/>
      <x:c r="H986" s="43" t="str">
        <x:v>N10 2EG</x:v>
      </x:c>
      <x:c r="I986" s="43" t="n">
        <x:v>2</x:v>
      </x:c>
      <x:c r="J986" s="43" t="n">
        <x:v>11</x:v>
      </x:c>
      <x:c r="K986" s="43" t="str">
        <x:v>No boarders</x:v>
      </x:c>
      <x:c r="L986" s="43" t="str">
        <x:v>Does not have a sixth form</x:v>
      </x:c>
      <x:c r="M986" s="43" t="n">
        <x:v>214</x:v>
      </x:c>
      <x:c r="N986" s="43" t="str">
        <x:v>https://www.norfolkhouseschool.org</x:v>
      </x:c>
      <x:c r="O986" s="43" t="str">
        <x:v>02088834584</x:v>
      </x:c>
      <x:c r="P986" s="43" t="str"/>
      <x:c r="Q986" s="43" t="str"/>
      <x:c r="R986" s="43" t="str">
        <x:v>Queued for contact research</x:v>
      </x:c>
      <x:c r="S986" s="43" t="str">
        <x:v>Not reviewed</x:v>
      </x:c>
      <x:c r="T986" s="43" t="str">
        <x:v>Hold</x:v>
      </x:c>
      <x:c r="U986" s="43" t="str">
        <x:v>No</x:v>
      </x:c>
      <x:c r="V986" s="44"/>
      <x:c r="W986" s="43" t="str"/>
      <x:c r="X986" s="43" t="str"/>
      <x:c r="Y986" s="43" t="str"/>
      <x:c r="Z986" s="43" t="str">
        <x:v>https://www.get-information-schools.service.gov.uk/Downloads</x:v>
      </x:c>
    </x:row>
    <x:row r="987">
      <x:c r="A987" s="43" t="str">
        <x:v>UK independent</x:v>
      </x:c>
      <x:c r="B987" s="43" t="str">
        <x:v>144816</x:v>
      </x:c>
      <x:c r="C987" s="43" t="n">
        <x:f>IF(K987="Boarding school",30,0)+IF(J987&gt;=18,20,0)+IF(I987&lt;=11,10,0)+IF(L987="Has a sixth form",15,0)+IF(M987&gt;=200,10,0)+IF(N987&lt;&gt;"",10,0)</x:f>
        <x:v>30</x:v>
      </x:c>
      <x:c r="D987" s="43" t="str">
        <x:f>IF(C987&gt;=85,"A",IF(C987&gt;=65,"B","C"))</x:f>
        <x:v>C</x:v>
      </x:c>
      <x:c r="E987" s="43" t="str">
        <x:v>Olive High</x:v>
      </x:c>
      <x:c r="F987" s="43" t="str"/>
      <x:c r="G987" s="43" t="str"/>
      <x:c r="H987" s="43" t="str">
        <x:v>BB11 2RY</x:v>
      </x:c>
      <x:c r="I987" s="43" t="n">
        <x:v>11</x:v>
      </x:c>
      <x:c r="J987" s="43" t="n">
        <x:v>16</x:v>
      </x:c>
      <x:c r="K987" s="43" t="str">
        <x:v>No boarders</x:v>
      </x:c>
      <x:c r="L987" s="43" t="str">
        <x:v>Does not have a sixth form</x:v>
      </x:c>
      <x:c r="M987" s="43" t="n">
        <x:v>214</x:v>
      </x:c>
      <x:c r="N987" s="43" t="str">
        <x:v>https://www.olivehigh.co.uk</x:v>
      </x:c>
      <x:c r="O987" s="43" t="str">
        <x:v>01282428384</x:v>
      </x:c>
      <x:c r="P987" s="43" t="str"/>
      <x:c r="Q987" s="43" t="str"/>
      <x:c r="R987" s="43" t="str">
        <x:v>Queued for contact research</x:v>
      </x:c>
      <x:c r="S987" s="43" t="str">
        <x:v>Not reviewed</x:v>
      </x:c>
      <x:c r="T987" s="43" t="str">
        <x:v>Hold</x:v>
      </x:c>
      <x:c r="U987" s="43" t="str">
        <x:v>No</x:v>
      </x:c>
      <x:c r="V987" s="44"/>
      <x:c r="W987" s="43" t="str"/>
      <x:c r="X987" s="43" t="str"/>
      <x:c r="Y987" s="43" t="str"/>
      <x:c r="Z987" s="43" t="str">
        <x:v>https://www.get-information-schools.service.gov.uk/Downloads</x:v>
      </x:c>
    </x:row>
    <x:row r="988">
      <x:c r="A988" s="43" t="str">
        <x:v>UK independent</x:v>
      </x:c>
      <x:c r="B988" s="43" t="str">
        <x:v>123276</x:v>
      </x:c>
      <x:c r="C988" s="43" t="n">
        <x:f>IF(K988="Boarding school",30,0)+IF(J988&gt;=18,20,0)+IF(I988&lt;=11,10,0)+IF(L988="Has a sixth form",15,0)+IF(M988&gt;=200,10,0)+IF(N988&lt;&gt;"",10,0)</x:f>
        <x:v>30</x:v>
      </x:c>
      <x:c r="D988" s="43" t="str">
        <x:f>IF(C988&gt;=85,"A",IF(C988&gt;=65,"B","C"))</x:f>
        <x:v>C</x:v>
      </x:c>
      <x:c r="E988" s="43" t="str">
        <x:v>Rupert House School</x:v>
      </x:c>
      <x:c r="F988" s="43" t="str">
        <x:v>Henley-on-Thames</x:v>
      </x:c>
      <x:c r="G988" s="43" t="str">
        <x:v>Oxfordshire</x:v>
      </x:c>
      <x:c r="H988" s="43" t="str">
        <x:v>RG9 2BN</x:v>
      </x:c>
      <x:c r="I988" s="43" t="n">
        <x:v>3</x:v>
      </x:c>
      <x:c r="J988" s="43" t="n">
        <x:v>11</x:v>
      </x:c>
      <x:c r="K988" s="43" t="str">
        <x:v>No boarders</x:v>
      </x:c>
      <x:c r="L988" s="43" t="str">
        <x:v>Does not have a sixth form</x:v>
      </x:c>
      <x:c r="M988" s="43" t="n">
        <x:v>214</x:v>
      </x:c>
      <x:c r="N988" s="43" t="str">
        <x:v>https://www.ruperthouse.org</x:v>
      </x:c>
      <x:c r="O988" s="43" t="str">
        <x:v>01491574263</x:v>
      </x:c>
      <x:c r="P988" s="43" t="str"/>
      <x:c r="Q988" s="43" t="str"/>
      <x:c r="R988" s="43" t="str">
        <x:v>Queued for contact research</x:v>
      </x:c>
      <x:c r="S988" s="43" t="str">
        <x:v>Not reviewed</x:v>
      </x:c>
      <x:c r="T988" s="43" t="str">
        <x:v>Hold</x:v>
      </x:c>
      <x:c r="U988" s="43" t="str">
        <x:v>No</x:v>
      </x:c>
      <x:c r="V988" s="44"/>
      <x:c r="W988" s="43" t="str"/>
      <x:c r="X988" s="43" t="str"/>
      <x:c r="Y988" s="43" t="str"/>
      <x:c r="Z988" s="43" t="str">
        <x:v>https://www.get-information-schools.service.gov.uk/Downloads</x:v>
      </x:c>
    </x:row>
    <x:row r="989">
      <x:c r="A989" s="43" t="str">
        <x:v>UK independent</x:v>
      </x:c>
      <x:c r="B989" s="43" t="str">
        <x:v>131362</x:v>
      </x:c>
      <x:c r="C989" s="43" t="n">
        <x:f>IF(K989="Boarding school",30,0)+IF(J989&gt;=18,20,0)+IF(I989&lt;=11,10,0)+IF(L989="Has a sixth form",15,0)+IF(M989&gt;=200,10,0)+IF(N989&lt;&gt;"",10,0)</x:f>
        <x:v>30</x:v>
      </x:c>
      <x:c r="D989" s="43" t="str">
        <x:f>IF(C989&gt;=85,"A",IF(C989&gt;=65,"B","C"))</x:f>
        <x:v>C</x:v>
      </x:c>
      <x:c r="E989" s="43" t="str">
        <x:v>St Paul's Waldorf School</x:v>
      </x:c>
      <x:c r="F989" s="43" t="str">
        <x:v>London</x:v>
      </x:c>
      <x:c r="G989" s="43" t="str"/>
      <x:c r="H989" s="43" t="str">
        <x:v>N1 2QH</x:v>
      </x:c>
      <x:c r="I989" s="43" t="n">
        <x:v>3</x:v>
      </x:c>
      <x:c r="J989" s="43" t="n">
        <x:v>14</x:v>
      </x:c>
      <x:c r="K989" s="43" t="str">
        <x:v>No boarders</x:v>
      </x:c>
      <x:c r="L989" s="43" t="str">
        <x:v>Does not have a sixth form</x:v>
      </x:c>
      <x:c r="M989" s="43" t="n">
        <x:v>214</x:v>
      </x:c>
      <x:c r="N989" s="43" t="str">
        <x:v>https://www.stpaulswaldorfschool.org/</x:v>
      </x:c>
      <x:c r="O989" s="43" t="str">
        <x:v>02072264454</x:v>
      </x:c>
      <x:c r="P989" s="43" t="str"/>
      <x:c r="Q989" s="43" t="str"/>
      <x:c r="R989" s="43" t="str">
        <x:v>Queued for contact research</x:v>
      </x:c>
      <x:c r="S989" s="43" t="str">
        <x:v>Not reviewed</x:v>
      </x:c>
      <x:c r="T989" s="43" t="str">
        <x:v>Hold</x:v>
      </x:c>
      <x:c r="U989" s="43" t="str">
        <x:v>No</x:v>
      </x:c>
      <x:c r="V989" s="44"/>
      <x:c r="W989" s="43" t="str"/>
      <x:c r="X989" s="43" t="str"/>
      <x:c r="Y989" s="43" t="str"/>
      <x:c r="Z989" s="43" t="str">
        <x:v>https://www.get-information-schools.service.gov.uk/Downloads</x:v>
      </x:c>
    </x:row>
    <x:row r="990">
      <x:c r="A990" s="43" t="str">
        <x:v>UK independent</x:v>
      </x:c>
      <x:c r="B990" s="43" t="str">
        <x:v>125329</x:v>
      </x:c>
      <x:c r="C990" s="43" t="n">
        <x:f>IF(K990="Boarding school",30,0)+IF(J990&gt;=18,20,0)+IF(I990&lt;=11,10,0)+IF(L990="Has a sixth form",15,0)+IF(M990&gt;=200,10,0)+IF(N990&lt;&gt;"",10,0)</x:f>
        <x:v>30</x:v>
      </x:c>
      <x:c r="D990" s="43" t="str">
        <x:f>IF(C990&gt;=85,"A",IF(C990&gt;=65,"B","C"))</x:f>
        <x:v>C</x:v>
      </x:c>
      <x:c r="E990" s="43" t="str">
        <x:v>Kingswood House School</x:v>
      </x:c>
      <x:c r="F990" s="43" t="str">
        <x:v>Epsom</x:v>
      </x:c>
      <x:c r="G990" s="43" t="str">
        <x:v>Surrey</x:v>
      </x:c>
      <x:c r="H990" s="43" t="str">
        <x:v>KT19 8LG</x:v>
      </x:c>
      <x:c r="I990" s="43" t="n">
        <x:v>7</x:v>
      </x:c>
      <x:c r="J990" s="43" t="n">
        <x:v>16</x:v>
      </x:c>
      <x:c r="K990" s="43" t="str">
        <x:v>No boarders</x:v>
      </x:c>
      <x:c r="L990" s="43" t="str">
        <x:v>Does not have a sixth form</x:v>
      </x:c>
      <x:c r="M990" s="43" t="n">
        <x:v>213</x:v>
      </x:c>
      <x:c r="N990" s="43" t="str">
        <x:v>https://www.kingswoodhouse.org</x:v>
      </x:c>
      <x:c r="O990" s="43" t="str">
        <x:v>01372723590</x:v>
      </x:c>
      <x:c r="P990" s="43" t="str"/>
      <x:c r="Q990" s="43" t="str"/>
      <x:c r="R990" s="43" t="str">
        <x:v>Queued for contact research</x:v>
      </x:c>
      <x:c r="S990" s="43" t="str">
        <x:v>Not reviewed</x:v>
      </x:c>
      <x:c r="T990" s="43" t="str">
        <x:v>Hold</x:v>
      </x:c>
      <x:c r="U990" s="43" t="str">
        <x:v>No</x:v>
      </x:c>
      <x:c r="V990" s="44"/>
      <x:c r="W990" s="43" t="str"/>
      <x:c r="X990" s="43" t="str"/>
      <x:c r="Y990" s="43" t="str"/>
      <x:c r="Z990" s="43" t="str">
        <x:v>https://www.get-information-schools.service.gov.uk/Downloads</x:v>
      </x:c>
    </x:row>
    <x:row r="991">
      <x:c r="A991" s="43" t="str">
        <x:v>UK independent</x:v>
      </x:c>
      <x:c r="B991" s="43" t="str">
        <x:v>103112</x:v>
      </x:c>
      <x:c r="C991" s="43" t="n">
        <x:f>IF(K991="Boarding school",30,0)+IF(J991&gt;=18,20,0)+IF(I991&lt;=11,10,0)+IF(L991="Has a sixth form",15,0)+IF(M991&gt;=200,10,0)+IF(N991&lt;&gt;"",10,0)</x:f>
        <x:v>30</x:v>
      </x:c>
      <x:c r="D991" s="43" t="str">
        <x:f>IF(C991&gt;=85,"A",IF(C991&gt;=65,"B","C"))</x:f>
        <x:v>C</x:v>
      </x:c>
      <x:c r="E991" s="43" t="str">
        <x:v>Normanhurst School</x:v>
      </x:c>
      <x:c r="F991" s="43" t="str">
        <x:v>London</x:v>
      </x:c>
      <x:c r="G991" s="43" t="str"/>
      <x:c r="H991" s="43" t="str">
        <x:v>E4 7BA</x:v>
      </x:c>
      <x:c r="I991" s="43" t="n">
        <x:v>2</x:v>
      </x:c>
      <x:c r="J991" s="43" t="n">
        <x:v>16</x:v>
      </x:c>
      <x:c r="K991" s="43" t="str">
        <x:v>No boarders</x:v>
      </x:c>
      <x:c r="L991" s="43" t="str">
        <x:v>Does not have a sixth form</x:v>
      </x:c>
      <x:c r="M991" s="43" t="n">
        <x:v>213</x:v>
      </x:c>
      <x:c r="N991" s="43" t="str">
        <x:v>https://www.normanhurstschool.co.uk</x:v>
      </x:c>
      <x:c r="O991" s="43" t="str">
        <x:v>02085294307</x:v>
      </x:c>
      <x:c r="P991" s="43" t="str"/>
      <x:c r="Q991" s="43" t="str"/>
      <x:c r="R991" s="43" t="str">
        <x:v>Queued for contact research</x:v>
      </x:c>
      <x:c r="S991" s="43" t="str">
        <x:v>Not reviewed</x:v>
      </x:c>
      <x:c r="T991" s="43" t="str">
        <x:v>Hold</x:v>
      </x:c>
      <x:c r="U991" s="43" t="str">
        <x:v>No</x:v>
      </x:c>
      <x:c r="V991" s="44"/>
      <x:c r="W991" s="43" t="str"/>
      <x:c r="X991" s="43" t="str"/>
      <x:c r="Y991" s="43" t="str"/>
      <x:c r="Z991" s="43" t="str">
        <x:v>https://www.get-information-schools.service.gov.uk/Downloads</x:v>
      </x:c>
    </x:row>
    <x:row r="992">
      <x:c r="A992" s="43" t="str">
        <x:v>UK independent</x:v>
      </x:c>
      <x:c r="B992" s="43" t="str">
        <x:v>106385</x:v>
      </x:c>
      <x:c r="C992" s="43" t="n">
        <x:f>IF(K992="Boarding school",30,0)+IF(J992&gt;=18,20,0)+IF(I992&lt;=11,10,0)+IF(L992="Has a sixth form",15,0)+IF(M992&gt;=200,10,0)+IF(N992&lt;&gt;"",10,0)</x:f>
        <x:v>30</x:v>
      </x:c>
      <x:c r="D992" s="43" t="str">
        <x:f>IF(C992&gt;=85,"A",IF(C992&gt;=65,"B","C"))</x:f>
        <x:v>C</x:v>
      </x:c>
      <x:c r="E992" s="43" t="str">
        <x:v>Forest School</x:v>
      </x:c>
      <x:c r="F992" s="43" t="str">
        <x:v>Altrincham</x:v>
      </x:c>
      <x:c r="G992" s="43" t="str">
        <x:v>Cheshire</x:v>
      </x:c>
      <x:c r="H992" s="43" t="str">
        <x:v>WA15 6LJ</x:v>
      </x:c>
      <x:c r="I992" s="43" t="n">
        <x:v>2</x:v>
      </x:c>
      <x:c r="J992" s="43" t="n">
        <x:v>11</x:v>
      </x:c>
      <x:c r="K992" s="43" t="str">
        <x:v>No boarders</x:v>
      </x:c>
      <x:c r="L992" s="43" t="str">
        <x:v>Does not have a sixth form</x:v>
      </x:c>
      <x:c r="M992" s="43" t="n">
        <x:v>212</x:v>
      </x:c>
      <x:c r="N992" s="43" t="str">
        <x:v>https://www.forestschool.co.uk</x:v>
      </x:c>
      <x:c r="O992" s="43" t="str">
        <x:v>01619804075</x:v>
      </x:c>
      <x:c r="P992" s="43" t="str"/>
      <x:c r="Q992" s="43" t="str"/>
      <x:c r="R992" s="43" t="str">
        <x:v>Queued for contact research</x:v>
      </x:c>
      <x:c r="S992" s="43" t="str">
        <x:v>Not reviewed</x:v>
      </x:c>
      <x:c r="T992" s="43" t="str">
        <x:v>Hold</x:v>
      </x:c>
      <x:c r="U992" s="43" t="str">
        <x:v>No</x:v>
      </x:c>
      <x:c r="V992" s="44"/>
      <x:c r="W992" s="43" t="str"/>
      <x:c r="X992" s="43" t="str"/>
      <x:c r="Y992" s="43" t="str"/>
      <x:c r="Z992" s="43" t="str">
        <x:v>https://www.get-information-schools.service.gov.uk/Downloads</x:v>
      </x:c>
    </x:row>
    <x:row r="993">
      <x:c r="A993" s="43" t="str">
        <x:v>UK independent</x:v>
      </x:c>
      <x:c r="B993" s="43" t="str">
        <x:v>112071</x:v>
      </x:c>
      <x:c r="C993" s="43" t="n">
        <x:f>IF(K993="Boarding school",30,0)+IF(J993&gt;=18,20,0)+IF(I993&lt;=11,10,0)+IF(L993="Has a sixth form",15,0)+IF(M993&gt;=200,10,0)+IF(N993&lt;&gt;"",10,0)</x:f>
        <x:v>30</x:v>
      </x:c>
      <x:c r="D993" s="43" t="str">
        <x:f>IF(C993&gt;=85,"A",IF(C993&gt;=65,"B","C"))</x:f>
        <x:v>C</x:v>
      </x:c>
      <x:c r="E993" s="43" t="str">
        <x:v>St Josephs School</x:v>
      </x:c>
      <x:c r="F993" s="43" t="str">
        <x:v>Cornwall</x:v>
      </x:c>
      <x:c r="G993" s="43" t="str"/>
      <x:c r="H993" s="43" t="str">
        <x:v>PL15 8HN</x:v>
      </x:c>
      <x:c r="I993" s="43" t="n">
        <x:v>4</x:v>
      </x:c>
      <x:c r="J993" s="43" t="n">
        <x:v>16</x:v>
      </x:c>
      <x:c r="K993" s="43" t="str">
        <x:v>No boarders</x:v>
      </x:c>
      <x:c r="L993" s="43" t="str">
        <x:v>Does not have a sixth form</x:v>
      </x:c>
      <x:c r="M993" s="43" t="n">
        <x:v>212</x:v>
      </x:c>
      <x:c r="N993" s="43" t="str">
        <x:v>https://www.stjosephscornwall.co.uk</x:v>
      </x:c>
      <x:c r="O993" s="43" t="str">
        <x:v>01566772580</x:v>
      </x:c>
      <x:c r="P993" s="43" t="str"/>
      <x:c r="Q993" s="43" t="str"/>
      <x:c r="R993" s="43" t="str">
        <x:v>Queued for contact research</x:v>
      </x:c>
      <x:c r="S993" s="43" t="str">
        <x:v>Not reviewed</x:v>
      </x:c>
      <x:c r="T993" s="43" t="str">
        <x:v>Hold</x:v>
      </x:c>
      <x:c r="U993" s="43" t="str">
        <x:v>No</x:v>
      </x:c>
      <x:c r="V993" s="44"/>
      <x:c r="W993" s="43" t="str"/>
      <x:c r="X993" s="43" t="str"/>
      <x:c r="Y993" s="43" t="str"/>
      <x:c r="Z993" s="43" t="str">
        <x:v>https://www.get-information-schools.service.gov.uk/Downloads</x:v>
      </x:c>
    </x:row>
    <x:row r="994">
      <x:c r="A994" s="43" t="str">
        <x:v>UK independent</x:v>
      </x:c>
      <x:c r="B994" s="43" t="str">
        <x:v>125341</x:v>
      </x:c>
      <x:c r="C994" s="43" t="n">
        <x:f>IF(K994="Boarding school",30,0)+IF(J994&gt;=18,20,0)+IF(I994&lt;=11,10,0)+IF(L994="Has a sixth form",15,0)+IF(M994&gt;=200,10,0)+IF(N994&lt;&gt;"",10,0)</x:f>
        <x:v>30</x:v>
      </x:c>
      <x:c r="D994" s="43" t="str">
        <x:f>IF(C994&gt;=85,"A",IF(C994&gt;=65,"B","C"))</x:f>
        <x:v>C</x:v>
      </x:c>
      <x:c r="E994" s="43" t="str">
        <x:v>St Hilary's School</x:v>
      </x:c>
      <x:c r="F994" s="43" t="str">
        <x:v>Godalming</x:v>
      </x:c>
      <x:c r="G994" s="43" t="str">
        <x:v>Surrey</x:v>
      </x:c>
      <x:c r="H994" s="43" t="str">
        <x:v>GU7 1RZ</x:v>
      </x:c>
      <x:c r="I994" s="43" t="n">
        <x:v>2</x:v>
      </x:c>
      <x:c r="J994" s="43" t="n">
        <x:v>11</x:v>
      </x:c>
      <x:c r="K994" s="43" t="str">
        <x:v>No boarders</x:v>
      </x:c>
      <x:c r="L994" s="43" t="str">
        <x:v>Does not have a sixth form</x:v>
      </x:c>
      <x:c r="M994" s="43" t="n">
        <x:v>211</x:v>
      </x:c>
      <x:c r="N994" s="43" t="str">
        <x:v>https://www.sthilarysschool.com</x:v>
      </x:c>
      <x:c r="O994" s="43" t="str">
        <x:v>01483416551</x:v>
      </x:c>
      <x:c r="P994" s="43" t="str"/>
      <x:c r="Q994" s="43" t="str"/>
      <x:c r="R994" s="43" t="str">
        <x:v>Queued for contact research</x:v>
      </x:c>
      <x:c r="S994" s="43" t="str">
        <x:v>Not reviewed</x:v>
      </x:c>
      <x:c r="T994" s="43" t="str">
        <x:v>Hold</x:v>
      </x:c>
      <x:c r="U994" s="43" t="str">
        <x:v>No</x:v>
      </x:c>
      <x:c r="V994" s="44"/>
      <x:c r="W994" s="43" t="str"/>
      <x:c r="X994" s="43" t="str"/>
      <x:c r="Y994" s="43" t="str"/>
      <x:c r="Z994" s="43" t="str">
        <x:v>https://www.get-information-schools.service.gov.uk/Downloads</x:v>
      </x:c>
    </x:row>
    <x:row r="995">
      <x:c r="A995" s="43" t="str">
        <x:v>UK independent</x:v>
      </x:c>
      <x:c r="B995" s="43" t="str">
        <x:v>118981</x:v>
      </x:c>
      <x:c r="C995" s="43" t="n">
        <x:f>IF(K995="Boarding school",30,0)+IF(J995&gt;=18,20,0)+IF(I995&lt;=11,10,0)+IF(L995="Has a sixth form",15,0)+IF(M995&gt;=200,10,0)+IF(N995&lt;&gt;"",10,0)</x:f>
        <x:v>30</x:v>
      </x:c>
      <x:c r="D995" s="43" t="str">
        <x:f>IF(C995&gt;=85,"A",IF(C995&gt;=65,"B","C"))</x:f>
        <x:v>C</x:v>
      </x:c>
      <x:c r="E995" s="43" t="str">
        <x:v>Solefield School</x:v>
      </x:c>
      <x:c r="F995" s="43" t="str">
        <x:v>Sevenoaks</x:v>
      </x:c>
      <x:c r="G995" s="43" t="str">
        <x:v>Kent</x:v>
      </x:c>
      <x:c r="H995" s="43" t="str">
        <x:v>TN13 1PH</x:v>
      </x:c>
      <x:c r="I995" s="43" t="n">
        <x:v>3</x:v>
      </x:c>
      <x:c r="J995" s="43" t="n">
        <x:v>13</x:v>
      </x:c>
      <x:c r="K995" s="43" t="str">
        <x:v>No boarders</x:v>
      </x:c>
      <x:c r="L995" s="43" t="str">
        <x:v>Does not have a sixth form</x:v>
      </x:c>
      <x:c r="M995" s="43" t="n">
        <x:v>210</x:v>
      </x:c>
      <x:c r="N995" s="43" t="str">
        <x:v>http://www.solefieldschool.org</x:v>
      </x:c>
      <x:c r="O995" s="43" t="str">
        <x:v>01732452142</x:v>
      </x:c>
      <x:c r="P995" s="43" t="str"/>
      <x:c r="Q995" s="43" t="str"/>
      <x:c r="R995" s="43" t="str">
        <x:v>Queued for contact research</x:v>
      </x:c>
      <x:c r="S995" s="43" t="str">
        <x:v>Not reviewed</x:v>
      </x:c>
      <x:c r="T995" s="43" t="str">
        <x:v>Hold</x:v>
      </x:c>
      <x:c r="U995" s="43" t="str">
        <x:v>No</x:v>
      </x:c>
      <x:c r="V995" s="44"/>
      <x:c r="W995" s="43" t="str"/>
      <x:c r="X995" s="43" t="str"/>
      <x:c r="Y995" s="43" t="str"/>
      <x:c r="Z995" s="43" t="str">
        <x:v>https://www.get-information-schools.service.gov.uk/Downloads</x:v>
      </x:c>
    </x:row>
    <x:row r="996">
      <x:c r="A996" s="43" t="str">
        <x:v>UK independent</x:v>
      </x:c>
      <x:c r="B996" s="43" t="str">
        <x:v>147733</x:v>
      </x:c>
      <x:c r="C996" s="43" t="n">
        <x:f>IF(K996="Boarding school",30,0)+IF(J996&gt;=18,20,0)+IF(I996&lt;=11,10,0)+IF(L996="Has a sixth form",15,0)+IF(M996&gt;=200,10,0)+IF(N996&lt;&gt;"",10,0)</x:f>
        <x:v>30</x:v>
      </x:c>
      <x:c r="D996" s="43" t="str">
        <x:f>IF(C996&gt;=85,"A",IF(C996&gt;=65,"B","C"))</x:f>
        <x:v>C</x:v>
      </x:c>
      <x:c r="E996" s="43" t="str">
        <x:v>Beacon Lights Schools</x:v>
      </x:c>
      <x:c r="F996" s="43" t="str">
        <x:v>Halifax</x:v>
      </x:c>
      <x:c r="G996" s="43" t="str"/>
      <x:c r="H996" s="43" t="str">
        <x:v>HX1 5JL</x:v>
      </x:c>
      <x:c r="I996" s="43" t="n">
        <x:v>4</x:v>
      </x:c>
      <x:c r="J996" s="43" t="n">
        <x:v>16</x:v>
      </x:c>
      <x:c r="K996" s="43" t="str">
        <x:v>No boarders</x:v>
      </x:c>
      <x:c r="L996" s="43" t="str">
        <x:v>Does not have a sixth form</x:v>
      </x:c>
      <x:c r="M996" s="43" t="n">
        <x:v>209</x:v>
      </x:c>
      <x:c r="N996" s="43" t="str">
        <x:v>https://www.beaconschools.org.uk</x:v>
      </x:c>
      <x:c r="O996" s="43" t="str">
        <x:v>01422250560</x:v>
      </x:c>
      <x:c r="P996" s="43" t="str"/>
      <x:c r="Q996" s="43" t="str"/>
      <x:c r="R996" s="43" t="str">
        <x:v>Queued for contact research</x:v>
      </x:c>
      <x:c r="S996" s="43" t="str">
        <x:v>Not reviewed</x:v>
      </x:c>
      <x:c r="T996" s="43" t="str">
        <x:v>Hold</x:v>
      </x:c>
      <x:c r="U996" s="43" t="str">
        <x:v>No</x:v>
      </x:c>
      <x:c r="V996" s="44"/>
      <x:c r="W996" s="43" t="str"/>
      <x:c r="X996" s="43" t="str"/>
      <x:c r="Y996" s="43" t="str"/>
      <x:c r="Z996" s="43" t="str">
        <x:v>https://www.get-information-schools.service.gov.uk/Downloads</x:v>
      </x:c>
    </x:row>
    <x:row r="997">
      <x:c r="A997" s="43" t="str">
        <x:v>UK independent</x:v>
      </x:c>
      <x:c r="B997" s="43" t="str">
        <x:v>123315</x:v>
      </x:c>
      <x:c r="C997" s="43" t="n">
        <x:f>IF(K997="Boarding school",30,0)+IF(J997&gt;=18,20,0)+IF(I997&lt;=11,10,0)+IF(L997="Has a sixth form",15,0)+IF(M997&gt;=200,10,0)+IF(N997&lt;&gt;"",10,0)</x:f>
        <x:v>30</x:v>
      </x:c>
      <x:c r="D997" s="43" t="str">
        <x:f>IF(C997&gt;=85,"A",IF(C997&gt;=65,"B","C"))</x:f>
        <x:v>C</x:v>
      </x:c>
      <x:c r="E997" s="43" t="str">
        <x:v>The King's School</x:v>
      </x:c>
      <x:c r="F997" s="43" t="str">
        <x:v>Witney</x:v>
      </x:c>
      <x:c r="G997" s="43" t="str">
        <x:v>Oxfordshire</x:v>
      </x:c>
      <x:c r="H997" s="43" t="str">
        <x:v>OX29 6TA</x:v>
      </x:c>
      <x:c r="I997" s="43" t="n">
        <x:v>2</x:v>
      </x:c>
      <x:c r="J997" s="43" t="n">
        <x:v>16</x:v>
      </x:c>
      <x:c r="K997" s="43" t="str">
        <x:v>No boarders</x:v>
      </x:c>
      <x:c r="L997" s="43" t="str">
        <x:v>Does not have a sixth form</x:v>
      </x:c>
      <x:c r="M997" s="43" t="n">
        <x:v>209</x:v>
      </x:c>
      <x:c r="N997" s="43" t="str">
        <x:v>https://www.tkswitney.org.uk</x:v>
      </x:c>
      <x:c r="O997" s="43" t="str">
        <x:v>01993778463</x:v>
      </x:c>
      <x:c r="P997" s="43" t="str"/>
      <x:c r="Q997" s="43" t="str"/>
      <x:c r="R997" s="43" t="str">
        <x:v>Queued for contact research</x:v>
      </x:c>
      <x:c r="S997" s="43" t="str">
        <x:v>Not reviewed</x:v>
      </x:c>
      <x:c r="T997" s="43" t="str">
        <x:v>Hold</x:v>
      </x:c>
      <x:c r="U997" s="43" t="str">
        <x:v>No</x:v>
      </x:c>
      <x:c r="V997" s="44"/>
      <x:c r="W997" s="43" t="str"/>
      <x:c r="X997" s="43" t="str"/>
      <x:c r="Y997" s="43" t="str"/>
      <x:c r="Z997" s="43" t="str">
        <x:v>https://www.get-information-schools.service.gov.uk/Downloads</x:v>
      </x:c>
    </x:row>
    <x:row r="998">
      <x:c r="A998" s="43" t="str">
        <x:v>UK independent</x:v>
      </x:c>
      <x:c r="B998" s="43" t="str">
        <x:v>101958</x:v>
      </x:c>
      <x:c r="C998" s="43" t="n">
        <x:f>IF(K998="Boarding school",30,0)+IF(J998&gt;=18,20,0)+IF(I998&lt;=11,10,0)+IF(L998="Has a sixth form",15,0)+IF(M998&gt;=200,10,0)+IF(N998&lt;&gt;"",10,0)</x:f>
        <x:v>30</x:v>
      </x:c>
      <x:c r="D998" s="43" t="str">
        <x:f>IF(C998&gt;=85,"A",IF(C998&gt;=65,"B","C"))</x:f>
        <x:v>C</x:v>
      </x:c>
      <x:c r="E998" s="43" t="str">
        <x:v>The Japanese School</x:v>
      </x:c>
      <x:c r="F998" s="43" t="str">
        <x:v>London</x:v>
      </x:c>
      <x:c r="G998" s="43" t="str"/>
      <x:c r="H998" s="43" t="str">
        <x:v>W3 9PU</x:v>
      </x:c>
      <x:c r="I998" s="43" t="n">
        <x:v>6</x:v>
      </x:c>
      <x:c r="J998" s="43" t="n">
        <x:v>15</x:v>
      </x:c>
      <x:c r="K998" s="43" t="str">
        <x:v>No boarders</x:v>
      </x:c>
      <x:c r="L998" s="43" t="str">
        <x:v>Does not have a sixth form</x:v>
      </x:c>
      <x:c r="M998" s="43" t="n">
        <x:v>207</x:v>
      </x:c>
      <x:c r="N998" s="43" t="str">
        <x:v>https://www.thejapaneseschool.ltd.uk/nihonjingakko/</x:v>
      </x:c>
      <x:c r="O998" s="43" t="str">
        <x:v>02089937145</x:v>
      </x:c>
      <x:c r="P998" s="43" t="str"/>
      <x:c r="Q998" s="43" t="str"/>
      <x:c r="R998" s="43" t="str">
        <x:v>Queued for contact research</x:v>
      </x:c>
      <x:c r="S998" s="43" t="str">
        <x:v>Not reviewed</x:v>
      </x:c>
      <x:c r="T998" s="43" t="str">
        <x:v>Hold</x:v>
      </x:c>
      <x:c r="U998" s="43" t="str">
        <x:v>No</x:v>
      </x:c>
      <x:c r="V998" s="44"/>
      <x:c r="W998" s="43" t="str"/>
      <x:c r="X998" s="43" t="str"/>
      <x:c r="Y998" s="43" t="str"/>
      <x:c r="Z998" s="43" t="str">
        <x:v>https://www.get-information-schools.service.gov.uk/Downloads</x:v>
      </x:c>
    </x:row>
    <x:row r="999">
      <x:c r="A999" s="43" t="str">
        <x:v>UK independent</x:v>
      </x:c>
      <x:c r="B999" s="43" t="str">
        <x:v>101075</x:v>
      </x:c>
      <x:c r="C999" s="43" t="n">
        <x:f>IF(K999="Boarding school",30,0)+IF(J999&gt;=18,20,0)+IF(I999&lt;=11,10,0)+IF(L999="Has a sixth form",15,0)+IF(M999&gt;=200,10,0)+IF(N999&lt;&gt;"",10,0)</x:f>
        <x:v>30</x:v>
      </x:c>
      <x:c r="D999" s="43" t="str">
        <x:f>IF(C999&gt;=85,"A",IF(C999&gt;=65,"B","C"))</x:f>
        <x:v>C</x:v>
      </x:c>
      <x:c r="E999" s="43" t="str">
        <x:v>The Roche School</x:v>
      </x:c>
      <x:c r="F999" s="43" t="str">
        <x:v>London</x:v>
      </x:c>
      <x:c r="G999" s="43" t="str"/>
      <x:c r="H999" s="43" t="str">
        <x:v>SW18 1HW</x:v>
      </x:c>
      <x:c r="I999" s="43" t="n">
        <x:v>2</x:v>
      </x:c>
      <x:c r="J999" s="43" t="n">
        <x:v>11</x:v>
      </x:c>
      <x:c r="K999" s="43" t="str">
        <x:v>No boarders</x:v>
      </x:c>
      <x:c r="L999" s="43" t="str">
        <x:v>Does not have a sixth form</x:v>
      </x:c>
      <x:c r="M999" s="43" t="n">
        <x:v>207</x:v>
      </x:c>
      <x:c r="N999" s="43" t="str">
        <x:v>https://www.therocheschool.com</x:v>
      </x:c>
      <x:c r="O999" s="43" t="str">
        <x:v>02088770823</x:v>
      </x:c>
      <x:c r="P999" s="43" t="str"/>
      <x:c r="Q999" s="43" t="str"/>
      <x:c r="R999" s="43" t="str">
        <x:v>Queued for contact research</x:v>
      </x:c>
      <x:c r="S999" s="43" t="str">
        <x:v>Not reviewed</x:v>
      </x:c>
      <x:c r="T999" s="43" t="str">
        <x:v>Hold</x:v>
      </x:c>
      <x:c r="U999" s="43" t="str">
        <x:v>No</x:v>
      </x:c>
      <x:c r="V999" s="44"/>
      <x:c r="W999" s="43" t="str"/>
      <x:c r="X999" s="43" t="str"/>
      <x:c r="Y999" s="43" t="str"/>
      <x:c r="Z999" s="43" t="str">
        <x:v>https://www.get-information-schools.service.gov.uk/Downloads</x:v>
      </x:c>
    </x:row>
    <x:row r="1000">
      <x:c r="A1000" s="43" t="str">
        <x:v>UK independent</x:v>
      </x:c>
      <x:c r="B1000" s="43" t="str">
        <x:v>106383</x:v>
      </x:c>
      <x:c r="C1000" s="43" t="n">
        <x:f>IF(K1000="Boarding school",30,0)+IF(J1000&gt;=18,20,0)+IF(I1000&lt;=11,10,0)+IF(L1000="Has a sixth form",15,0)+IF(M1000&gt;=200,10,0)+IF(N1000&lt;&gt;"",10,0)</x:f>
        <x:v>30</x:v>
      </x:c>
      <x:c r="D1000" s="43" t="str">
        <x:f>IF(C1000&gt;=85,"A",IF(C1000&gt;=65,"B","C"))</x:f>
        <x:v>C</x:v>
      </x:c>
      <x:c r="E1000" s="43" t="str">
        <x:v>Hale Preparatory School</x:v>
      </x:c>
      <x:c r="F1000" s="43" t="str">
        <x:v>Altrincham</x:v>
      </x:c>
      <x:c r="G1000" s="43" t="str">
        <x:v>Cheshire</x:v>
      </x:c>
      <x:c r="H1000" s="43" t="str">
        <x:v>WA15 9AS</x:v>
      </x:c>
      <x:c r="I1000" s="43" t="n">
        <x:v>4</x:v>
      </x:c>
      <x:c r="J1000" s="43" t="n">
        <x:v>11</x:v>
      </x:c>
      <x:c r="K1000" s="43" t="str">
        <x:v>No boarders</x:v>
      </x:c>
      <x:c r="L1000" s="43" t="str">
        <x:v>Does not have a sixth form</x:v>
      </x:c>
      <x:c r="M1000" s="43" t="n">
        <x:v>206</x:v>
      </x:c>
      <x:c r="N1000" s="43" t="str">
        <x:v>https://www.haleprepschool.com</x:v>
      </x:c>
      <x:c r="O1000" s="43" t="str">
        <x:v>01619282386</x:v>
      </x:c>
      <x:c r="P1000" s="43" t="str"/>
      <x:c r="Q1000" s="43" t="str"/>
      <x:c r="R1000" s="43" t="str">
        <x:v>Queued for contact research</x:v>
      </x:c>
      <x:c r="S1000" s="43" t="str">
        <x:v>Not reviewed</x:v>
      </x:c>
      <x:c r="T1000" s="43" t="str">
        <x:v>Hold</x:v>
      </x:c>
      <x:c r="U1000" s="43" t="str">
        <x:v>No</x:v>
      </x:c>
      <x:c r="V1000" s="44"/>
      <x:c r="W1000" s="43" t="str"/>
      <x:c r="X1000" s="43" t="str"/>
      <x:c r="Y1000" s="43" t="str"/>
      <x:c r="Z1000" s="43" t="str">
        <x:v>https://www.get-information-schools.service.gov.uk/Downloads</x:v>
      </x:c>
    </x:row>
    <x:row r="1001">
      <x:c r="A1001" s="43" t="str">
        <x:v>UK independent</x:v>
      </x:c>
      <x:c r="B1001" s="43" t="str">
        <x:v>105585</x:v>
      </x:c>
      <x:c r="C1001" s="43" t="n">
        <x:f>IF(K1001="Boarding school",30,0)+IF(J1001&gt;=18,20,0)+IF(I1001&lt;=11,10,0)+IF(L1001="Has a sixth form",15,0)+IF(M1001&gt;=200,10,0)+IF(N1001&lt;&gt;"",10,0)</x:f>
        <x:v>30</x:v>
      </x:c>
      <x:c r="D1001" s="43" t="str">
        <x:f>IF(C1001&gt;=85,"A",IF(C1001&gt;=65,"B","C"))</x:f>
        <x:v>C</x:v>
      </x:c>
      <x:c r="E1001" s="43" t="str">
        <x:v>Moor Allerton Preparatory School</x:v>
      </x:c>
      <x:c r="F1001" s="43" t="str">
        <x:v>Manchester</x:v>
      </x:c>
      <x:c r="G1001" s="43" t="str">
        <x:v>Lancashire</x:v>
      </x:c>
      <x:c r="H1001" s="43" t="str">
        <x:v>M20 2PW</x:v>
      </x:c>
      <x:c r="I1001" s="43" t="n">
        <x:v>2</x:v>
      </x:c>
      <x:c r="J1001" s="43" t="n">
        <x:v>11</x:v>
      </x:c>
      <x:c r="K1001" s="43" t="str">
        <x:v>No boarders</x:v>
      </x:c>
      <x:c r="L1001" s="43" t="str">
        <x:v>Does not have a sixth form</x:v>
      </x:c>
      <x:c r="M1001" s="43" t="n">
        <x:v>206</x:v>
      </x:c>
      <x:c r="N1001" s="43" t="str">
        <x:v>https://www.moorallertonschool.co.uk</x:v>
      </x:c>
      <x:c r="O1001" s="43" t="str">
        <x:v>01614454521</x:v>
      </x:c>
      <x:c r="P1001" s="43" t="str"/>
      <x:c r="Q1001" s="43" t="str"/>
      <x:c r="R1001" s="43" t="str">
        <x:v>Queued for contact research</x:v>
      </x:c>
      <x:c r="S1001" s="43" t="str">
        <x:v>Not reviewed</x:v>
      </x:c>
      <x:c r="T1001" s="43" t="str">
        <x:v>Hold</x:v>
      </x:c>
      <x:c r="U1001" s="43" t="str">
        <x:v>No</x:v>
      </x:c>
      <x:c r="V1001" s="44"/>
      <x:c r="W1001" s="43" t="str"/>
      <x:c r="X1001" s="43" t="str"/>
      <x:c r="Y1001" s="43" t="str"/>
      <x:c r="Z1001" s="43" t="str">
        <x:v>https://www.get-information-schools.service.gov.uk/Downloads</x:v>
      </x:c>
    </x:row>
    <x:row r="1002">
      <x:c r="A1002" s="43" t="str">
        <x:v>UK independent</x:v>
      </x:c>
      <x:c r="B1002" s="43" t="str">
        <x:v>114633</x:v>
      </x:c>
      <x:c r="C1002" s="43" t="n">
        <x:f>IF(K1002="Boarding school",30,0)+IF(J1002&gt;=18,20,0)+IF(I1002&lt;=11,10,0)+IF(L1002="Has a sixth form",15,0)+IF(M1002&gt;=200,10,0)+IF(N1002&lt;&gt;"",10,0)</x:f>
        <x:v>30</x:v>
      </x:c>
      <x:c r="D1002" s="43" t="str">
        <x:f>IF(C1002&gt;=85,"A",IF(C1002&gt;=65,"B","C"))</x:f>
        <x:v>C</x:v>
      </x:c>
      <x:c r="E1002" s="43" t="str">
        <x:v>Skippers Hill Manor Preparatory School</x:v>
      </x:c>
      <x:c r="F1002" s="43" t="str">
        <x:v>Mayfield</x:v>
      </x:c>
      <x:c r="G1002" s="43" t="str">
        <x:v>East Sussex</x:v>
      </x:c>
      <x:c r="H1002" s="43" t="str">
        <x:v>TN20 6HR</x:v>
      </x:c>
      <x:c r="I1002" s="43" t="n">
        <x:v>2</x:v>
      </x:c>
      <x:c r="J1002" s="43" t="n">
        <x:v>13</x:v>
      </x:c>
      <x:c r="K1002" s="43" t="str">
        <x:v>No boarders</x:v>
      </x:c>
      <x:c r="L1002" s="43" t="str">
        <x:v>Does not have a sixth form</x:v>
      </x:c>
      <x:c r="M1002" s="43" t="n">
        <x:v>205</x:v>
      </x:c>
      <x:c r="N1002" s="43" t="str">
        <x:v>http://www.skippershill.com/</x:v>
      </x:c>
      <x:c r="O1002" s="43" t="str">
        <x:v>01825830234</x:v>
      </x:c>
      <x:c r="P1002" s="43" t="str"/>
      <x:c r="Q1002" s="43" t="str"/>
      <x:c r="R1002" s="43" t="str">
        <x:v>Queued for contact research</x:v>
      </x:c>
      <x:c r="S1002" s="43" t="str">
        <x:v>Not reviewed</x:v>
      </x:c>
      <x:c r="T1002" s="43" t="str">
        <x:v>Hold</x:v>
      </x:c>
      <x:c r="U1002" s="43" t="str">
        <x:v>No</x:v>
      </x:c>
      <x:c r="V1002" s="44"/>
      <x:c r="W1002" s="43" t="str"/>
      <x:c r="X1002" s="43" t="str"/>
      <x:c r="Y1002" s="43" t="str"/>
      <x:c r="Z1002" s="43" t="str">
        <x:v>https://www.get-information-schools.service.gov.uk/Downloads</x:v>
      </x:c>
    </x:row>
    <x:row r="1003">
      <x:c r="A1003" s="43" t="str">
        <x:v>UK independent</x:v>
      </x:c>
      <x:c r="B1003" s="43" t="str">
        <x:v>125447</x:v>
      </x:c>
      <x:c r="C1003" s="43" t="n">
        <x:f>IF(K1003="Boarding school",30,0)+IF(J1003&gt;=18,20,0)+IF(I1003&lt;=11,10,0)+IF(L1003="Has a sixth form",15,0)+IF(M1003&gt;=200,10,0)+IF(N1003&lt;&gt;"",10,0)</x:f>
        <x:v>30</x:v>
      </x:c>
      <x:c r="D1003" s="43" t="str">
        <x:f>IF(C1003&gt;=85,"A",IF(C1003&gt;=65,"B","C"))</x:f>
        <x:v>C</x:v>
      </x:c>
      <x:c r="E1003" s="43" t="str">
        <x:v>Notre Dame Preparatory School</x:v>
      </x:c>
      <x:c r="F1003" s="43" t="str"/>
      <x:c r="G1003" s="43" t="str"/>
      <x:c r="H1003" s="43" t="str">
        <x:v>KT11 1HA</x:v>
      </x:c>
      <x:c r="I1003" s="43" t="n">
        <x:v>2</x:v>
      </x:c>
      <x:c r="J1003" s="43" t="n">
        <x:v>11</x:v>
      </x:c>
      <x:c r="K1003" s="43" t="str">
        <x:v>No boarders</x:v>
      </x:c>
      <x:c r="L1003" s="43" t="str">
        <x:v>Does not have a sixth form</x:v>
      </x:c>
      <x:c r="M1003" s="43" t="n">
        <x:v>204</x:v>
      </x:c>
      <x:c r="N1003" s="43" t="str">
        <x:v>https://www.notredame.co.uk</x:v>
      </x:c>
      <x:c r="O1003" s="43" t="str">
        <x:v>01932869990</x:v>
      </x:c>
      <x:c r="P1003" s="43" t="str"/>
      <x:c r="Q1003" s="43" t="str"/>
      <x:c r="R1003" s="43" t="str">
        <x:v>Queued for contact research</x:v>
      </x:c>
      <x:c r="S1003" s="43" t="str">
        <x:v>Not reviewed</x:v>
      </x:c>
      <x:c r="T1003" s="43" t="str">
        <x:v>Hold</x:v>
      </x:c>
      <x:c r="U1003" s="43" t="str">
        <x:v>No</x:v>
      </x:c>
      <x:c r="V1003" s="44"/>
      <x:c r="W1003" s="43" t="str"/>
      <x:c r="X1003" s="43" t="str"/>
      <x:c r="Y1003" s="43" t="str"/>
      <x:c r="Z1003" s="43" t="str">
        <x:v>https://www.get-information-schools.service.gov.uk/Downloads</x:v>
      </x:c>
    </x:row>
    <x:row r="1004">
      <x:c r="A1004" s="43" t="str">
        <x:v>UK independent</x:v>
      </x:c>
      <x:c r="B1004" s="43" t="str">
        <x:v>101690</x:v>
      </x:c>
      <x:c r="C1004" s="43" t="n">
        <x:f>IF(K1004="Boarding school",30,0)+IF(J1004&gt;=18,20,0)+IF(I1004&lt;=11,10,0)+IF(L1004="Has a sixth form",15,0)+IF(M1004&gt;=200,10,0)+IF(N1004&lt;&gt;"",10,0)</x:f>
        <x:v>30</x:v>
      </x:c>
      <x:c r="D1004" s="43" t="str">
        <x:f>IF(C1004&gt;=85,"A",IF(C1004&gt;=65,"B","C"))</x:f>
        <x:v>C</x:v>
      </x:c>
      <x:c r="E1004" s="43" t="str">
        <x:v>St David's Prep</x:v>
      </x:c>
      <x:c r="F1004" s="43" t="str">
        <x:v>West Wickham</x:v>
      </x:c>
      <x:c r="G1004" s="43" t="str">
        <x:v>Kent</x:v>
      </x:c>
      <x:c r="H1004" s="43" t="str">
        <x:v>BR4 0QS</x:v>
      </x:c>
      <x:c r="I1004" s="43" t="n">
        <x:v>3</x:v>
      </x:c>
      <x:c r="J1004" s="43" t="n">
        <x:v>11</x:v>
      </x:c>
      <x:c r="K1004" s="43" t="str">
        <x:v>No boarders</x:v>
      </x:c>
      <x:c r="L1004" s="43" t="str">
        <x:v>Does not have a sixth form</x:v>
      </x:c>
      <x:c r="M1004" s="43" t="n">
        <x:v>204</x:v>
      </x:c>
      <x:c r="N1004" s="43" t="str">
        <x:v>https://www.stdavidsprep.com</x:v>
      </x:c>
      <x:c r="O1004" s="43" t="str">
        <x:v>02087775852</x:v>
      </x:c>
      <x:c r="P1004" s="43" t="str"/>
      <x:c r="Q1004" s="43" t="str"/>
      <x:c r="R1004" s="43" t="str">
        <x:v>Queued for contact research</x:v>
      </x:c>
      <x:c r="S1004" s="43" t="str">
        <x:v>Not reviewed</x:v>
      </x:c>
      <x:c r="T1004" s="43" t="str">
        <x:v>Hold</x:v>
      </x:c>
      <x:c r="U1004" s="43" t="str">
        <x:v>No</x:v>
      </x:c>
      <x:c r="V1004" s="44"/>
      <x:c r="W1004" s="43" t="str"/>
      <x:c r="X1004" s="43" t="str"/>
      <x:c r="Y1004" s="43" t="str"/>
      <x:c r="Z1004" s="43" t="str">
        <x:v>https://www.get-information-schools.service.gov.uk/Downloads</x:v>
      </x:c>
    </x:row>
    <x:row r="1005">
      <x:c r="A1005" s="43" t="str">
        <x:v>UK independent</x:v>
      </x:c>
      <x:c r="B1005" s="43" t="str">
        <x:v>101089</x:v>
      </x:c>
      <x:c r="C1005" s="43" t="n">
        <x:f>IF(K1005="Boarding school",30,0)+IF(J1005&gt;=18,20,0)+IF(I1005&lt;=11,10,0)+IF(L1005="Has a sixth form",15,0)+IF(M1005&gt;=200,10,0)+IF(N1005&lt;&gt;"",10,0)</x:f>
        <x:v>30</x:v>
      </x:c>
      <x:c r="D1005" s="43" t="str">
        <x:f>IF(C1005&gt;=85,"A",IF(C1005&gt;=65,"B","C"))</x:f>
        <x:v>C</x:v>
      </x:c>
      <x:c r="E1005" s="43" t="str">
        <x:v>Broomwood Prep - Boys</x:v>
      </x:c>
      <x:c r="F1005" s="43" t="str">
        <x:v>London</x:v>
      </x:c>
      <x:c r="G1005" s="43" t="str"/>
      <x:c r="H1005" s="43" t="str">
        <x:v>SW11 6EL</x:v>
      </x:c>
      <x:c r="I1005" s="43" t="n">
        <x:v>7</x:v>
      </x:c>
      <x:c r="J1005" s="43" t="n">
        <x:v>13</x:v>
      </x:c>
      <x:c r="K1005" s="43" t="str">
        <x:v>No boarders</x:v>
      </x:c>
      <x:c r="L1005" s="43" t="str">
        <x:v>Does not have a sixth form</x:v>
      </x:c>
      <x:c r="M1005" s="43" t="n">
        <x:v>203</x:v>
      </x:c>
      <x:c r="N1005" s="43" t="str">
        <x:v>https://www.broomwood.com</x:v>
      </x:c>
      <x:c r="O1005" s="43" t="str">
        <x:v>02086828888</x:v>
      </x:c>
      <x:c r="P1005" s="43" t="str"/>
      <x:c r="Q1005" s="43" t="str"/>
      <x:c r="R1005" s="43" t="str">
        <x:v>Queued for contact research</x:v>
      </x:c>
      <x:c r="S1005" s="43" t="str">
        <x:v>Not reviewed</x:v>
      </x:c>
      <x:c r="T1005" s="43" t="str">
        <x:v>Hold</x:v>
      </x:c>
      <x:c r="U1005" s="43" t="str">
        <x:v>No</x:v>
      </x:c>
      <x:c r="V1005" s="44"/>
      <x:c r="W1005" s="43" t="str"/>
      <x:c r="X1005" s="43" t="str"/>
      <x:c r="Y1005" s="43" t="str"/>
      <x:c r="Z1005" s="43" t="str">
        <x:v>https://www.get-information-schools.service.gov.uk/Downloads</x:v>
      </x:c>
    </x:row>
    <x:row r="1006">
      <x:c r="A1006" s="43" t="str">
        <x:v>UK independent</x:v>
      </x:c>
      <x:c r="B1006" s="43" t="str">
        <x:v>135404</x:v>
      </x:c>
      <x:c r="C1006" s="43" t="n">
        <x:f>IF(K1006="Boarding school",30,0)+IF(J1006&gt;=18,20,0)+IF(I1006&lt;=11,10,0)+IF(L1006="Has a sixth form",15,0)+IF(M1006&gt;=200,10,0)+IF(N1006&lt;&gt;"",10,0)</x:f>
        <x:v>30</x:v>
      </x:c>
      <x:c r="D1006" s="43" t="str">
        <x:f>IF(C1006&gt;=85,"A",IF(C1006&gt;=65,"B","C"))</x:f>
        <x:v>C</x:v>
      </x:c>
      <x:c r="E1006" s="43" t="str">
        <x:v>Heritage School</x:v>
      </x:c>
      <x:c r="F1006" s="43" t="str">
        <x:v>Cambridge</x:v>
      </x:c>
      <x:c r="G1006" s="43" t="str">
        <x:v>Cambridgeshire</x:v>
      </x:c>
      <x:c r="H1006" s="43" t="str">
        <x:v>CB2 1JE</x:v>
      </x:c>
      <x:c r="I1006" s="43" t="n">
        <x:v>4</x:v>
      </x:c>
      <x:c r="J1006" s="43" t="n">
        <x:v>16</x:v>
      </x:c>
      <x:c r="K1006" s="43" t="str">
        <x:v>No boarders</x:v>
      </x:c>
      <x:c r="L1006" s="43" t="str">
        <x:v>Does not have a sixth form</x:v>
      </x:c>
      <x:c r="M1006" s="43" t="n">
        <x:v>203</x:v>
      </x:c>
      <x:c r="N1006" s="43" t="str">
        <x:v>https://www.heritageschool.org.uk</x:v>
      </x:c>
      <x:c r="O1006" s="43" t="str">
        <x:v>01223350615</x:v>
      </x:c>
      <x:c r="P1006" s="43" t="str"/>
      <x:c r="Q1006" s="43" t="str"/>
      <x:c r="R1006" s="43" t="str">
        <x:v>Queued for contact research</x:v>
      </x:c>
      <x:c r="S1006" s="43" t="str">
        <x:v>Not reviewed</x:v>
      </x:c>
      <x:c r="T1006" s="43" t="str">
        <x:v>Hold</x:v>
      </x:c>
      <x:c r="U1006" s="43" t="str">
        <x:v>No</x:v>
      </x:c>
      <x:c r="V1006" s="44"/>
      <x:c r="W1006" s="43" t="str"/>
      <x:c r="X1006" s="43" t="str"/>
      <x:c r="Y1006" s="43" t="str"/>
      <x:c r="Z1006" s="43" t="str">
        <x:v>https://www.get-information-schools.service.gov.uk/Downloads</x:v>
      </x:c>
    </x:row>
    <x:row r="1007">
      <x:c r="A1007" s="43" t="str">
        <x:v>UK independent</x:v>
      </x:c>
      <x:c r="B1007" s="43" t="str">
        <x:v>106151</x:v>
      </x:c>
      <x:c r="C1007" s="43" t="n">
        <x:f>IF(K1007="Boarding school",30,0)+IF(J1007&gt;=18,20,0)+IF(I1007&lt;=11,10,0)+IF(L1007="Has a sixth form",15,0)+IF(M1007&gt;=200,10,0)+IF(N1007&lt;&gt;"",10,0)</x:f>
        <x:v>30</x:v>
      </x:c>
      <x:c r="D1007" s="43" t="str">
        <x:f>IF(C1007&gt;=85,"A",IF(C1007&gt;=65,"B","C"))</x:f>
        <x:v>C</x:v>
      </x:c>
      <x:c r="E1007" s="43" t="str">
        <x:v>Hulme Hall Grammar School</x:v>
      </x:c>
      <x:c r="F1007" s="43" t="str">
        <x:v>Stockport</x:v>
      </x:c>
      <x:c r="G1007" s="43" t="str">
        <x:v>Cheshire</x:v>
      </x:c>
      <x:c r="H1007" s="43" t="str">
        <x:v>SK3 8HA</x:v>
      </x:c>
      <x:c r="I1007" s="43" t="n">
        <x:v>2</x:v>
      </x:c>
      <x:c r="J1007" s="43" t="n">
        <x:v>16</x:v>
      </x:c>
      <x:c r="K1007" s="43" t="str">
        <x:v>No boarders</x:v>
      </x:c>
      <x:c r="L1007" s="43" t="str">
        <x:v>Does not have a sixth form</x:v>
      </x:c>
      <x:c r="M1007" s="43" t="n">
        <x:v>203</x:v>
      </x:c>
      <x:c r="N1007" s="43" t="str">
        <x:v>https://www.hulmehallschool.org</x:v>
      </x:c>
      <x:c r="O1007" s="43" t="str">
        <x:v>01614853524</x:v>
      </x:c>
      <x:c r="P1007" s="43" t="str"/>
      <x:c r="Q1007" s="43" t="str"/>
      <x:c r="R1007" s="43" t="str">
        <x:v>Queued for contact research</x:v>
      </x:c>
      <x:c r="S1007" s="43" t="str">
        <x:v>Not reviewed</x:v>
      </x:c>
      <x:c r="T1007" s="43" t="str">
        <x:v>Hold</x:v>
      </x:c>
      <x:c r="U1007" s="43" t="str">
        <x:v>No</x:v>
      </x:c>
      <x:c r="V1007" s="44"/>
      <x:c r="W1007" s="43" t="str"/>
      <x:c r="X1007" s="43" t="str"/>
      <x:c r="Y1007" s="43" t="str"/>
      <x:c r="Z1007" s="43" t="str">
        <x:v>https://www.get-information-schools.service.gov.uk/Downloads</x:v>
      </x:c>
    </x:row>
    <x:row r="1008">
      <x:c r="A1008" s="43" t="str">
        <x:v>UK independent</x:v>
      </x:c>
      <x:c r="B1008" s="43" t="str">
        <x:v>118975</x:v>
      </x:c>
      <x:c r="C1008" s="43" t="n">
        <x:f>IF(K1008="Boarding school",30,0)+IF(J1008&gt;=18,20,0)+IF(I1008&lt;=11,10,0)+IF(L1008="Has a sixth form",15,0)+IF(M1008&gt;=200,10,0)+IF(N1008&lt;&gt;"",10,0)</x:f>
        <x:v>30</x:v>
      </x:c>
      <x:c r="D1008" s="43" t="str">
        <x:f>IF(C1008&gt;=85,"A",IF(C1008&gt;=65,"B","C"))</x:f>
        <x:v>C</x:v>
      </x:c>
      <x:c r="E1008" s="43" t="str">
        <x:v>The Mead School</x:v>
      </x:c>
      <x:c r="F1008" s="43" t="str">
        <x:v>Tunbridge Wells</x:v>
      </x:c>
      <x:c r="G1008" s="43" t="str">
        <x:v>Kent</x:v>
      </x:c>
      <x:c r="H1008" s="43" t="str">
        <x:v>TN2 5SN</x:v>
      </x:c>
      <x:c r="I1008" s="43" t="n">
        <x:v>3</x:v>
      </x:c>
      <x:c r="J1008" s="43" t="n">
        <x:v>11</x:v>
      </x:c>
      <x:c r="K1008" s="43" t="str">
        <x:v>No boarders</x:v>
      </x:c>
      <x:c r="L1008" s="43" t="str">
        <x:v>Does not have a sixth form</x:v>
      </x:c>
      <x:c r="M1008" s="43" t="n">
        <x:v>203</x:v>
      </x:c>
      <x:c r="N1008" s="43" t="str">
        <x:v>https://www.themeadschool.co.uk</x:v>
      </x:c>
      <x:c r="O1008" s="43" t="str">
        <x:v>01892525837</x:v>
      </x:c>
      <x:c r="P1008" s="43" t="str"/>
      <x:c r="Q1008" s="43" t="str"/>
      <x:c r="R1008" s="43" t="str">
        <x:v>Queued for contact research</x:v>
      </x:c>
      <x:c r="S1008" s="43" t="str">
        <x:v>Not reviewed</x:v>
      </x:c>
      <x:c r="T1008" s="43" t="str">
        <x:v>Hold</x:v>
      </x:c>
      <x:c r="U1008" s="43" t="str">
        <x:v>No</x:v>
      </x:c>
      <x:c r="V1008" s="44"/>
      <x:c r="W1008" s="43" t="str"/>
      <x:c r="X1008" s="43" t="str"/>
      <x:c r="Y1008" s="43" t="str"/>
      <x:c r="Z1008" s="43" t="str">
        <x:v>https://www.get-information-schools.service.gov.uk/Downloads</x:v>
      </x:c>
    </x:row>
    <x:row r="1009">
      <x:c r="A1009" s="43" t="str">
        <x:v>UK independent</x:v>
      </x:c>
      <x:c r="B1009" s="43" t="str">
        <x:v>126114</x:v>
      </x:c>
      <x:c r="C1009" s="43" t="n">
        <x:f>IF(K1009="Boarding school",30,0)+IF(J1009&gt;=18,20,0)+IF(I1009&lt;=11,10,0)+IF(L1009="Has a sixth form",15,0)+IF(M1009&gt;=200,10,0)+IF(N1009&lt;&gt;"",10,0)</x:f>
        <x:v>30</x:v>
      </x:c>
      <x:c r="D1009" s="43" t="str">
        <x:f>IF(C1009&gt;=85,"A",IF(C1009&gt;=65,"B","C"))</x:f>
        <x:v>C</x:v>
      </x:c>
      <x:c r="E1009" s="43" t="str">
        <x:v>Lancing College Preparatory School at Worthing</x:v>
      </x:c>
      <x:c r="F1009" s="43" t="str">
        <x:v>Worthing</x:v>
      </x:c>
      <x:c r="G1009" s="43" t="str">
        <x:v>West Sussex</x:v>
      </x:c>
      <x:c r="H1009" s="43" t="str">
        <x:v>BN14 8HU</x:v>
      </x:c>
      <x:c r="I1009" s="43" t="n">
        <x:v>2</x:v>
      </x:c>
      <x:c r="J1009" s="43" t="n">
        <x:v>13</x:v>
      </x:c>
      <x:c r="K1009" s="43" t="str">
        <x:v>No boarders</x:v>
      </x:c>
      <x:c r="L1009" s="43" t="str">
        <x:v>Does not have a sixth form</x:v>
      </x:c>
      <x:c r="M1009" s="43" t="n">
        <x:v>202</x:v>
      </x:c>
      <x:c r="N1009" s="43" t="str">
        <x:v>https://www.lancingcollege.co.uk</x:v>
      </x:c>
      <x:c r="O1009" s="43" t="str">
        <x:v>01903201123</x:v>
      </x:c>
      <x:c r="P1009" s="43" t="str"/>
      <x:c r="Q1009" s="43" t="str"/>
      <x:c r="R1009" s="43" t="str">
        <x:v>Queued for contact research</x:v>
      </x:c>
      <x:c r="S1009" s="43" t="str">
        <x:v>Not reviewed</x:v>
      </x:c>
      <x:c r="T1009" s="43" t="str">
        <x:v>Hold</x:v>
      </x:c>
      <x:c r="U1009" s="43" t="str">
        <x:v>No</x:v>
      </x:c>
      <x:c r="V1009" s="44"/>
      <x:c r="W1009" s="43" t="str"/>
      <x:c r="X1009" s="43" t="str"/>
      <x:c r="Y1009" s="43" t="str"/>
      <x:c r="Z1009" s="43" t="str">
        <x:v>https://www.get-information-schools.service.gov.uk/Downloads</x:v>
      </x:c>
    </x:row>
    <x:row r="1010">
      <x:c r="A1010" s="43" t="str">
        <x:v>UK independent</x:v>
      </x:c>
      <x:c r="B1010" s="43" t="str">
        <x:v>125414</x:v>
      </x:c>
      <x:c r="C1010" s="43" t="n">
        <x:f>IF(K1010="Boarding school",30,0)+IF(J1010&gt;=18,20,0)+IF(I1010&lt;=11,10,0)+IF(L1010="Has a sixth form",15,0)+IF(M1010&gt;=200,10,0)+IF(N1010&lt;&gt;"",10,0)</x:f>
        <x:v>30</x:v>
      </x:c>
      <x:c r="D1010" s="43" t="str">
        <x:f>IF(C1010&gt;=85,"A",IF(C1010&gt;=65,"B","C"))</x:f>
        <x:v>C</x:v>
      </x:c>
      <x:c r="E1010" s="43" t="str">
        <x:v>Staines Preparatory School</x:v>
      </x:c>
      <x:c r="F1010" s="43" t="str"/>
      <x:c r="G1010" s="43" t="str"/>
      <x:c r="H1010" s="43" t="str">
        <x:v>TW18 2BT</x:v>
      </x:c>
      <x:c r="I1010" s="43" t="n">
        <x:v>2</x:v>
      </x:c>
      <x:c r="J1010" s="43" t="n">
        <x:v>11</x:v>
      </x:c>
      <x:c r="K1010" s="43" t="str">
        <x:v>No boarders</x:v>
      </x:c>
      <x:c r="L1010" s="43" t="str">
        <x:v>Does not have a sixth form</x:v>
      </x:c>
      <x:c r="M1010" s="43" t="n">
        <x:v>202</x:v>
      </x:c>
      <x:c r="N1010" s="43" t="str">
        <x:v>https://www.stainesprep.co.uk</x:v>
      </x:c>
      <x:c r="O1010" s="43" t="str">
        <x:v>01784450909</x:v>
      </x:c>
      <x:c r="P1010" s="43" t="str"/>
      <x:c r="Q1010" s="43" t="str"/>
      <x:c r="R1010" s="43" t="str">
        <x:v>Queued for contact research</x:v>
      </x:c>
      <x:c r="S1010" s="43" t="str">
        <x:v>Not reviewed</x:v>
      </x:c>
      <x:c r="T1010" s="43" t="str">
        <x:v>Hold</x:v>
      </x:c>
      <x:c r="U1010" s="43" t="str">
        <x:v>No</x:v>
      </x:c>
      <x:c r="V1010" s="44"/>
      <x:c r="W1010" s="43" t="str"/>
      <x:c r="X1010" s="43" t="str"/>
      <x:c r="Y1010" s="43" t="str"/>
      <x:c r="Z1010" s="43" t="str">
        <x:v>https://www.get-information-schools.service.gov.uk/Downloads</x:v>
      </x:c>
    </x:row>
    <x:row r="1011">
      <x:c r="A1011" s="43" t="str">
        <x:v>UK independent</x:v>
      </x:c>
      <x:c r="B1011" s="43" t="str">
        <x:v>116590</x:v>
      </x:c>
      <x:c r="C1011" s="43" t="n">
        <x:f>IF(K1011="Boarding school",30,0)+IF(J1011&gt;=18,20,0)+IF(I1011&lt;=11,10,0)+IF(L1011="Has a sixth form",15,0)+IF(M1011&gt;=200,10,0)+IF(N1011&lt;&gt;"",10,0)</x:f>
        <x:v>30</x:v>
      </x:c>
      <x:c r="D1011" s="43" t="str">
        <x:f>IF(C1011&gt;=85,"A",IF(C1011&gt;=65,"B","C"))</x:f>
        <x:v>C</x:v>
      </x:c>
      <x:c r="E1011" s="43" t="str">
        <x:v>Thorngrove School</x:v>
      </x:c>
      <x:c r="F1011" s="43" t="str">
        <x:v>Newbury</x:v>
      </x:c>
      <x:c r="G1011" s="43" t="str">
        <x:v>Berkshire</x:v>
      </x:c>
      <x:c r="H1011" s="43" t="str">
        <x:v>RG20 9PS</x:v>
      </x:c>
      <x:c r="I1011" s="43" t="n">
        <x:v>2</x:v>
      </x:c>
      <x:c r="J1011" s="43" t="n">
        <x:v>13</x:v>
      </x:c>
      <x:c r="K1011" s="43" t="str">
        <x:v>No boarders</x:v>
      </x:c>
      <x:c r="L1011" s="43" t="str">
        <x:v>Does not have a sixth form</x:v>
      </x:c>
      <x:c r="M1011" s="43" t="n">
        <x:v>202</x:v>
      </x:c>
      <x:c r="N1011" s="43" t="str">
        <x:v>https://www.thorngroveschool.co.uk/</x:v>
      </x:c>
      <x:c r="O1011" s="43" t="str">
        <x:v>01635253172</x:v>
      </x:c>
      <x:c r="P1011" s="43" t="str"/>
      <x:c r="Q1011" s="43" t="str"/>
      <x:c r="R1011" s="43" t="str">
        <x:v>Queued for contact research</x:v>
      </x:c>
      <x:c r="S1011" s="43" t="str">
        <x:v>Not reviewed</x:v>
      </x:c>
      <x:c r="T1011" s="43" t="str">
        <x:v>Hold</x:v>
      </x:c>
      <x:c r="U1011" s="43" t="str">
        <x:v>No</x:v>
      </x:c>
      <x:c r="V1011" s="44"/>
      <x:c r="W1011" s="43" t="str"/>
      <x:c r="X1011" s="43" t="str"/>
      <x:c r="Y1011" s="43" t="str"/>
      <x:c r="Z1011" s="43" t="str">
        <x:v>https://www.get-information-schools.service.gov.uk/Downloads</x:v>
      </x:c>
    </x:row>
    <x:row r="1012">
      <x:c r="A1012" s="43" t="str">
        <x:v>UK independent</x:v>
      </x:c>
      <x:c r="B1012" s="43" t="str">
        <x:v>125335</x:v>
      </x:c>
      <x:c r="C1012" s="43" t="n">
        <x:f>IF(K1012="Boarding school",30,0)+IF(J1012&gt;=18,20,0)+IF(I1012&lt;=11,10,0)+IF(L1012="Has a sixth form",15,0)+IF(M1012&gt;=200,10,0)+IF(N1012&lt;&gt;"",10,0)</x:f>
        <x:v>30</x:v>
      </x:c>
      <x:c r="D1012" s="43" t="str">
        <x:f>IF(C1012&gt;=85,"A",IF(C1012&gt;=65,"B","C"))</x:f>
        <x:v>C</x:v>
      </x:c>
      <x:c r="E1012" s="43" t="str">
        <x:v>Milbourne Lodge School</x:v>
      </x:c>
      <x:c r="F1012" s="43" t="str">
        <x:v>Esher</x:v>
      </x:c>
      <x:c r="G1012" s="43" t="str">
        <x:v>Surrey</x:v>
      </x:c>
      <x:c r="H1012" s="43" t="str">
        <x:v>KT10 9EG</x:v>
      </x:c>
      <x:c r="I1012" s="43" t="n">
        <x:v>4</x:v>
      </x:c>
      <x:c r="J1012" s="43" t="n">
        <x:v>13</x:v>
      </x:c>
      <x:c r="K1012" s="43" t="str">
        <x:v>No boarders</x:v>
      </x:c>
      <x:c r="L1012" s="43" t="str">
        <x:v>Does not have a sixth form</x:v>
      </x:c>
      <x:c r="M1012" s="43" t="n">
        <x:v>200</x:v>
      </x:c>
      <x:c r="N1012" s="43" t="str">
        <x:v>https://www.milbournelodge.co.uk</x:v>
      </x:c>
      <x:c r="O1012" s="43" t="str">
        <x:v>01372462737</x:v>
      </x:c>
      <x:c r="P1012" s="43" t="str"/>
      <x:c r="Q1012" s="43" t="str"/>
      <x:c r="R1012" s="43" t="str">
        <x:v>Queued for contact research</x:v>
      </x:c>
      <x:c r="S1012" s="43" t="str">
        <x:v>Not reviewed</x:v>
      </x:c>
      <x:c r="T1012" s="43" t="str">
        <x:v>Hold</x:v>
      </x:c>
      <x:c r="U1012" s="43" t="str">
        <x:v>No</x:v>
      </x:c>
      <x:c r="V1012" s="44"/>
      <x:c r="W1012" s="43" t="str"/>
      <x:c r="X1012" s="43" t="str"/>
      <x:c r="Y1012" s="43" t="str"/>
      <x:c r="Z1012" s="43" t="str">
        <x:v>https://www.get-information-schools.service.gov.uk/Downloads</x:v>
      </x:c>
    </x:row>
    <x:row r="1013">
      <x:c r="A1013" s="43" t="str">
        <x:v>UK independent</x:v>
      </x:c>
      <x:c r="B1013" s="43" t="str">
        <x:v>114639</x:v>
      </x:c>
      <x:c r="C1013" s="43" t="n">
        <x:f>IF(K1013="Boarding school",30,0)+IF(J1013&gt;=18,20,0)+IF(I1013&lt;=11,10,0)+IF(L1013="Has a sixth form",15,0)+IF(M1013&gt;=200,10,0)+IF(N1013&lt;&gt;"",10,0)</x:f>
        <x:v>30</x:v>
      </x:c>
      <x:c r="D1013" s="43" t="str">
        <x:f>IF(C1013&gt;=85,"A",IF(C1013&gt;=65,"B","C"))</x:f>
        <x:v>C</x:v>
      </x:c>
      <x:c r="E1013" s="43" t="str">
        <x:v>St Christopher's School</x:v>
      </x:c>
      <x:c r="F1013" s="43" t="str">
        <x:v>Hove</x:v>
      </x:c>
      <x:c r="G1013" s="43" t="str">
        <x:v>East Sussex</x:v>
      </x:c>
      <x:c r="H1013" s="43" t="str">
        <x:v>BN3 4AD</x:v>
      </x:c>
      <x:c r="I1013" s="43" t="n">
        <x:v>4</x:v>
      </x:c>
      <x:c r="J1013" s="43" t="n">
        <x:v>13</x:v>
      </x:c>
      <x:c r="K1013" s="43" t="str">
        <x:v>No boarders</x:v>
      </x:c>
      <x:c r="L1013" s="43" t="str">
        <x:v>Does not have a sixth form</x:v>
      </x:c>
      <x:c r="M1013" s="43" t="n">
        <x:v>200</x:v>
      </x:c>
      <x:c r="N1013" s="43" t="str">
        <x:v>https://www.stchristophershove.org.uk</x:v>
      </x:c>
      <x:c r="O1013" s="43" t="str">
        <x:v>01273735404</x:v>
      </x:c>
      <x:c r="P1013" s="43" t="str"/>
      <x:c r="Q1013" s="43" t="str"/>
      <x:c r="R1013" s="43" t="str">
        <x:v>Queued for contact research</x:v>
      </x:c>
      <x:c r="S1013" s="43" t="str">
        <x:v>Not reviewed</x:v>
      </x:c>
      <x:c r="T1013" s="43" t="str">
        <x:v>Hold</x:v>
      </x:c>
      <x:c r="U1013" s="43" t="str">
        <x:v>No</x:v>
      </x:c>
      <x:c r="V1013" s="44"/>
      <x:c r="W1013" s="43" t="str"/>
      <x:c r="X1013" s="43" t="str"/>
      <x:c r="Y1013" s="43" t="str"/>
      <x:c r="Z1013" s="43" t="str">
        <x:v>https://www.get-information-schools.service.gov.uk/Downloads</x:v>
      </x:c>
    </x:row>
    <x:row r="1014">
      <x:c r="A1014" s="43" t="str">
        <x:v>UK independent</x:v>
      </x:c>
      <x:c r="B1014" s="43" t="str">
        <x:v>151776</x:v>
      </x:c>
      <x:c r="C1014" s="43" t="n">
        <x:f>IF(K1014="Boarding school",30,0)+IF(J1014&gt;=18,20,0)+IF(I1014&lt;=11,10,0)+IF(L1014="Has a sixth form",15,0)+IF(M1014&gt;=200,10,0)+IF(N1014&lt;&gt;"",10,0)</x:f>
        <x:v>30</x:v>
      </x:c>
      <x:c r="D1014" s="43" t="str">
        <x:f>IF(C1014&gt;=85,"A",IF(C1014&gt;=65,"B","C"))</x:f>
        <x:v>C</x:v>
      </x:c>
      <x:c r="E1014" s="43" t="str">
        <x:v>The Lodge AP</x:v>
      </x:c>
      <x:c r="F1014" s="43" t="str">
        <x:v>Sandbach</x:v>
      </x:c>
      <x:c r="G1014" s="43" t="str"/>
      <x:c r="H1014" s="43" t="str">
        <x:v>CW11 4NE</x:v>
      </x:c>
      <x:c r="I1014" s="43" t="n">
        <x:v>13</x:v>
      </x:c>
      <x:c r="J1014" s="43" t="n">
        <x:v>18</x:v>
      </x:c>
      <x:c r="K1014" s="43" t="str">
        <x:v>No boarders</x:v>
      </x:c>
      <x:c r="L1014" s="43" t="str">
        <x:v>Not applicable</x:v>
      </x:c>
      <x:c r="M1014" s="43" t="n">
        <x:v>16</x:v>
      </x:c>
      <x:c r="N1014" s="43" t="str">
        <x:v>https://thelodgeap.org/</x:v>
      </x:c>
      <x:c r="O1014" s="43" t="str">
        <x:v>01270758880</x:v>
      </x:c>
      <x:c r="P1014" s="43" t="str"/>
      <x:c r="Q1014" s="43" t="str"/>
      <x:c r="R1014" s="43" t="str">
        <x:v>Queued for contact research</x:v>
      </x:c>
      <x:c r="S1014" s="43" t="str">
        <x:v>Not reviewed</x:v>
      </x:c>
      <x:c r="T1014" s="43" t="str">
        <x:v>Hold</x:v>
      </x:c>
      <x:c r="U1014" s="43" t="str">
        <x:v>No</x:v>
      </x:c>
      <x:c r="V1014" s="44"/>
      <x:c r="W1014" s="43" t="str"/>
      <x:c r="X1014" s="43" t="str"/>
      <x:c r="Y1014" s="43" t="str"/>
      <x:c r="Z1014" s="43" t="str">
        <x:v>https://www.get-information-schools.service.gov.uk/Downloads</x:v>
      </x:c>
    </x:row>
    <x:row r="1015">
      <x:c r="A1015" s="43" t="str">
        <x:v>UK independent</x:v>
      </x:c>
      <x:c r="B1015" s="43" t="str">
        <x:v>152656</x:v>
      </x:c>
      <x:c r="C1015" s="43" t="n">
        <x:f>IF(K1015="Boarding school",30,0)+IF(J1015&gt;=18,20,0)+IF(I1015&lt;=11,10,0)+IF(L1015="Has a sixth form",15,0)+IF(M1015&gt;=200,10,0)+IF(N1015&lt;&gt;"",10,0)</x:f>
        <x:v>30</x:v>
      </x:c>
      <x:c r="D1015" s="43" t="str">
        <x:f>IF(C1015&gt;=85,"A",IF(C1015&gt;=65,"B","C"))</x:f>
        <x:v>C</x:v>
      </x:c>
      <x:c r="E1015" s="43" t="str">
        <x:v>Elderwood House School</x:v>
      </x:c>
      <x:c r="F1015" s="43" t="str">
        <x:v>Leavesden</x:v>
      </x:c>
      <x:c r="G1015" s="43" t="str"/>
      <x:c r="H1015" s="43" t="str">
        <x:v>WD25 7LP</x:v>
      </x:c>
      <x:c r="I1015" s="43" t="n">
        <x:v>10</x:v>
      </x:c>
      <x:c r="J1015" s="43" t="n">
        <x:v>18</x:v>
      </x:c>
      <x:c r="K1015" s="43" t="str">
        <x:v>No boarders</x:v>
      </x:c>
      <x:c r="L1015" s="43" t="str">
        <x:v>Not applicable</x:v>
      </x:c>
      <x:c r="M1015" s="43" t="n">
        <x:v>0</x:v>
      </x:c>
      <x:c r="N1015" s="43" t="str"/>
      <x:c r="O1015" s="43" t="str">
        <x:v>0203472365</x:v>
      </x:c>
      <x:c r="P1015" s="43" t="str"/>
      <x:c r="Q1015" s="43" t="str"/>
      <x:c r="R1015" s="43" t="str">
        <x:v>Queued for contact research</x:v>
      </x:c>
      <x:c r="S1015" s="43" t="str">
        <x:v>Not reviewed</x:v>
      </x:c>
      <x:c r="T1015" s="43" t="str">
        <x:v>Hold</x:v>
      </x:c>
      <x:c r="U1015" s="43" t="str">
        <x:v>No</x:v>
      </x:c>
      <x:c r="V1015" s="44"/>
      <x:c r="W1015" s="43" t="str"/>
      <x:c r="X1015" s="43" t="str"/>
      <x:c r="Y1015" s="43" t="str"/>
      <x:c r="Z1015" s="43" t="str">
        <x:v>https://www.get-information-schools.service.gov.uk/Downloads</x:v>
      </x:c>
    </x:row>
    <x:row r="1016">
      <x:c r="A1016" s="43" t="str">
        <x:v>UK independent</x:v>
      </x:c>
      <x:c r="B1016" s="43" t="str">
        <x:v>151698</x:v>
      </x:c>
      <x:c r="C1016" s="43" t="n">
        <x:f>IF(K1016="Boarding school",30,0)+IF(J1016&gt;=18,20,0)+IF(I1016&lt;=11,10,0)+IF(L1016="Has a sixth form",15,0)+IF(M1016&gt;=200,10,0)+IF(N1016&lt;&gt;"",10,0)</x:f>
        <x:v>25</x:v>
      </x:c>
      <x:c r="D1016" s="43" t="str">
        <x:f>IF(C1016&gt;=85,"A",IF(C1016&gt;=65,"B","C"))</x:f>
        <x:v>C</x:v>
      </x:c>
      <x:c r="E1016" s="43" t="str">
        <x:v>Wetherby Pembridge</x:v>
      </x:c>
      <x:c r="F1016" s="43" t="str">
        <x:v>London</x:v>
      </x:c>
      <x:c r="G1016" s="43" t="str"/>
      <x:c r="H1016" s="43" t="str">
        <x:v>W14 8UX</x:v>
      </x:c>
      <x:c r="I1016" s="43" t="n">
        <x:v>11</x:v>
      </x:c>
      <x:c r="J1016" s="43" t="n">
        <x:v>15</x:v>
      </x:c>
      <x:c r="K1016" s="43" t="str">
        <x:v>No boarders</x:v>
      </x:c>
      <x:c r="L1016" s="43" t="str">
        <x:v>Has a sixth form</x:v>
      </x:c>
      <x:c r="M1016" s="43" t="n">
        <x:v>100</x:v>
      </x:c>
      <x:c r="N1016" s="43" t="str"/>
      <x:c r="O1016" s="43" t="str">
        <x:v>02045533330</x:v>
      </x:c>
      <x:c r="P1016" s="43" t="str"/>
      <x:c r="Q1016" s="43" t="str"/>
      <x:c r="R1016" s="43" t="str">
        <x:v>Queued for contact research</x:v>
      </x:c>
      <x:c r="S1016" s="43" t="str">
        <x:v>Not reviewed</x:v>
      </x:c>
      <x:c r="T1016" s="43" t="str">
        <x:v>Hold</x:v>
      </x:c>
      <x:c r="U1016" s="43" t="str">
        <x:v>No</x:v>
      </x:c>
      <x:c r="V1016" s="44"/>
      <x:c r="W1016" s="43" t="str"/>
      <x:c r="X1016" s="43" t="str"/>
      <x:c r="Y1016" s="43" t="str"/>
      <x:c r="Z1016" s="43" t="str">
        <x:v>https://www.get-information-schools.service.gov.uk/Downloads</x:v>
      </x:c>
    </x:row>
    <x:row r="1017">
      <x:c r="A1017" s="43" t="str">
        <x:v>UK independent</x:v>
      </x:c>
      <x:c r="B1017" s="43" t="str">
        <x:v>131122</x:v>
      </x:c>
      <x:c r="C1017" s="43" t="n">
        <x:f>IF(K1017="Boarding school",30,0)+IF(J1017&gt;=18,20,0)+IF(I1017&lt;=11,10,0)+IF(L1017="Has a sixth form",15,0)+IF(M1017&gt;=200,10,0)+IF(N1017&lt;&gt;"",10,0)</x:f>
        <x:v>25</x:v>
      </x:c>
      <x:c r="D1017" s="43" t="str">
        <x:f>IF(C1017&gt;=85,"A",IF(C1017&gt;=65,"B","C"))</x:f>
        <x:v>C</x:v>
      </x:c>
      <x:c r="E1017" s="43" t="str">
        <x:v>Al-Mahad Al-Islami</x:v>
      </x:c>
      <x:c r="F1017" s="43" t="str">
        <x:v>South Yorkshire</x:v>
      </x:c>
      <x:c r="G1017" s="43" t="str"/>
      <x:c r="H1017" s="43" t="str">
        <x:v>S9 5FP</x:v>
      </x:c>
      <x:c r="I1017" s="43" t="n">
        <x:v>11</x:v>
      </x:c>
      <x:c r="J1017" s="43" t="n">
        <x:v>17</x:v>
      </x:c>
      <x:c r="K1017" s="43" t="str">
        <x:v>No boarders</x:v>
      </x:c>
      <x:c r="L1017" s="43" t="str">
        <x:v>Has a sixth form</x:v>
      </x:c>
      <x:c r="M1017" s="43" t="n">
        <x:v>77</x:v>
      </x:c>
      <x:c r="N1017" s="43" t="str"/>
      <x:c r="O1017" s="43" t="str">
        <x:v>01142431224</x:v>
      </x:c>
      <x:c r="P1017" s="43" t="str"/>
      <x:c r="Q1017" s="43" t="str"/>
      <x:c r="R1017" s="43" t="str">
        <x:v>Queued for contact research</x:v>
      </x:c>
      <x:c r="S1017" s="43" t="str">
        <x:v>Not reviewed</x:v>
      </x:c>
      <x:c r="T1017" s="43" t="str">
        <x:v>Hold</x:v>
      </x:c>
      <x:c r="U1017" s="43" t="str">
        <x:v>No</x:v>
      </x:c>
      <x:c r="V1017" s="44"/>
      <x:c r="W1017" s="43" t="str"/>
      <x:c r="X1017" s="43" t="str"/>
      <x:c r="Y1017" s="43" t="str"/>
      <x:c r="Z1017" s="43" t="str">
        <x:v>https://www.get-information-schools.service.gov.uk/Downloads</x:v>
      </x:c>
    </x:row>
    <x:row r="1018">
      <x:c r="A1018" s="43" t="str">
        <x:v>UK independent</x:v>
      </x:c>
      <x:c r="B1018" s="43" t="str">
        <x:v>106004</x:v>
      </x:c>
      <x:c r="C1018" s="43" t="n">
        <x:f>IF(K1018="Boarding school",30,0)+IF(J1018&gt;=18,20,0)+IF(I1018&lt;=11,10,0)+IF(L1018="Has a sixth form",15,0)+IF(M1018&gt;=200,10,0)+IF(N1018&lt;&gt;"",10,0)</x:f>
        <x:v>25</x:v>
      </x:c>
      <x:c r="D1018" s="43" t="str">
        <x:f>IF(C1018&gt;=85,"A",IF(C1018&gt;=65,"B","C"))</x:f>
        <x:v>C</x:v>
      </x:c>
      <x:c r="E1018" s="43" t="str">
        <x:v>Oholei Yosef Yitzchok Lubavitch Schools</x:v>
      </x:c>
      <x:c r="F1018" s="43" t="str">
        <x:v>Salford</x:v>
      </x:c>
      <x:c r="G1018" s="43" t="str">
        <x:v>Lancashire</x:v>
      </x:c>
      <x:c r="H1018" s="43" t="str">
        <x:v>M7 4LH</x:v>
      </x:c>
      <x:c r="I1018" s="43" t="n">
        <x:v>2</x:v>
      </x:c>
      <x:c r="J1018" s="43" t="n">
        <x:v>17</x:v>
      </x:c>
      <x:c r="K1018" s="43" t="str">
        <x:v>No boarders</x:v>
      </x:c>
      <x:c r="L1018" s="43" t="str">
        <x:v>Has a sixth form</x:v>
      </x:c>
      <x:c r="M1018" s="43" t="n">
        <x:v>71</x:v>
      </x:c>
      <x:c r="N1018" s="43" t="str"/>
      <x:c r="O1018" s="43" t="str">
        <x:v>01617050483</x:v>
      </x:c>
      <x:c r="P1018" s="43" t="str"/>
      <x:c r="Q1018" s="43" t="str"/>
      <x:c r="R1018" s="43" t="str">
        <x:v>Queued for contact research</x:v>
      </x:c>
      <x:c r="S1018" s="43" t="str">
        <x:v>Not reviewed</x:v>
      </x:c>
      <x:c r="T1018" s="43" t="str">
        <x:v>Hold</x:v>
      </x:c>
      <x:c r="U1018" s="43" t="str">
        <x:v>No</x:v>
      </x:c>
      <x:c r="V1018" s="44"/>
      <x:c r="W1018" s="43" t="str"/>
      <x:c r="X1018" s="43" t="str"/>
      <x:c r="Y1018" s="43" t="str"/>
      <x:c r="Z1018" s="43" t="str">
        <x:v>https://www.get-information-schools.service.gov.uk/Downloads</x:v>
      </x:c>
    </x:row>
    <x:row r="1019">
      <x:c r="A1019" s="43" t="str">
        <x:v>UK independent</x:v>
      </x:c>
      <x:c r="B1019" s="43" t="str">
        <x:v>148248</x:v>
      </x:c>
      <x:c r="C1019" s="43" t="n">
        <x:f>IF(K1019="Boarding school",30,0)+IF(J1019&gt;=18,20,0)+IF(I1019&lt;=11,10,0)+IF(L1019="Has a sixth form",15,0)+IF(M1019&gt;=200,10,0)+IF(N1019&lt;&gt;"",10,0)</x:f>
        <x:v>25</x:v>
      </x:c>
      <x:c r="D1019" s="43" t="str">
        <x:f>IF(C1019&gt;=85,"A",IF(C1019&gt;=65,"B","C"))</x:f>
        <x:v>C</x:v>
      </x:c>
      <x:c r="E1019" s="43" t="str">
        <x:v>JP Alternative Education</x:v>
      </x:c>
      <x:c r="F1019" s="43" t="str">
        <x:v>Rugeley</x:v>
      </x:c>
      <x:c r="G1019" s="43" t="str">
        <x:v>Staffordshire</x:v>
      </x:c>
      <x:c r="H1019" s="43" t="str">
        <x:v>WS15 2UB</x:v>
      </x:c>
      <x:c r="I1019" s="43" t="n">
        <x:v>10</x:v>
      </x:c>
      <x:c r="J1019" s="43" t="n">
        <x:v>17</x:v>
      </x:c>
      <x:c r="K1019" s="43" t="str">
        <x:v>No boarders</x:v>
      </x:c>
      <x:c r="L1019" s="43" t="str">
        <x:v>Has a sixth form</x:v>
      </x:c>
      <x:c r="M1019" s="43" t="n">
        <x:v>40</x:v>
      </x:c>
      <x:c r="N1019" s="43" t="str"/>
      <x:c r="O1019" s="43" t="str">
        <x:v>01889582864</x:v>
      </x:c>
      <x:c r="P1019" s="43" t="str"/>
      <x:c r="Q1019" s="43" t="str"/>
      <x:c r="R1019" s="43" t="str">
        <x:v>Queued for contact research</x:v>
      </x:c>
      <x:c r="S1019" s="43" t="str">
        <x:v>Not reviewed</x:v>
      </x:c>
      <x:c r="T1019" s="43" t="str">
        <x:v>Hold</x:v>
      </x:c>
      <x:c r="U1019" s="43" t="str">
        <x:v>No</x:v>
      </x:c>
      <x:c r="V1019" s="44"/>
      <x:c r="W1019" s="43" t="str"/>
      <x:c r="X1019" s="43" t="str"/>
      <x:c r="Y1019" s="43" t="str"/>
      <x:c r="Z1019" s="43" t="str">
        <x:v>https://www.get-information-schools.service.gov.uk/Downloads</x:v>
      </x:c>
    </x:row>
    <x:row r="1020">
      <x:c r="A1020" s="43" t="str">
        <x:v>UK independent</x:v>
      </x:c>
      <x:c r="B1020" s="43" t="str">
        <x:v>137505</x:v>
      </x:c>
      <x:c r="C1020" s="43" t="n">
        <x:f>IF(K1020="Boarding school",30,0)+IF(J1020&gt;=18,20,0)+IF(I1020&lt;=11,10,0)+IF(L1020="Has a sixth form",15,0)+IF(M1020&gt;=200,10,0)+IF(N1020&lt;&gt;"",10,0)</x:f>
        <x:v>20</x:v>
      </x:c>
      <x:c r="D1020" s="43" t="str">
        <x:f>IF(C1020&gt;=85,"A",IF(C1020&gt;=65,"B","C"))</x:f>
        <x:v>C</x:v>
      </x:c>
      <x:c r="E1020" s="43" t="str">
        <x:v>Beis Ruchel D'Satmar London</x:v>
      </x:c>
      <x:c r="F1020" s="43" t="str">
        <x:v>London</x:v>
      </x:c>
      <x:c r="G1020" s="43" t="str"/>
      <x:c r="H1020" s="43" t="str">
        <x:v>N16 5RS</x:v>
      </x:c>
      <x:c r="I1020" s="43" t="n">
        <x:v>2</x:v>
      </x:c>
      <x:c r="J1020" s="43" t="n">
        <x:v>11</x:v>
      </x:c>
      <x:c r="K1020" s="43" t="str">
        <x:v>No boarders</x:v>
      </x:c>
      <x:c r="L1020" s="43" t="str">
        <x:v>Does not have a sixth form</x:v>
      </x:c>
      <x:c r="M1020" s="43" t="n">
        <x:v>1108</x:v>
      </x:c>
      <x:c r="N1020" s="43" t="str"/>
      <x:c r="O1020" s="43" t="str">
        <x:v>02088099636</x:v>
      </x:c>
      <x:c r="P1020" s="43" t="str"/>
      <x:c r="Q1020" s="43" t="str"/>
      <x:c r="R1020" s="43" t="str">
        <x:v>Queued for contact research</x:v>
      </x:c>
      <x:c r="S1020" s="43" t="str">
        <x:v>Not reviewed</x:v>
      </x:c>
      <x:c r="T1020" s="43" t="str">
        <x:v>Hold</x:v>
      </x:c>
      <x:c r="U1020" s="43" t="str">
        <x:v>No</x:v>
      </x:c>
      <x:c r="V1020" s="44"/>
      <x:c r="W1020" s="43" t="str"/>
      <x:c r="X1020" s="43" t="str"/>
      <x:c r="Y1020" s="43" t="str"/>
      <x:c r="Z1020" s="43" t="str">
        <x:v>https://www.get-information-schools.service.gov.uk/Downloads</x:v>
      </x:c>
    </x:row>
    <x:row r="1021">
      <x:c r="A1021" s="43" t="str">
        <x:v>UK independent</x:v>
      </x:c>
      <x:c r="B1021" s="43" t="str">
        <x:v>100289</x:v>
      </x:c>
      <x:c r="C1021" s="43" t="n">
        <x:f>IF(K1021="Boarding school",30,0)+IF(J1021&gt;=18,20,0)+IF(I1021&lt;=11,10,0)+IF(L1021="Has a sixth form",15,0)+IF(M1021&gt;=200,10,0)+IF(N1021&lt;&gt;"",10,0)</x:f>
        <x:v>20</x:v>
      </x:c>
      <x:c r="D1021" s="43" t="str">
        <x:f>IF(C1021&gt;=85,"A",IF(C1021&gt;=65,"B","C"))</x:f>
        <x:v>C</x:v>
      </x:c>
      <x:c r="E1021" s="43" t="str">
        <x:v>Talmud Torah Yetev Lev</x:v>
      </x:c>
      <x:c r="F1021" s="43" t="str">
        <x:v>London</x:v>
      </x:c>
      <x:c r="G1021" s="43" t="str"/>
      <x:c r="H1021" s="43" t="str">
        <x:v>N16 6AX</x:v>
      </x:c>
      <x:c r="I1021" s="43" t="n">
        <x:v>2</x:v>
      </x:c>
      <x:c r="J1021" s="43" t="n">
        <x:v>12</x:v>
      </x:c>
      <x:c r="K1021" s="43" t="str">
        <x:v>No boarders</x:v>
      </x:c>
      <x:c r="L1021" s="43" t="str">
        <x:v>Does not have a sixth form</x:v>
      </x:c>
      <x:c r="M1021" s="43" t="n">
        <x:v>776</x:v>
      </x:c>
      <x:c r="N1021" s="43" t="str"/>
      <x:c r="O1021" s="43" t="str">
        <x:v>02088063834</x:v>
      </x:c>
      <x:c r="P1021" s="43" t="str"/>
      <x:c r="Q1021" s="43" t="str"/>
      <x:c r="R1021" s="43" t="str">
        <x:v>Queued for contact research</x:v>
      </x:c>
      <x:c r="S1021" s="43" t="str">
        <x:v>Not reviewed</x:v>
      </x:c>
      <x:c r="T1021" s="43" t="str">
        <x:v>Hold</x:v>
      </x:c>
      <x:c r="U1021" s="43" t="str">
        <x:v>No</x:v>
      </x:c>
      <x:c r="V1021" s="44"/>
      <x:c r="W1021" s="43" t="str"/>
      <x:c r="X1021" s="43" t="str"/>
      <x:c r="Y1021" s="43" t="str"/>
      <x:c r="Z1021" s="43" t="str">
        <x:v>https://www.get-information-schools.service.gov.uk/Downloads</x:v>
      </x:c>
    </x:row>
    <x:row r="1022">
      <x:c r="A1022" s="43" t="str">
        <x:v>UK independent</x:v>
      </x:c>
      <x:c r="B1022" s="43" t="str">
        <x:v>102171</x:v>
      </x:c>
      <x:c r="C1022" s="43" t="n">
        <x:f>IF(K1022="Boarding school",30,0)+IF(J1022&gt;=18,20,0)+IF(I1022&lt;=11,10,0)+IF(L1022="Has a sixth form",15,0)+IF(M1022&gt;=200,10,0)+IF(N1022&lt;&gt;"",10,0)</x:f>
        <x:v>20</x:v>
      </x:c>
      <x:c r="D1022" s="43" t="str">
        <x:f>IF(C1022&gt;=85,"A",IF(C1022&gt;=65,"B","C"))</x:f>
        <x:v>C</x:v>
      </x:c>
      <x:c r="E1022" s="43" t="str">
        <x:v>Beis Chinuch Lebonos Girls School</x:v>
      </x:c>
      <x:c r="F1022" s="43" t="str">
        <x:v>London</x:v>
      </x:c>
      <x:c r="G1022" s="43" t="str"/>
      <x:c r="H1022" s="43" t="str">
        <x:v>N4 2SH</x:v>
      </x:c>
      <x:c r="I1022" s="43" t="n">
        <x:v>2</x:v>
      </x:c>
      <x:c r="J1022" s="43" t="n">
        <x:v>16</x:v>
      </x:c>
      <x:c r="K1022" s="43" t="str">
        <x:v>No boarders</x:v>
      </x:c>
      <x:c r="L1022" s="43" t="str">
        <x:v>Does not have a sixth form</x:v>
      </x:c>
      <x:c r="M1022" s="43" t="n">
        <x:v>761</x:v>
      </x:c>
      <x:c r="N1022" s="43" t="str"/>
      <x:c r="O1022" s="43" t="str">
        <x:v>02088097737</x:v>
      </x:c>
      <x:c r="P1022" s="43" t="str"/>
      <x:c r="Q1022" s="43" t="str"/>
      <x:c r="R1022" s="43" t="str">
        <x:v>Queued for contact research</x:v>
      </x:c>
      <x:c r="S1022" s="43" t="str">
        <x:v>Not reviewed</x:v>
      </x:c>
      <x:c r="T1022" s="43" t="str">
        <x:v>Hold</x:v>
      </x:c>
      <x:c r="U1022" s="43" t="str">
        <x:v>No</x:v>
      </x:c>
      <x:c r="V1022" s="44"/>
      <x:c r="W1022" s="43" t="str"/>
      <x:c r="X1022" s="43" t="str"/>
      <x:c r="Y1022" s="43" t="str"/>
      <x:c r="Z1022" s="43" t="str">
        <x:v>https://www.get-information-schools.service.gov.uk/Downloads</x:v>
      </x:c>
    </x:row>
    <x:row r="1023">
      <x:c r="A1023" s="43" t="str">
        <x:v>UK independent</x:v>
      </x:c>
      <x:c r="B1023" s="43" t="str">
        <x:v>105996</x:v>
      </x:c>
      <x:c r="C1023" s="43" t="n">
        <x:f>IF(K1023="Boarding school",30,0)+IF(J1023&gt;=18,20,0)+IF(I1023&lt;=11,10,0)+IF(L1023="Has a sixth form",15,0)+IF(M1023&gt;=200,10,0)+IF(N1023&lt;&gt;"",10,0)</x:f>
        <x:v>20</x:v>
      </x:c>
      <x:c r="D1023" s="43" t="str">
        <x:f>IF(C1023&gt;=85,"A",IF(C1023&gt;=65,"B","C"))</x:f>
        <x:v>C</x:v>
      </x:c>
      <x:c r="E1023" s="43" t="str">
        <x:v>Bnos Yisroel School Manchester</x:v>
      </x:c>
      <x:c r="F1023" s="43" t="str">
        <x:v>Salford</x:v>
      </x:c>
      <x:c r="G1023" s="43" t="str">
        <x:v>Lancashire</x:v>
      </x:c>
      <x:c r="H1023" s="43" t="str">
        <x:v>M7 4DA</x:v>
      </x:c>
      <x:c r="I1023" s="43" t="n">
        <x:v>3</x:v>
      </x:c>
      <x:c r="J1023" s="43" t="n">
        <x:v>16</x:v>
      </x:c>
      <x:c r="K1023" s="43" t="str">
        <x:v>No boarders</x:v>
      </x:c>
      <x:c r="L1023" s="43" t="str">
        <x:v>Does not have a sixth form</x:v>
      </x:c>
      <x:c r="M1023" s="43" t="n">
        <x:v>650</x:v>
      </x:c>
      <x:c r="N1023" s="43" t="str"/>
      <x:c r="O1023" s="43" t="str">
        <x:v>01617923896</x:v>
      </x:c>
      <x:c r="P1023" s="43" t="str"/>
      <x:c r="Q1023" s="43" t="str"/>
      <x:c r="R1023" s="43" t="str">
        <x:v>Queued for contact research</x:v>
      </x:c>
      <x:c r="S1023" s="43" t="str">
        <x:v>Not reviewed</x:v>
      </x:c>
      <x:c r="T1023" s="43" t="str">
        <x:v>Hold</x:v>
      </x:c>
      <x:c r="U1023" s="43" t="str">
        <x:v>No</x:v>
      </x:c>
      <x:c r="V1023" s="44"/>
      <x:c r="W1023" s="43" t="str"/>
      <x:c r="X1023" s="43" t="str"/>
      <x:c r="Y1023" s="43" t="str"/>
      <x:c r="Z1023" s="43" t="str">
        <x:v>https://www.get-information-schools.service.gov.uk/Downloads</x:v>
      </x:c>
    </x:row>
    <x:row r="1024">
      <x:c r="A1024" s="43" t="str">
        <x:v>UK independent</x:v>
      </x:c>
      <x:c r="B1024" s="43" t="str">
        <x:v>125347</x:v>
      </x:c>
      <x:c r="C1024" s="43" t="n">
        <x:f>IF(K1024="Boarding school",30,0)+IF(J1024&gt;=18,20,0)+IF(I1024&lt;=11,10,0)+IF(L1024="Has a sixth form",15,0)+IF(M1024&gt;=200,10,0)+IF(N1024&lt;&gt;"",10,0)</x:f>
        <x:v>20</x:v>
      </x:c>
      <x:c r="D1024" s="43" t="str">
        <x:f>IF(C1024&gt;=85,"A",IF(C1024&gt;=65,"B","C"))</x:f>
        <x:v>C</x:v>
      </x:c>
      <x:c r="E1024" s="43" t="str">
        <x:v>St Edmunds school Trust Ltd</x:v>
      </x:c>
      <x:c r="F1024" s="43" t="str"/>
      <x:c r="G1024" s="43" t="str"/>
      <x:c r="H1024" s="43" t="str">
        <x:v>GU26 6BH</x:v>
      </x:c>
      <x:c r="I1024" s="43" t="n">
        <x:v>2</x:v>
      </x:c>
      <x:c r="J1024" s="43" t="n">
        <x:v>16</x:v>
      </x:c>
      <x:c r="K1024" s="43" t="str">
        <x:v>No boarders</x:v>
      </x:c>
      <x:c r="L1024" s="43" t="str">
        <x:v>Does not have a sixth form</x:v>
      </x:c>
      <x:c r="M1024" s="43" t="n">
        <x:v>613</x:v>
      </x:c>
      <x:c r="N1024" s="43" t="str"/>
      <x:c r="O1024" s="43" t="str">
        <x:v>01428604808</x:v>
      </x:c>
      <x:c r="P1024" s="43" t="str"/>
      <x:c r="Q1024" s="43" t="str"/>
      <x:c r="R1024" s="43" t="str">
        <x:v>Queued for contact research</x:v>
      </x:c>
      <x:c r="S1024" s="43" t="str">
        <x:v>Not reviewed</x:v>
      </x:c>
      <x:c r="T1024" s="43" t="str">
        <x:v>Hold</x:v>
      </x:c>
      <x:c r="U1024" s="43" t="str">
        <x:v>No</x:v>
      </x:c>
      <x:c r="V1024" s="44"/>
      <x:c r="W1024" s="43" t="str"/>
      <x:c r="X1024" s="43" t="str"/>
      <x:c r="Y1024" s="43" t="str"/>
      <x:c r="Z1024" s="43" t="str">
        <x:v>https://www.get-information-schools.service.gov.uk/Downloads</x:v>
      </x:c>
    </x:row>
    <x:row r="1025">
      <x:c r="A1025" s="43" t="str">
        <x:v>UK independent</x:v>
      </x:c>
      <x:c r="B1025" s="43" t="str">
        <x:v>100295</x:v>
      </x:c>
      <x:c r="C1025" s="43" t="n">
        <x:f>IF(K1025="Boarding school",30,0)+IF(J1025&gt;=18,20,0)+IF(I1025&lt;=11,10,0)+IF(L1025="Has a sixth form",15,0)+IF(M1025&gt;=200,10,0)+IF(N1025&lt;&gt;"",10,0)</x:f>
        <x:v>20</x:v>
      </x:c>
      <x:c r="D1025" s="43" t="str">
        <x:f>IF(C1025&gt;=85,"A",IF(C1025&gt;=65,"B","C"))</x:f>
        <x:v>C</x:v>
      </x:c>
      <x:c r="E1025" s="43" t="str">
        <x:v>Beis Malka Girls' School</x:v>
      </x:c>
      <x:c r="F1025" s="43" t="str">
        <x:v>LONDON</x:v>
      </x:c>
      <x:c r="G1025" s="43" t="str"/>
      <x:c r="H1025" s="43" t="str">
        <x:v>N16 6XD</x:v>
      </x:c>
      <x:c r="I1025" s="43" t="n">
        <x:v>2</x:v>
      </x:c>
      <x:c r="J1025" s="43" t="n">
        <x:v>16</x:v>
      </x:c>
      <x:c r="K1025" s="43" t="str">
        <x:v>No boarders</x:v>
      </x:c>
      <x:c r="L1025" s="43" t="str">
        <x:v>Does not have a sixth form</x:v>
      </x:c>
      <x:c r="M1025" s="43" t="n">
        <x:v>611</x:v>
      </x:c>
      <x:c r="N1025" s="43" t="str"/>
      <x:c r="O1025" s="43" t="str">
        <x:v>02088062070</x:v>
      </x:c>
      <x:c r="P1025" s="43" t="str"/>
      <x:c r="Q1025" s="43" t="str"/>
      <x:c r="R1025" s="43" t="str">
        <x:v>Queued for contact research</x:v>
      </x:c>
      <x:c r="S1025" s="43" t="str">
        <x:v>Not reviewed</x:v>
      </x:c>
      <x:c r="T1025" s="43" t="str">
        <x:v>Hold</x:v>
      </x:c>
      <x:c r="U1025" s="43" t="str">
        <x:v>No</x:v>
      </x:c>
      <x:c r="V1025" s="44"/>
      <x:c r="W1025" s="43" t="str"/>
      <x:c r="X1025" s="43" t="str"/>
      <x:c r="Y1025" s="43" t="str"/>
      <x:c r="Z1025" s="43" t="str">
        <x:v>https://www.get-information-schools.service.gov.uk/Downloads</x:v>
      </x:c>
    </x:row>
    <x:row r="1026">
      <x:c r="A1026" s="43" t="str">
        <x:v>UK independent</x:v>
      </x:c>
      <x:c r="B1026" s="43" t="str">
        <x:v>147296</x:v>
      </x:c>
      <x:c r="C1026" s="43" t="n">
        <x:f>IF(K1026="Boarding school",30,0)+IF(J1026&gt;=18,20,0)+IF(I1026&lt;=11,10,0)+IF(L1026="Has a sixth form",15,0)+IF(M1026&gt;=200,10,0)+IF(N1026&lt;&gt;"",10,0)</x:f>
        <x:v>20</x:v>
      </x:c>
      <x:c r="D1026" s="43" t="str">
        <x:f>IF(C1026&gt;=85,"A",IF(C1026&gt;=65,"B","C"))</x:f>
        <x:v>C</x:v>
      </x:c>
      <x:c r="E1026" s="43" t="str">
        <x:v>Beis Rochel D'satmar School</x:v>
      </x:c>
      <x:c r="F1026" s="43" t="str"/>
      <x:c r="G1026" s="43" t="str"/>
      <x:c r="H1026" s="43" t="str">
        <x:v>N16 5DS</x:v>
      </x:c>
      <x:c r="I1026" s="43" t="n">
        <x:v>2</x:v>
      </x:c>
      <x:c r="J1026" s="43" t="n">
        <x:v>11</x:v>
      </x:c>
      <x:c r="K1026" s="43" t="str">
        <x:v>No boarders</x:v>
      </x:c>
      <x:c r="L1026" s="43" t="str">
        <x:v>Does not have a sixth form</x:v>
      </x:c>
      <x:c r="M1026" s="43" t="n">
        <x:v>611</x:v>
      </x:c>
      <x:c r="N1026" s="43" t="str"/>
      <x:c r="O1026" s="43" t="str">
        <x:v>02088008070</x:v>
      </x:c>
      <x:c r="P1026" s="43" t="str"/>
      <x:c r="Q1026" s="43" t="str"/>
      <x:c r="R1026" s="43" t="str">
        <x:v>Queued for contact research</x:v>
      </x:c>
      <x:c r="S1026" s="43" t="str">
        <x:v>Not reviewed</x:v>
      </x:c>
      <x:c r="T1026" s="43" t="str">
        <x:v>Hold</x:v>
      </x:c>
      <x:c r="U1026" s="43" t="str">
        <x:v>No</x:v>
      </x:c>
      <x:c r="V1026" s="44"/>
      <x:c r="W1026" s="43" t="str"/>
      <x:c r="X1026" s="43" t="str"/>
      <x:c r="Y1026" s="43" t="str"/>
      <x:c r="Z1026" s="43" t="str">
        <x:v>https://www.get-information-schools.service.gov.uk/Downloads</x:v>
      </x:c>
    </x:row>
    <x:row r="1027">
      <x:c r="A1027" s="43" t="str">
        <x:v>UK independent</x:v>
      </x:c>
      <x:c r="B1027" s="43" t="str">
        <x:v>100291</x:v>
      </x:c>
      <x:c r="C1027" s="43" t="n">
        <x:f>IF(K1027="Boarding school",30,0)+IF(J1027&gt;=18,20,0)+IF(I1027&lt;=11,10,0)+IF(L1027="Has a sixth form",15,0)+IF(M1027&gt;=200,10,0)+IF(N1027&lt;&gt;"",10,0)</x:f>
        <x:v>20</x:v>
      </x:c>
      <x:c r="D1027" s="43" t="str">
        <x:f>IF(C1027&gt;=85,"A",IF(C1027&gt;=65,"B","C"))</x:f>
        <x:v>C</x:v>
      </x:c>
      <x:c r="E1027" s="43" t="str">
        <x:v>Bnois Jerusalem Girls School</x:v>
      </x:c>
      <x:c r="F1027" s="43" t="str">
        <x:v>London</x:v>
      </x:c>
      <x:c r="G1027" s="43" t="str"/>
      <x:c r="H1027" s="43" t="str">
        <x:v>N16 5DL</x:v>
      </x:c>
      <x:c r="I1027" s="43" t="n">
        <x:v>2</x:v>
      </x:c>
      <x:c r="J1027" s="43" t="n">
        <x:v>16</x:v>
      </x:c>
      <x:c r="K1027" s="43" t="str">
        <x:v>No boarders</x:v>
      </x:c>
      <x:c r="L1027" s="43" t="str">
        <x:v>Does not have a sixth form</x:v>
      </x:c>
      <x:c r="M1027" s="43" t="n">
        <x:v>562</x:v>
      </x:c>
      <x:c r="N1027" s="43" t="str"/>
      <x:c r="O1027" s="43" t="str">
        <x:v>02088005781</x:v>
      </x:c>
      <x:c r="P1027" s="43" t="str"/>
      <x:c r="Q1027" s="43" t="str"/>
      <x:c r="R1027" s="43" t="str">
        <x:v>Queued for contact research</x:v>
      </x:c>
      <x:c r="S1027" s="43" t="str">
        <x:v>Not reviewed</x:v>
      </x:c>
      <x:c r="T1027" s="43" t="str">
        <x:v>Hold</x:v>
      </x:c>
      <x:c r="U1027" s="43" t="str">
        <x:v>No</x:v>
      </x:c>
      <x:c r="V1027" s="44"/>
      <x:c r="W1027" s="43" t="str"/>
      <x:c r="X1027" s="43" t="str"/>
      <x:c r="Y1027" s="43" t="str"/>
      <x:c r="Z1027" s="43" t="str">
        <x:v>https://www.get-information-schools.service.gov.uk/Downloads</x:v>
      </x:c>
    </x:row>
    <x:row r="1028">
      <x:c r="A1028" s="43" t="str">
        <x:v>UK independent</x:v>
      </x:c>
      <x:c r="B1028" s="43" t="str">
        <x:v>100294</x:v>
      </x:c>
      <x:c r="C1028" s="43" t="n">
        <x:f>IF(K1028="Boarding school",30,0)+IF(J1028&gt;=18,20,0)+IF(I1028&lt;=11,10,0)+IF(L1028="Has a sixth form",15,0)+IF(M1028&gt;=200,10,0)+IF(N1028&lt;&gt;"",10,0)</x:f>
        <x:v>20</x:v>
      </x:c>
      <x:c r="D1028" s="43" t="str">
        <x:f>IF(C1028&gt;=85,"A",IF(C1028&gt;=65,"B","C"))</x:f>
        <x:v>C</x:v>
      </x:c>
      <x:c r="E1028" s="43" t="str">
        <x:v>Talmud Torah Machzikei Hadass School</x:v>
      </x:c>
      <x:c r="F1028" s="43" t="str">
        <x:v>London</x:v>
      </x:c>
      <x:c r="G1028" s="43" t="str"/>
      <x:c r="H1028" s="43" t="str">
        <x:v>E5 9SN</x:v>
      </x:c>
      <x:c r="I1028" s="43" t="n">
        <x:v>3</x:v>
      </x:c>
      <x:c r="J1028" s="43" t="n">
        <x:v>11</x:v>
      </x:c>
      <x:c r="K1028" s="43" t="str">
        <x:v>No boarders</x:v>
      </x:c>
      <x:c r="L1028" s="43" t="str">
        <x:v>Does not have a sixth form</x:v>
      </x:c>
      <x:c r="M1028" s="43" t="n">
        <x:v>508</x:v>
      </x:c>
      <x:c r="N1028" s="43" t="str"/>
      <x:c r="O1028" s="43" t="str">
        <x:v>02088006599</x:v>
      </x:c>
      <x:c r="P1028" s="43" t="str"/>
      <x:c r="Q1028" s="43" t="str"/>
      <x:c r="R1028" s="43" t="str">
        <x:v>Queued for contact research</x:v>
      </x:c>
      <x:c r="S1028" s="43" t="str">
        <x:v>Not reviewed</x:v>
      </x:c>
      <x:c r="T1028" s="43" t="str">
        <x:v>Hold</x:v>
      </x:c>
      <x:c r="U1028" s="43" t="str">
        <x:v>No</x:v>
      </x:c>
      <x:c r="V1028" s="44"/>
      <x:c r="W1028" s="43" t="str"/>
      <x:c r="X1028" s="43" t="str"/>
      <x:c r="Y1028" s="43" t="str"/>
      <x:c r="Z1028" s="43" t="str">
        <x:v>https://www.get-information-schools.service.gov.uk/Downloads</x:v>
      </x:c>
    </x:row>
    <x:row r="1029">
      <x:c r="A1029" s="43" t="str">
        <x:v>UK independent</x:v>
      </x:c>
      <x:c r="B1029" s="43" t="str">
        <x:v>138516</x:v>
      </x:c>
      <x:c r="C1029" s="43" t="n">
        <x:f>IF(K1029="Boarding school",30,0)+IF(J1029&gt;=18,20,0)+IF(I1029&lt;=11,10,0)+IF(L1029="Has a sixth form",15,0)+IF(M1029&gt;=200,10,0)+IF(N1029&lt;&gt;"",10,0)</x:f>
        <x:v>20</x:v>
      </x:c>
      <x:c r="D1029" s="43" t="str">
        <x:f>IF(C1029&gt;=85,"A",IF(C1029&gt;=65,"B","C"))</x:f>
        <x:v>C</x:v>
      </x:c>
      <x:c r="E1029" s="43" t="str">
        <x:v>Vishnitz Girls School</x:v>
      </x:c>
      <x:c r="F1029" s="43" t="str"/>
      <x:c r="G1029" s="43" t="str"/>
      <x:c r="H1029" s="43" t="str">
        <x:v>N16 5DL</x:v>
      </x:c>
      <x:c r="I1029" s="43" t="n">
        <x:v>2</x:v>
      </x:c>
      <x:c r="J1029" s="43" t="n">
        <x:v>16</x:v>
      </x:c>
      <x:c r="K1029" s="43" t="str">
        <x:v>No boarders</x:v>
      </x:c>
      <x:c r="L1029" s="43" t="str">
        <x:v>Does not have a sixth form</x:v>
      </x:c>
      <x:c r="M1029" s="43" t="n">
        <x:v>504</x:v>
      </x:c>
      <x:c r="N1029" s="43" t="str"/>
      <x:c r="O1029" s="43" t="str">
        <x:v>02088000490</x:v>
      </x:c>
      <x:c r="P1029" s="43" t="str"/>
      <x:c r="Q1029" s="43" t="str"/>
      <x:c r="R1029" s="43" t="str">
        <x:v>Queued for contact research</x:v>
      </x:c>
      <x:c r="S1029" s="43" t="str">
        <x:v>Not reviewed</x:v>
      </x:c>
      <x:c r="T1029" s="43" t="str">
        <x:v>Hold</x:v>
      </x:c>
      <x:c r="U1029" s="43" t="str">
        <x:v>No</x:v>
      </x:c>
      <x:c r="V1029" s="44"/>
      <x:c r="W1029" s="43" t="str"/>
      <x:c r="X1029" s="43" t="str"/>
      <x:c r="Y1029" s="43" t="str"/>
      <x:c r="Z1029" s="43" t="str">
        <x:v>https://www.get-information-schools.service.gov.uk/Downloads</x:v>
      </x:c>
    </x:row>
    <x:row r="1030">
      <x:c r="A1030" s="43" t="str">
        <x:v>UK independent</x:v>
      </x:c>
      <x:c r="B1030" s="43" t="str">
        <x:v>146748</x:v>
      </x:c>
      <x:c r="C1030" s="43" t="n">
        <x:f>IF(K1030="Boarding school",30,0)+IF(J1030&gt;=18,20,0)+IF(I1030&lt;=11,10,0)+IF(L1030="Has a sixth form",15,0)+IF(M1030&gt;=200,10,0)+IF(N1030&lt;&gt;"",10,0)</x:f>
        <x:v>20</x:v>
      </x:c>
      <x:c r="D1030" s="43" t="str">
        <x:f>IF(C1030&gt;=85,"A",IF(C1030&gt;=65,"B","C"))</x:f>
        <x:v>C</x:v>
      </x:c>
      <x:c r="E1030" s="43" t="str">
        <x:v>Yesodey Hatorah Girls School</x:v>
      </x:c>
      <x:c r="F1030" s="43" t="str"/>
      <x:c r="G1030" s="43" t="str"/>
      <x:c r="H1030" s="43" t="str">
        <x:v>N16 5LG</x:v>
      </x:c>
      <x:c r="I1030" s="43" t="n">
        <x:v>4</x:v>
      </x:c>
      <x:c r="J1030" s="43" t="n">
        <x:v>11</x:v>
      </x:c>
      <x:c r="K1030" s="43" t="str">
        <x:v>No boarders</x:v>
      </x:c>
      <x:c r="L1030" s="43" t="str">
        <x:v>Does not have a sixth form</x:v>
      </x:c>
      <x:c r="M1030" s="43" t="n">
        <x:v>488</x:v>
      </x:c>
      <x:c r="N1030" s="43" t="str"/>
      <x:c r="O1030" s="43" t="str">
        <x:v>02088008612</x:v>
      </x:c>
      <x:c r="P1030" s="43" t="str"/>
      <x:c r="Q1030" s="43" t="str"/>
      <x:c r="R1030" s="43" t="str">
        <x:v>Queued for contact research</x:v>
      </x:c>
      <x:c r="S1030" s="43" t="str">
        <x:v>Not reviewed</x:v>
      </x:c>
      <x:c r="T1030" s="43" t="str">
        <x:v>Hold</x:v>
      </x:c>
      <x:c r="U1030" s="43" t="str">
        <x:v>No</x:v>
      </x:c>
      <x:c r="V1030" s="44"/>
      <x:c r="W1030" s="43" t="str"/>
      <x:c r="X1030" s="43" t="str"/>
      <x:c r="Y1030" s="43" t="str"/>
      <x:c r="Z1030" s="43" t="str">
        <x:v>https://www.get-information-schools.service.gov.uk/Downloads</x:v>
      </x:c>
    </x:row>
    <x:row r="1031">
      <x:c r="A1031" s="43" t="str">
        <x:v>UK independent</x:v>
      </x:c>
      <x:c r="B1031" s="43" t="str">
        <x:v>136000</x:v>
      </x:c>
      <x:c r="C1031" s="43" t="n">
        <x:f>IF(K1031="Boarding school",30,0)+IF(J1031&gt;=18,20,0)+IF(I1031&lt;=11,10,0)+IF(L1031="Has a sixth form",15,0)+IF(M1031&gt;=200,10,0)+IF(N1031&lt;&gt;"",10,0)</x:f>
        <x:v>20</x:v>
      </x:c>
      <x:c r="D1031" s="43" t="str">
        <x:f>IF(C1031&gt;=85,"A",IF(C1031&gt;=65,"B","C"))</x:f>
        <x:v>C</x:v>
      </x:c>
      <x:c r="E1031" s="43" t="str">
        <x:v>The Gateshead Cheder Primary School</x:v>
      </x:c>
      <x:c r="F1031" s="43" t="str">
        <x:v>Gateshead</x:v>
      </x:c>
      <x:c r="G1031" s="43" t="str"/>
      <x:c r="H1031" s="43" t="str">
        <x:v>NE9 5UR</x:v>
      </x:c>
      <x:c r="I1031" s="43" t="n">
        <x:v>3</x:v>
      </x:c>
      <x:c r="J1031" s="43" t="n">
        <x:v>16</x:v>
      </x:c>
      <x:c r="K1031" s="43" t="str">
        <x:v>No boarders</x:v>
      </x:c>
      <x:c r="L1031" s="43" t="str">
        <x:v>Does not have a sixth form</x:v>
      </x:c>
      <x:c r="M1031" s="43" t="n">
        <x:v>475</x:v>
      </x:c>
      <x:c r="N1031" s="43" t="str"/>
      <x:c r="O1031" s="43" t="str">
        <x:v>01914777255</x:v>
      </x:c>
      <x:c r="P1031" s="43" t="str"/>
      <x:c r="Q1031" s="43" t="str"/>
      <x:c r="R1031" s="43" t="str">
        <x:v>Queued for contact research</x:v>
      </x:c>
      <x:c r="S1031" s="43" t="str">
        <x:v>Not reviewed</x:v>
      </x:c>
      <x:c r="T1031" s="43" t="str">
        <x:v>Hold</x:v>
      </x:c>
      <x:c r="U1031" s="43" t="str">
        <x:v>No</x:v>
      </x:c>
      <x:c r="V1031" s="44"/>
      <x:c r="W1031" s="43" t="str"/>
      <x:c r="X1031" s="43" t="str"/>
      <x:c r="Y1031" s="43" t="str"/>
      <x:c r="Z1031" s="43" t="str">
        <x:v>https://www.get-information-schools.service.gov.uk/Downloads</x:v>
      </x:c>
    </x:row>
    <x:row r="1032">
      <x:c r="A1032" s="43" t="str">
        <x:v>UK independent</x:v>
      </x:c>
      <x:c r="B1032" s="43" t="str">
        <x:v>106002</x:v>
      </x:c>
      <x:c r="C1032" s="43" t="n">
        <x:f>IF(K1032="Boarding school",30,0)+IF(J1032&gt;=18,20,0)+IF(I1032&lt;=11,10,0)+IF(L1032="Has a sixth form",15,0)+IF(M1032&gt;=200,10,0)+IF(N1032&lt;&gt;"",10,0)</x:f>
        <x:v>20</x:v>
      </x:c>
      <x:c r="D1032" s="43" t="str">
        <x:f>IF(C1032&gt;=85,"A",IF(C1032&gt;=65,"B","C"))</x:f>
        <x:v>C</x:v>
      </x:c>
      <x:c r="E1032" s="43" t="str">
        <x:v>Tashbar of Manchester</x:v>
      </x:c>
      <x:c r="F1032" s="43" t="str">
        <x:v>Salford</x:v>
      </x:c>
      <x:c r="G1032" s="43" t="str">
        <x:v>Lancashire</x:v>
      </x:c>
      <x:c r="H1032" s="43" t="str">
        <x:v>M7 4HL</x:v>
      </x:c>
      <x:c r="I1032" s="43" t="n">
        <x:v>3</x:v>
      </x:c>
      <x:c r="J1032" s="43" t="n">
        <x:v>12</x:v>
      </x:c>
      <x:c r="K1032" s="43" t="str">
        <x:v>No boarders</x:v>
      </x:c>
      <x:c r="L1032" s="43" t="str">
        <x:v>Does not have a sixth form</x:v>
      </x:c>
      <x:c r="M1032" s="43" t="n">
        <x:v>469</x:v>
      </x:c>
      <x:c r="N1032" s="43" t="str"/>
      <x:c r="O1032" s="43" t="str">
        <x:v>01617208254</x:v>
      </x:c>
      <x:c r="P1032" s="43" t="str"/>
      <x:c r="Q1032" s="43" t="str"/>
      <x:c r="R1032" s="43" t="str">
        <x:v>Queued for contact research</x:v>
      </x:c>
      <x:c r="S1032" s="43" t="str">
        <x:v>Not reviewed</x:v>
      </x:c>
      <x:c r="T1032" s="43" t="str">
        <x:v>Hold</x:v>
      </x:c>
      <x:c r="U1032" s="43" t="str">
        <x:v>No</x:v>
      </x:c>
      <x:c r="V1032" s="44"/>
      <x:c r="W1032" s="43" t="str"/>
      <x:c r="X1032" s="43" t="str"/>
      <x:c r="Y1032" s="43" t="str"/>
      <x:c r="Z1032" s="43" t="str">
        <x:v>https://www.get-information-schools.service.gov.uk/Downloads</x:v>
      </x:c>
    </x:row>
    <x:row r="1033">
      <x:c r="A1033" s="43" t="str">
        <x:v>UK independent</x:v>
      </x:c>
      <x:c r="B1033" s="43" t="str">
        <x:v>131435</x:v>
      </x:c>
      <x:c r="C1033" s="43" t="n">
        <x:f>IF(K1033="Boarding school",30,0)+IF(J1033&gt;=18,20,0)+IF(I1033&lt;=11,10,0)+IF(L1033="Has a sixth form",15,0)+IF(M1033&gt;=200,10,0)+IF(N1033&lt;&gt;"",10,0)</x:f>
        <x:v>20</x:v>
      </x:c>
      <x:c r="D1033" s="43" t="str">
        <x:f>IF(C1033&gt;=85,"A",IF(C1033&gt;=65,"B","C"))</x:f>
        <x:v>C</x:v>
      </x:c>
      <x:c r="E1033" s="43" t="str">
        <x:v>Talmud Torah Yetev Lev</x:v>
      </x:c>
      <x:c r="F1033" s="43" t="str">
        <x:v>Salford</x:v>
      </x:c>
      <x:c r="G1033" s="43" t="str">
        <x:v>Lancashire</x:v>
      </x:c>
      <x:c r="H1033" s="43" t="str">
        <x:v>M7 2BT</x:v>
      </x:c>
      <x:c r="I1033" s="43" t="n">
        <x:v>3</x:v>
      </x:c>
      <x:c r="J1033" s="43" t="n">
        <x:v>12</x:v>
      </x:c>
      <x:c r="K1033" s="43" t="str">
        <x:v>No boarders</x:v>
      </x:c>
      <x:c r="L1033" s="43" t="str">
        <x:v>Does not have a sixth form</x:v>
      </x:c>
      <x:c r="M1033" s="43" t="n">
        <x:v>453</x:v>
      </x:c>
      <x:c r="N1033" s="43" t="str"/>
      <x:c r="O1033" s="43" t="str">
        <x:v>01617929922</x:v>
      </x:c>
      <x:c r="P1033" s="43" t="str"/>
      <x:c r="Q1033" s="43" t="str"/>
      <x:c r="R1033" s="43" t="str">
        <x:v>Queued for contact research</x:v>
      </x:c>
      <x:c r="S1033" s="43" t="str">
        <x:v>Not reviewed</x:v>
      </x:c>
      <x:c r="T1033" s="43" t="str">
        <x:v>Hold</x:v>
      </x:c>
      <x:c r="U1033" s="43" t="str">
        <x:v>No</x:v>
      </x:c>
      <x:c r="V1033" s="44"/>
      <x:c r="W1033" s="43" t="str"/>
      <x:c r="X1033" s="43" t="str"/>
      <x:c r="Y1033" s="43" t="str"/>
      <x:c r="Z1033" s="43" t="str">
        <x:v>https://www.get-information-schools.service.gov.uk/Downloads</x:v>
      </x:c>
    </x:row>
    <x:row r="1034">
      <x:c r="A1034" s="43" t="str">
        <x:v>UK independent</x:v>
      </x:c>
      <x:c r="B1034" s="43" t="str">
        <x:v>131687</x:v>
      </x:c>
      <x:c r="C1034" s="43" t="n">
        <x:f>IF(K1034="Boarding school",30,0)+IF(J1034&gt;=18,20,0)+IF(I1034&lt;=11,10,0)+IF(L1034="Has a sixth form",15,0)+IF(M1034&gt;=200,10,0)+IF(N1034&lt;&gt;"",10,0)</x:f>
        <x:v>20</x:v>
      </x:c>
      <x:c r="D1034" s="43" t="str">
        <x:f>IF(C1034&gt;=85,"A",IF(C1034&gt;=65,"B","C"))</x:f>
        <x:v>C</x:v>
      </x:c>
      <x:c r="E1034" s="43" t="str">
        <x:v>Hamd House School</x:v>
      </x:c>
      <x:c r="F1034" s="43" t="str">
        <x:v>Birmingham</x:v>
      </x:c>
      <x:c r="G1034" s="43" t="str">
        <x:v>West Midlands</x:v>
      </x:c>
      <x:c r="H1034" s="43" t="str">
        <x:v>B9 4US</x:v>
      </x:c>
      <x:c r="I1034" s="43" t="n">
        <x:v>5</x:v>
      </x:c>
      <x:c r="J1034" s="43" t="n">
        <x:v>16</x:v>
      </x:c>
      <x:c r="K1034" s="43" t="str">
        <x:v>No boarders</x:v>
      </x:c>
      <x:c r="L1034" s="43" t="str">
        <x:v>Does not have a sixth form</x:v>
      </x:c>
      <x:c r="M1034" s="43" t="n">
        <x:v>433</x:v>
      </x:c>
      <x:c r="N1034" s="43" t="str"/>
      <x:c r="O1034" s="43" t="str">
        <x:v>01217713030</x:v>
      </x:c>
      <x:c r="P1034" s="43" t="str"/>
      <x:c r="Q1034" s="43" t="str"/>
      <x:c r="R1034" s="43" t="str">
        <x:v>Queued for contact research</x:v>
      </x:c>
      <x:c r="S1034" s="43" t="str">
        <x:v>Not reviewed</x:v>
      </x:c>
      <x:c r="T1034" s="43" t="str">
        <x:v>Hold</x:v>
      </x:c>
      <x:c r="U1034" s="43" t="str">
        <x:v>No</x:v>
      </x:c>
      <x:c r="V1034" s="44"/>
      <x:c r="W1034" s="43" t="str"/>
      <x:c r="X1034" s="43" t="str"/>
      <x:c r="Y1034" s="43" t="str"/>
      <x:c r="Z1034" s="43" t="str">
        <x:v>https://www.get-information-schools.service.gov.uk/Downloads</x:v>
      </x:c>
    </x:row>
    <x:row r="1035">
      <x:c r="A1035" s="43" t="str">
        <x:v>UK independent</x:v>
      </x:c>
      <x:c r="B1035" s="43" t="str">
        <x:v>136143</x:v>
      </x:c>
      <x:c r="C1035" s="43" t="n">
        <x:f>IF(K1035="Boarding school",30,0)+IF(J1035&gt;=18,20,0)+IF(I1035&lt;=11,10,0)+IF(L1035="Has a sixth form",15,0)+IF(M1035&gt;=200,10,0)+IF(N1035&lt;&gt;"",10,0)</x:f>
        <x:v>20</x:v>
      </x:c>
      <x:c r="D1035" s="43" t="str">
        <x:f>IF(C1035&gt;=85,"A",IF(C1035&gt;=65,"B","C"))</x:f>
        <x:v>C</x:v>
      </x:c>
      <x:c r="E1035" s="43" t="str">
        <x:v>Tiferes</x:v>
      </x:c>
      <x:c r="F1035" s="43" t="str">
        <x:v>Salford</x:v>
      </x:c>
      <x:c r="G1035" s="43" t="str"/>
      <x:c r="H1035" s="43" t="str">
        <x:v>M7 2JR</x:v>
      </x:c>
      <x:c r="I1035" s="43" t="n">
        <x:v>3</x:v>
      </x:c>
      <x:c r="J1035" s="43" t="n">
        <x:v>16</x:v>
      </x:c>
      <x:c r="K1035" s="43" t="str">
        <x:v>No boarders</x:v>
      </x:c>
      <x:c r="L1035" s="43" t="str">
        <x:v>Does not have a sixth form</x:v>
      </x:c>
      <x:c r="M1035" s="43" t="n">
        <x:v>387</x:v>
      </x:c>
      <x:c r="N1035" s="43" t="str"/>
      <x:c r="O1035" s="43" t="str">
        <x:v>01617929000</x:v>
      </x:c>
      <x:c r="P1035" s="43" t="str"/>
      <x:c r="Q1035" s="43" t="str"/>
      <x:c r="R1035" s="43" t="str">
        <x:v>Queued for contact research</x:v>
      </x:c>
      <x:c r="S1035" s="43" t="str">
        <x:v>Not reviewed</x:v>
      </x:c>
      <x:c r="T1035" s="43" t="str">
        <x:v>Hold</x:v>
      </x:c>
      <x:c r="U1035" s="43" t="str">
        <x:v>No</x:v>
      </x:c>
      <x:c r="V1035" s="44"/>
      <x:c r="W1035" s="43" t="str"/>
      <x:c r="X1035" s="43" t="str"/>
      <x:c r="Y1035" s="43" t="str"/>
      <x:c r="Z1035" s="43" t="str">
        <x:v>https://www.get-information-schools.service.gov.uk/Downloads</x:v>
      </x:c>
    </x:row>
    <x:row r="1036">
      <x:c r="A1036" s="43" t="str">
        <x:v>UK independent</x:v>
      </x:c>
      <x:c r="B1036" s="43" t="str">
        <x:v>111771</x:v>
      </x:c>
      <x:c r="C1036" s="43" t="n">
        <x:f>IF(K1036="Boarding school",30,0)+IF(J1036&gt;=18,20,0)+IF(I1036&lt;=11,10,0)+IF(L1036="Has a sixth form",15,0)+IF(M1036&gt;=200,10,0)+IF(N1036&lt;&gt;"",10,0)</x:f>
        <x:v>20</x:v>
      </x:c>
      <x:c r="D1036" s="43" t="str">
        <x:f>IF(C1036&gt;=85,"A",IF(C1036&gt;=65,"B","C"))</x:f>
        <x:v>C</x:v>
      </x:c>
      <x:c r="E1036" s="43" t="str">
        <x:v>Yarm Preparatory School</x:v>
      </x:c>
      <x:c r="F1036" s="43" t="str">
        <x:v>Yarm</x:v>
      </x:c>
      <x:c r="G1036" s="43" t="str"/>
      <x:c r="H1036" s="43" t="str">
        <x:v>TS15 9ES</x:v>
      </x:c>
      <x:c r="I1036" s="43" t="n">
        <x:v>2</x:v>
      </x:c>
      <x:c r="J1036" s="43" t="n">
        <x:v>11</x:v>
      </x:c>
      <x:c r="K1036" s="43" t="str">
        <x:v>No boarders</x:v>
      </x:c>
      <x:c r="L1036" s="43" t="str">
        <x:v>Does not have a sixth form</x:v>
      </x:c>
      <x:c r="M1036" s="43" t="n">
        <x:v>383</x:v>
      </x:c>
      <x:c r="N1036" s="43" t="str"/>
      <x:c r="O1036" s="43" t="str">
        <x:v>01642781447</x:v>
      </x:c>
      <x:c r="P1036" s="43" t="str"/>
      <x:c r="Q1036" s="43" t="str"/>
      <x:c r="R1036" s="43" t="str">
        <x:v>Queued for contact research</x:v>
      </x:c>
      <x:c r="S1036" s="43" t="str">
        <x:v>Not reviewed</x:v>
      </x:c>
      <x:c r="T1036" s="43" t="str">
        <x:v>Hold</x:v>
      </x:c>
      <x:c r="U1036" s="43" t="str">
        <x:v>No</x:v>
      </x:c>
      <x:c r="V1036" s="44"/>
      <x:c r="W1036" s="43" t="str"/>
      <x:c r="X1036" s="43" t="str"/>
      <x:c r="Y1036" s="43" t="str"/>
      <x:c r="Z1036" s="43" t="str">
        <x:v>https://www.get-information-schools.service.gov.uk/Downloads</x:v>
      </x:c>
    </x:row>
    <x:row r="1037">
      <x:c r="A1037" s="43" t="str">
        <x:v>UK independent</x:v>
      </x:c>
      <x:c r="B1037" s="43" t="str">
        <x:v>146525</x:v>
      </x:c>
      <x:c r="C1037" s="43" t="n">
        <x:f>IF(K1037="Boarding school",30,0)+IF(J1037&gt;=18,20,0)+IF(I1037&lt;=11,10,0)+IF(L1037="Has a sixth form",15,0)+IF(M1037&gt;=200,10,0)+IF(N1037&lt;&gt;"",10,0)</x:f>
        <x:v>20</x:v>
      </x:c>
      <x:c r="D1037" s="43" t="str">
        <x:f>IF(C1037&gt;=85,"A",IF(C1037&gt;=65,"B","C"))</x:f>
        <x:v>C</x:v>
      </x:c>
      <x:c r="E1037" s="43" t="str">
        <x:v>Keser Girls School</x:v>
      </x:c>
      <x:c r="F1037" s="43" t="str"/>
      <x:c r="G1037" s="43" t="str"/>
      <x:c r="H1037" s="43" t="str">
        <x:v>NE8 1NR</x:v>
      </x:c>
      <x:c r="I1037" s="43" t="n">
        <x:v>5</x:v>
      </x:c>
      <x:c r="J1037" s="43" t="n">
        <x:v>11</x:v>
      </x:c>
      <x:c r="K1037" s="43" t="str">
        <x:v>No boarders</x:v>
      </x:c>
      <x:c r="L1037" s="43" t="str">
        <x:v>Does not have a sixth form</x:v>
      </x:c>
      <x:c r="M1037" s="43" t="n">
        <x:v>362</x:v>
      </x:c>
      <x:c r="N1037" s="43" t="str"/>
      <x:c r="O1037" s="43" t="str">
        <x:v>01914785841</x:v>
      </x:c>
      <x:c r="P1037" s="43" t="str"/>
      <x:c r="Q1037" s="43" t="str"/>
      <x:c r="R1037" s="43" t="str">
        <x:v>Queued for contact research</x:v>
      </x:c>
      <x:c r="S1037" s="43" t="str">
        <x:v>Not reviewed</x:v>
      </x:c>
      <x:c r="T1037" s="43" t="str">
        <x:v>Hold</x:v>
      </x:c>
      <x:c r="U1037" s="43" t="str">
        <x:v>No</x:v>
      </x:c>
      <x:c r="V1037" s="44"/>
      <x:c r="W1037" s="43" t="str"/>
      <x:c r="X1037" s="43" t="str"/>
      <x:c r="Y1037" s="43" t="str"/>
      <x:c r="Z1037" s="43" t="str">
        <x:v>https://www.get-information-schools.service.gov.uk/Downloads</x:v>
      </x:c>
    </x:row>
    <x:row r="1038">
      <x:c r="A1038" s="43" t="str">
        <x:v>UK independent</x:v>
      </x:c>
      <x:c r="B1038" s="43" t="str">
        <x:v>131026</x:v>
      </x:c>
      <x:c r="C1038" s="43" t="n">
        <x:f>IF(K1038="Boarding school",30,0)+IF(J1038&gt;=18,20,0)+IF(I1038&lt;=11,10,0)+IF(L1038="Has a sixth form",15,0)+IF(M1038&gt;=200,10,0)+IF(N1038&lt;&gt;"",10,0)</x:f>
        <x:v>20</x:v>
      </x:c>
      <x:c r="D1038" s="43" t="str">
        <x:f>IF(C1038&gt;=85,"A",IF(C1038&gt;=65,"B","C"))</x:f>
        <x:v>C</x:v>
      </x:c>
      <x:c r="E1038" s="43" t="str">
        <x:v>Beis Soroh Schneirer</x:v>
      </x:c>
      <x:c r="F1038" s="43" t="str">
        <x:v>West Hendon</x:v>
      </x:c>
      <x:c r="G1038" s="43" t="str"/>
      <x:c r="H1038" s="43" t="str">
        <x:v>NW9 6AX</x:v>
      </x:c>
      <x:c r="I1038" s="43" t="n">
        <x:v>2</x:v>
      </x:c>
      <x:c r="J1038" s="43" t="n">
        <x:v>11</x:v>
      </x:c>
      <x:c r="K1038" s="43" t="str">
        <x:v>No boarders</x:v>
      </x:c>
      <x:c r="L1038" s="43" t="str">
        <x:v>Does not have a sixth form</x:v>
      </x:c>
      <x:c r="M1038" s="43" t="n">
        <x:v>333</x:v>
      </x:c>
      <x:c r="N1038" s="43" t="str"/>
      <x:c r="O1038" s="43" t="str">
        <x:v>02082017771</x:v>
      </x:c>
      <x:c r="P1038" s="43" t="str"/>
      <x:c r="Q1038" s="43" t="str"/>
      <x:c r="R1038" s="43" t="str">
        <x:v>Queued for contact research</x:v>
      </x:c>
      <x:c r="S1038" s="43" t="str">
        <x:v>Not reviewed</x:v>
      </x:c>
      <x:c r="T1038" s="43" t="str">
        <x:v>Hold</x:v>
      </x:c>
      <x:c r="U1038" s="43" t="str">
        <x:v>No</x:v>
      </x:c>
      <x:c r="V1038" s="44"/>
      <x:c r="W1038" s="43" t="str"/>
      <x:c r="X1038" s="43" t="str"/>
      <x:c r="Y1038" s="43" t="str"/>
      <x:c r="Z1038" s="43" t="str">
        <x:v>https://www.get-information-schools.service.gov.uk/Downloads</x:v>
      </x:c>
    </x:row>
    <x:row r="1039">
      <x:c r="A1039" s="43" t="str">
        <x:v>UK independent</x:v>
      </x:c>
      <x:c r="B1039" s="43" t="str">
        <x:v>100534</x:v>
      </x:c>
      <x:c r="C1039" s="43" t="n">
        <x:f>IF(K1039="Boarding school",30,0)+IF(J1039&gt;=18,20,0)+IF(I1039&lt;=11,10,0)+IF(L1039="Has a sixth form",15,0)+IF(M1039&gt;=200,10,0)+IF(N1039&lt;&gt;"",10,0)</x:f>
        <x:v>20</x:v>
      </x:c>
      <x:c r="D1039" s="43" t="str">
        <x:f>IF(C1039&gt;=85,"A",IF(C1039&gt;=65,"B","C"))</x:f>
        <x:v>C</x:v>
      </x:c>
      <x:c r="E1039" s="43" t="str">
        <x:v>Thomas's Kensington</x:v>
      </x:c>
      <x:c r="F1039" s="43" t="str">
        <x:v>London</x:v>
      </x:c>
      <x:c r="G1039" s="43" t="str"/>
      <x:c r="H1039" s="43" t="str">
        <x:v>W8 5PN</x:v>
      </x:c>
      <x:c r="I1039" s="43" t="n">
        <x:v>4</x:v>
      </x:c>
      <x:c r="J1039" s="43" t="n">
        <x:v>11</x:v>
      </x:c>
      <x:c r="K1039" s="43" t="str">
        <x:v>No boarders</x:v>
      </x:c>
      <x:c r="L1039" s="43" t="str">
        <x:v>Does not have a sixth form</x:v>
      </x:c>
      <x:c r="M1039" s="43" t="n">
        <x:v>329</x:v>
      </x:c>
      <x:c r="N1039" s="43" t="str"/>
      <x:c r="O1039" s="43" t="str">
        <x:v>02073616500</x:v>
      </x:c>
      <x:c r="P1039" s="43" t="str"/>
      <x:c r="Q1039" s="43" t="str"/>
      <x:c r="R1039" s="43" t="str">
        <x:v>Queued for contact research</x:v>
      </x:c>
      <x:c r="S1039" s="43" t="str">
        <x:v>Not reviewed</x:v>
      </x:c>
      <x:c r="T1039" s="43" t="str">
        <x:v>Hold</x:v>
      </x:c>
      <x:c r="U1039" s="43" t="str">
        <x:v>No</x:v>
      </x:c>
      <x:c r="V1039" s="44"/>
      <x:c r="W1039" s="43" t="str"/>
      <x:c r="X1039" s="43" t="str"/>
      <x:c r="Y1039" s="43" t="str"/>
      <x:c r="Z1039" s="43" t="str">
        <x:v>https://www.get-information-schools.service.gov.uk/Downloads</x:v>
      </x:c>
    </x:row>
    <x:row r="1040">
      <x:c r="A1040" s="43" t="str">
        <x:v>UK independent</x:v>
      </x:c>
      <x:c r="B1040" s="43" t="str">
        <x:v>131121</x:v>
      </x:c>
      <x:c r="C1040" s="43" t="n">
        <x:f>IF(K1040="Boarding school",30,0)+IF(J1040&gt;=18,20,0)+IF(I1040&lt;=11,10,0)+IF(L1040="Has a sixth form",15,0)+IF(M1040&gt;=200,10,0)+IF(N1040&lt;&gt;"",10,0)</x:f>
        <x:v>20</x:v>
      </x:c>
      <x:c r="D1040" s="43" t="str">
        <x:f>IF(C1040&gt;=85,"A",IF(C1040&gt;=65,"B","C"))</x:f>
        <x:v>C</x:v>
      </x:c>
      <x:c r="E1040" s="43" t="str">
        <x:v>Talmud Torah Tiferes Shlomo</x:v>
      </x:c>
      <x:c r="F1040" s="43" t="str">
        <x:v>London</x:v>
      </x:c>
      <x:c r="G1040" s="43" t="str"/>
      <x:c r="H1040" s="43" t="str">
        <x:v>NW4 2NB</x:v>
      </x:c>
      <x:c r="I1040" s="43" t="n">
        <x:v>3</x:v>
      </x:c>
      <x:c r="J1040" s="43" t="n">
        <x:v>15</x:v>
      </x:c>
      <x:c r="K1040" s="43" t="str">
        <x:v>No boarders</x:v>
      </x:c>
      <x:c r="L1040" s="43" t="str">
        <x:v>Does not have a sixth form</x:v>
      </x:c>
      <x:c r="M1040" s="43" t="n">
        <x:v>321</x:v>
      </x:c>
      <x:c r="N1040" s="43" t="str"/>
      <x:c r="O1040" s="43" t="str">
        <x:v>02084581074</x:v>
      </x:c>
      <x:c r="P1040" s="43" t="str"/>
      <x:c r="Q1040" s="43" t="str"/>
      <x:c r="R1040" s="43" t="str">
        <x:v>Queued for contact research</x:v>
      </x:c>
      <x:c r="S1040" s="43" t="str">
        <x:v>Not reviewed</x:v>
      </x:c>
      <x:c r="T1040" s="43" t="str">
        <x:v>Hold</x:v>
      </x:c>
      <x:c r="U1040" s="43" t="str">
        <x:v>No</x:v>
      </x:c>
      <x:c r="V1040" s="44"/>
      <x:c r="W1040" s="43" t="str"/>
      <x:c r="X1040" s="43" t="str"/>
      <x:c r="Y1040" s="43" t="str"/>
      <x:c r="Z1040" s="43" t="str">
        <x:v>https://www.get-information-schools.service.gov.uk/Downloads</x:v>
      </x:c>
    </x:row>
    <x:row r="1041">
      <x:c r="A1041" s="43" t="str">
        <x:v>UK independent</x:v>
      </x:c>
      <x:c r="B1041" s="43" t="str">
        <x:v>105993</x:v>
      </x:c>
      <x:c r="C1041" s="43" t="n">
        <x:f>IF(K1041="Boarding school",30,0)+IF(J1041&gt;=18,20,0)+IF(I1041&lt;=11,10,0)+IF(L1041="Has a sixth form",15,0)+IF(M1041&gt;=200,10,0)+IF(N1041&lt;&gt;"",10,0)</x:f>
        <x:v>20</x:v>
      </x:c>
      <x:c r="D1041" s="43" t="str">
        <x:f>IF(C1041&gt;=85,"A",IF(C1041&gt;=65,"B","C"))</x:f>
        <x:v>C</x:v>
      </x:c>
      <x:c r="E1041" s="43" t="str">
        <x:v>Talmud Torah Chinuch Norim School</x:v>
      </x:c>
      <x:c r="F1041" s="43" t="str">
        <x:v>Manchester</x:v>
      </x:c>
      <x:c r="G1041" s="43" t="str"/>
      <x:c r="H1041" s="43" t="str">
        <x:v>M7 2AU</x:v>
      </x:c>
      <x:c r="I1041" s="43" t="n">
        <x:v>2</x:v>
      </x:c>
      <x:c r="J1041" s="43" t="n">
        <x:v>13</x:v>
      </x:c>
      <x:c r="K1041" s="43" t="str">
        <x:v>No boarders</x:v>
      </x:c>
      <x:c r="L1041" s="43" t="str">
        <x:v>Does not have a sixth form</x:v>
      </x:c>
      <x:c r="M1041" s="43" t="n">
        <x:v>317</x:v>
      </x:c>
      <x:c r="N1041" s="43" t="str"/>
      <x:c r="O1041" s="43" t="str">
        <x:v>01617929292</x:v>
      </x:c>
      <x:c r="P1041" s="43" t="str"/>
      <x:c r="Q1041" s="43" t="str"/>
      <x:c r="R1041" s="43" t="str">
        <x:v>Queued for contact research</x:v>
      </x:c>
      <x:c r="S1041" s="43" t="str">
        <x:v>Not reviewed</x:v>
      </x:c>
      <x:c r="T1041" s="43" t="str">
        <x:v>Hold</x:v>
      </x:c>
      <x:c r="U1041" s="43" t="str">
        <x:v>No</x:v>
      </x:c>
      <x:c r="V1041" s="44"/>
      <x:c r="W1041" s="43" t="str"/>
      <x:c r="X1041" s="43" t="str"/>
      <x:c r="Y1041" s="43" t="str"/>
      <x:c r="Z1041" s="43" t="str">
        <x:v>https://www.get-information-schools.service.gov.uk/Downloads</x:v>
      </x:c>
    </x:row>
    <x:row r="1042">
      <x:c r="A1042" s="43" t="str">
        <x:v>UK independent</x:v>
      </x:c>
      <x:c r="B1042" s="43" t="str">
        <x:v>136117</x:v>
      </x:c>
      <x:c r="C1042" s="43" t="n">
        <x:f>IF(K1042="Boarding school",30,0)+IF(J1042&gt;=18,20,0)+IF(I1042&lt;=11,10,0)+IF(L1042="Has a sixth form",15,0)+IF(M1042&gt;=200,10,0)+IF(N1042&lt;&gt;"",10,0)</x:f>
        <x:v>20</x:v>
      </x:c>
      <x:c r="D1042" s="43" t="str">
        <x:f>IF(C1042&gt;=85,"A",IF(C1042&gt;=65,"B","C"))</x:f>
        <x:v>C</x:v>
      </x:c>
      <x:c r="E1042" s="43" t="str">
        <x:v>Beis Malka Girls school</x:v>
      </x:c>
      <x:c r="F1042" s="43" t="str">
        <x:v>Salford</x:v>
      </x:c>
      <x:c r="G1042" s="43" t="str"/>
      <x:c r="H1042" s="43" t="str">
        <x:v>M7 2BT</x:v>
      </x:c>
      <x:c r="I1042" s="43" t="n">
        <x:v>3</x:v>
      </x:c>
      <x:c r="J1042" s="43" t="n">
        <x:v>16</x:v>
      </x:c>
      <x:c r="K1042" s="43" t="str">
        <x:v>No boarders</x:v>
      </x:c>
      <x:c r="L1042" s="43" t="str">
        <x:v>Does not have a sixth form</x:v>
      </x:c>
      <x:c r="M1042" s="43" t="n">
        <x:v>300</x:v>
      </x:c>
      <x:c r="N1042" s="43" t="str"/>
      <x:c r="O1042" s="43" t="str">
        <x:v>01617922323</x:v>
      </x:c>
      <x:c r="P1042" s="43" t="str"/>
      <x:c r="Q1042" s="43" t="str"/>
      <x:c r="R1042" s="43" t="str">
        <x:v>Queued for contact research</x:v>
      </x:c>
      <x:c r="S1042" s="43" t="str">
        <x:v>Not reviewed</x:v>
      </x:c>
      <x:c r="T1042" s="43" t="str">
        <x:v>Hold</x:v>
      </x:c>
      <x:c r="U1042" s="43" t="str">
        <x:v>No</x:v>
      </x:c>
      <x:c r="V1042" s="44"/>
      <x:c r="W1042" s="43" t="str"/>
      <x:c r="X1042" s="43" t="str"/>
      <x:c r="Y1042" s="43" t="str"/>
      <x:c r="Z1042" s="43" t="str">
        <x:v>https://www.get-information-schools.service.gov.uk/Downloads</x:v>
      </x:c>
    </x:row>
    <x:row r="1043">
      <x:c r="A1043" s="43" t="str">
        <x:v>UK independent</x:v>
      </x:c>
      <x:c r="B1043" s="43" t="str">
        <x:v>136015</x:v>
      </x:c>
      <x:c r="C1043" s="43" t="n">
        <x:f>IF(K1043="Boarding school",30,0)+IF(J1043&gt;=18,20,0)+IF(I1043&lt;=11,10,0)+IF(L1043="Has a sixth form",15,0)+IF(M1043&gt;=200,10,0)+IF(N1043&lt;&gt;"",10,0)</x:f>
        <x:v>20</x:v>
      </x:c>
      <x:c r="D1043" s="43" t="str">
        <x:f>IF(C1043&gt;=85,"A",IF(C1043&gt;=65,"B","C"))</x:f>
        <x:v>C</x:v>
      </x:c>
      <x:c r="E1043" s="43" t="str">
        <x:v>Bnos Zion of Bobov</x:v>
      </x:c>
      <x:c r="F1043" s="43" t="str"/>
      <x:c r="G1043" s="43" t="str"/>
      <x:c r="H1043" s="43" t="str">
        <x:v>N16 6TJ</x:v>
      </x:c>
      <x:c r="I1043" s="43" t="n">
        <x:v>2</x:v>
      </x:c>
      <x:c r="J1043" s="43" t="n">
        <x:v>16</x:v>
      </x:c>
      <x:c r="K1043" s="43" t="str">
        <x:v>No boarders</x:v>
      </x:c>
      <x:c r="L1043" s="43" t="str">
        <x:v>Does not have a sixth form</x:v>
      </x:c>
      <x:c r="M1043" s="43" t="n">
        <x:v>299</x:v>
      </x:c>
      <x:c r="N1043" s="43" t="str"/>
      <x:c r="O1043" s="43" t="str">
        <x:v>02082111945</x:v>
      </x:c>
      <x:c r="P1043" s="43" t="str"/>
      <x:c r="Q1043" s="43" t="str"/>
      <x:c r="R1043" s="43" t="str">
        <x:v>Queued for contact research</x:v>
      </x:c>
      <x:c r="S1043" s="43" t="str">
        <x:v>Not reviewed</x:v>
      </x:c>
      <x:c r="T1043" s="43" t="str">
        <x:v>Hold</x:v>
      </x:c>
      <x:c r="U1043" s="43" t="str">
        <x:v>No</x:v>
      </x:c>
      <x:c r="V1043" s="44"/>
      <x:c r="W1043" s="43" t="str"/>
      <x:c r="X1043" s="43" t="str"/>
      <x:c r="Y1043" s="43" t="str"/>
      <x:c r="Z1043" s="43" t="str">
        <x:v>https://www.get-information-schools.service.gov.uk/Downloads</x:v>
      </x:c>
    </x:row>
    <x:row r="1044">
      <x:c r="A1044" s="43" t="str">
        <x:v>UK independent</x:v>
      </x:c>
      <x:c r="B1044" s="43" t="str">
        <x:v>135140</x:v>
      </x:c>
      <x:c r="C1044" s="43" t="n">
        <x:f>IF(K1044="Boarding school",30,0)+IF(J1044&gt;=18,20,0)+IF(I1044&lt;=11,10,0)+IF(L1044="Has a sixth form",15,0)+IF(M1044&gt;=200,10,0)+IF(N1044&lt;&gt;"",10,0)</x:f>
        <x:v>20</x:v>
      </x:c>
      <x:c r="D1044" s="43" t="str">
        <x:f>IF(C1044&gt;=85,"A",IF(C1044&gt;=65,"B","C"))</x:f>
        <x:v>C</x:v>
      </x:c>
      <x:c r="E1044" s="43" t="str">
        <x:v>Alleyns Regents Park Prep</x:v>
      </x:c>
      <x:c r="F1044" s="43" t="str">
        <x:v>London</x:v>
      </x:c>
      <x:c r="G1044" s="43" t="str"/>
      <x:c r="H1044" s="43" t="str">
        <x:v>NW1 7AB</x:v>
      </x:c>
      <x:c r="I1044" s="43" t="n">
        <x:v>3</x:v>
      </x:c>
      <x:c r="J1044" s="43" t="n">
        <x:v>11</x:v>
      </x:c>
      <x:c r="K1044" s="43" t="str">
        <x:v>No boarders</x:v>
      </x:c>
      <x:c r="L1044" s="43" t="str">
        <x:v>Does not have a sixth form</x:v>
      </x:c>
      <x:c r="M1044" s="43" t="n">
        <x:v>292</x:v>
      </x:c>
      <x:c r="N1044" s="43" t="str"/>
      <x:c r="O1044" s="43" t="str">
        <x:v>02072676266</x:v>
      </x:c>
      <x:c r="P1044" s="43" t="str"/>
      <x:c r="Q1044" s="43" t="str"/>
      <x:c r="R1044" s="43" t="str">
        <x:v>Queued for contact research</x:v>
      </x:c>
      <x:c r="S1044" s="43" t="str">
        <x:v>Not reviewed</x:v>
      </x:c>
      <x:c r="T1044" s="43" t="str">
        <x:v>Hold</x:v>
      </x:c>
      <x:c r="U1044" s="43" t="str">
        <x:v>No</x:v>
      </x:c>
      <x:c r="V1044" s="44"/>
      <x:c r="W1044" s="43" t="str"/>
      <x:c r="X1044" s="43" t="str"/>
      <x:c r="Y1044" s="43" t="str"/>
      <x:c r="Z1044" s="43" t="str">
        <x:v>https://www.get-information-schools.service.gov.uk/Downloads</x:v>
      </x:c>
    </x:row>
    <x:row r="1045">
      <x:c r="A1045" s="43" t="str">
        <x:v>UK independent</x:v>
      </x:c>
      <x:c r="B1045" s="43" t="str">
        <x:v>131170</x:v>
      </x:c>
      <x:c r="C1045" s="43" t="n">
        <x:f>IF(K1045="Boarding school",30,0)+IF(J1045&gt;=18,20,0)+IF(I1045&lt;=11,10,0)+IF(L1045="Has a sixth form",15,0)+IF(M1045&gt;=200,10,0)+IF(N1045&lt;&gt;"",10,0)</x:f>
        <x:v>20</x:v>
      </x:c>
      <x:c r="D1045" s="43" t="str">
        <x:f>IF(C1045&gt;=85,"A",IF(C1045&gt;=65,"B","C"))</x:f>
        <x:v>C</x:v>
      </x:c>
      <x:c r="E1045" s="43" t="str">
        <x:v>Beis Aharon School</x:v>
      </x:c>
      <x:c r="F1045" s="43" t="str"/>
      <x:c r="G1045" s="43" t="str"/>
      <x:c r="H1045" s="43" t="str">
        <x:v>N16 5ED</x:v>
      </x:c>
      <x:c r="I1045" s="43" t="n">
        <x:v>3</x:v>
      </x:c>
      <x:c r="J1045" s="43" t="n">
        <x:v>13</x:v>
      </x:c>
      <x:c r="K1045" s="43" t="str">
        <x:v>No boarders</x:v>
      </x:c>
      <x:c r="L1045" s="43" t="str">
        <x:v>Does not have a sixth form</x:v>
      </x:c>
      <x:c r="M1045" s="43" t="n">
        <x:v>280</x:v>
      </x:c>
      <x:c r="N1045" s="43" t="str"/>
      <x:c r="O1045" s="43" t="str">
        <x:v>02088028666</x:v>
      </x:c>
      <x:c r="P1045" s="43" t="str"/>
      <x:c r="Q1045" s="43" t="str"/>
      <x:c r="R1045" s="43" t="str">
        <x:v>Queued for contact research</x:v>
      </x:c>
      <x:c r="S1045" s="43" t="str">
        <x:v>Not reviewed</x:v>
      </x:c>
      <x:c r="T1045" s="43" t="str">
        <x:v>Hold</x:v>
      </x:c>
      <x:c r="U1045" s="43" t="str">
        <x:v>No</x:v>
      </x:c>
      <x:c r="V1045" s="44"/>
      <x:c r="W1045" s="43" t="str"/>
      <x:c r="X1045" s="43" t="str"/>
      <x:c r="Y1045" s="43" t="str"/>
      <x:c r="Z1045" s="43" t="str">
        <x:v>https://www.get-information-schools.service.gov.uk/Downloads</x:v>
      </x:c>
    </x:row>
    <x:row r="1046">
      <x:c r="A1046" s="43" t="str">
        <x:v>UK independent</x:v>
      </x:c>
      <x:c r="B1046" s="43" t="str">
        <x:v>101385</x:v>
      </x:c>
      <x:c r="C1046" s="43" t="n">
        <x:f>IF(K1046="Boarding school",30,0)+IF(J1046&gt;=18,20,0)+IF(I1046&lt;=11,10,0)+IF(L1046="Has a sixth form",15,0)+IF(M1046&gt;=200,10,0)+IF(N1046&lt;&gt;"",10,0)</x:f>
        <x:v>20</x:v>
      </x:c>
      <x:c r="D1046" s="43" t="str">
        <x:f>IF(C1046&gt;=85,"A",IF(C1046&gt;=65,"B","C"))</x:f>
        <x:v>C</x:v>
      </x:c>
      <x:c r="E1046" s="43" t="str">
        <x:v>Pardes House Grammar School</x:v>
      </x:c>
      <x:c r="F1046" s="43" t="str">
        <x:v>London</x:v>
      </x:c>
      <x:c r="G1046" s="43" t="str"/>
      <x:c r="H1046" s="43" t="str">
        <x:v>N3 1SA</x:v>
      </x:c>
      <x:c r="I1046" s="43" t="n">
        <x:v>11</x:v>
      </x:c>
      <x:c r="J1046" s="43" t="n">
        <x:v>16</x:v>
      </x:c>
      <x:c r="K1046" s="43" t="str">
        <x:v>No boarders</x:v>
      </x:c>
      <x:c r="L1046" s="43" t="str">
        <x:v>Does not have a sixth form</x:v>
      </x:c>
      <x:c r="M1046" s="43" t="n">
        <x:v>275</x:v>
      </x:c>
      <x:c r="N1046" s="43" t="str"/>
      <x:c r="O1046" s="43" t="str">
        <x:v>02083494222</x:v>
      </x:c>
      <x:c r="P1046" s="43" t="str"/>
      <x:c r="Q1046" s="43" t="str"/>
      <x:c r="R1046" s="43" t="str">
        <x:v>Queued for contact research</x:v>
      </x:c>
      <x:c r="S1046" s="43" t="str">
        <x:v>Not reviewed</x:v>
      </x:c>
      <x:c r="T1046" s="43" t="str">
        <x:v>Hold</x:v>
      </x:c>
      <x:c r="U1046" s="43" t="str">
        <x:v>No</x:v>
      </x:c>
      <x:c r="V1046" s="44"/>
      <x:c r="W1046" s="43" t="str"/>
      <x:c r="X1046" s="43" t="str"/>
      <x:c r="Y1046" s="43" t="str"/>
      <x:c r="Z1046" s="43" t="str">
        <x:v>https://www.get-information-schools.service.gov.uk/Downloads</x:v>
      </x:c>
    </x:row>
    <x:row r="1047">
      <x:c r="A1047" s="43" t="str">
        <x:v>UK independent</x:v>
      </x:c>
      <x:c r="B1047" s="43" t="str">
        <x:v>133553</x:v>
      </x:c>
      <x:c r="C1047" s="43" t="n">
        <x:f>IF(K1047="Boarding school",30,0)+IF(J1047&gt;=18,20,0)+IF(I1047&lt;=11,10,0)+IF(L1047="Has a sixth form",15,0)+IF(M1047&gt;=200,10,0)+IF(N1047&lt;&gt;"",10,0)</x:f>
        <x:v>20</x:v>
      </x:c>
      <x:c r="D1047" s="43" t="str">
        <x:f>IF(C1047&gt;=85,"A",IF(C1047&gt;=65,"B","C"))</x:f>
        <x:v>C</x:v>
      </x:c>
      <x:c r="E1047" s="43" t="str">
        <x:v>Torah Vodaas</x:v>
      </x:c>
      <x:c r="F1047" s="43" t="str">
        <x:v>London</x:v>
      </x:c>
      <x:c r="G1047" s="43" t="str"/>
      <x:c r="H1047" s="43" t="str">
        <x:v>NW9 7AJ</x:v>
      </x:c>
      <x:c r="I1047" s="43" t="n">
        <x:v>2</x:v>
      </x:c>
      <x:c r="J1047" s="43" t="n">
        <x:v>11</x:v>
      </x:c>
      <x:c r="K1047" s="43" t="str">
        <x:v>No boarders</x:v>
      </x:c>
      <x:c r="L1047" s="43" t="str">
        <x:v>Does not have a sixth form</x:v>
      </x:c>
      <x:c r="M1047" s="43" t="n">
        <x:v>275</x:v>
      </x:c>
      <x:c r="N1047" s="43" t="str"/>
      <x:c r="O1047" s="43" t="str">
        <x:v>02036704670</x:v>
      </x:c>
      <x:c r="P1047" s="43" t="str"/>
      <x:c r="Q1047" s="43" t="str"/>
      <x:c r="R1047" s="43" t="str">
        <x:v>Queued for contact research</x:v>
      </x:c>
      <x:c r="S1047" s="43" t="str">
        <x:v>Not reviewed</x:v>
      </x:c>
      <x:c r="T1047" s="43" t="str">
        <x:v>Hold</x:v>
      </x:c>
      <x:c r="U1047" s="43" t="str">
        <x:v>No</x:v>
      </x:c>
      <x:c r="V1047" s="44"/>
      <x:c r="W1047" s="43" t="str"/>
      <x:c r="X1047" s="43" t="str"/>
      <x:c r="Y1047" s="43" t="str"/>
      <x:c r="Z1047" s="43" t="str">
        <x:v>https://www.get-information-schools.service.gov.uk/Downloads</x:v>
      </x:c>
    </x:row>
    <x:row r="1048">
      <x:c r="A1048" s="43" t="str">
        <x:v>UK independent</x:v>
      </x:c>
      <x:c r="B1048" s="43" t="str">
        <x:v>112081</x:v>
      </x:c>
      <x:c r="C1048" s="43" t="n">
        <x:f>IF(K1048="Boarding school",30,0)+IF(J1048&gt;=18,20,0)+IF(I1048&lt;=11,10,0)+IF(L1048="Has a sixth form",15,0)+IF(M1048&gt;=200,10,0)+IF(N1048&lt;&gt;"",10,0)</x:f>
        <x:v>20</x:v>
      </x:c>
      <x:c r="D1048" s="43" t="str">
        <x:f>IF(C1048&gt;=85,"A",IF(C1048&gt;=65,"B","C"))</x:f>
        <x:v>C</x:v>
      </x:c>
      <x:c r="E1048" s="43" t="str">
        <x:v>Truro School Preparatory School</x:v>
      </x:c>
      <x:c r="F1048" s="43" t="str">
        <x:v>Truro</x:v>
      </x:c>
      <x:c r="G1048" s="43" t="str">
        <x:v>Cornwall</x:v>
      </x:c>
      <x:c r="H1048" s="43" t="str">
        <x:v>TR1 3QN</x:v>
      </x:c>
      <x:c r="I1048" s="43" t="n">
        <x:v>3</x:v>
      </x:c>
      <x:c r="J1048" s="43" t="n">
        <x:v>11</x:v>
      </x:c>
      <x:c r="K1048" s="43" t="str">
        <x:v>No boarders</x:v>
      </x:c>
      <x:c r="L1048" s="43" t="str">
        <x:v>Does not have a sixth form</x:v>
      </x:c>
      <x:c r="M1048" s="43" t="n">
        <x:v>275</x:v>
      </x:c>
      <x:c r="N1048" s="43" t="str"/>
      <x:c r="O1048" s="43" t="str">
        <x:v>01872272616</x:v>
      </x:c>
      <x:c r="P1048" s="43" t="str"/>
      <x:c r="Q1048" s="43" t="str"/>
      <x:c r="R1048" s="43" t="str">
        <x:v>Queued for contact research</x:v>
      </x:c>
      <x:c r="S1048" s="43" t="str">
        <x:v>Not reviewed</x:v>
      </x:c>
      <x:c r="T1048" s="43" t="str">
        <x:v>Hold</x:v>
      </x:c>
      <x:c r="U1048" s="43" t="str">
        <x:v>No</x:v>
      </x:c>
      <x:c r="V1048" s="44"/>
      <x:c r="W1048" s="43" t="str"/>
      <x:c r="X1048" s="43" t="str"/>
      <x:c r="Y1048" s="43" t="str"/>
      <x:c r="Z1048" s="43" t="str">
        <x:v>https://www.get-information-schools.service.gov.uk/Downloads</x:v>
      </x:c>
    </x:row>
    <x:row r="1049">
      <x:c r="A1049" s="43" t="str">
        <x:v>UK independent</x:v>
      </x:c>
      <x:c r="B1049" s="43" t="str">
        <x:v>136503</x:v>
      </x:c>
      <x:c r="C1049" s="43" t="n">
        <x:f>IF(K1049="Boarding school",30,0)+IF(J1049&gt;=18,20,0)+IF(I1049&lt;=11,10,0)+IF(L1049="Has a sixth form",15,0)+IF(M1049&gt;=200,10,0)+IF(N1049&lt;&gt;"",10,0)</x:f>
        <x:v>20</x:v>
      </x:c>
      <x:c r="D1049" s="43" t="str">
        <x:f>IF(C1049&gt;=85,"A",IF(C1049&gt;=65,"B","C"))</x:f>
        <x:v>C</x:v>
      </x:c>
      <x:c r="E1049" s="43" t="str">
        <x:v>Toras Emes</x:v>
      </x:c>
      <x:c r="F1049" s="43" t="str">
        <x:v>Salford</x:v>
      </x:c>
      <x:c r="G1049" s="43" t="str"/>
      <x:c r="H1049" s="43" t="str">
        <x:v>M7 4AH</x:v>
      </x:c>
      <x:c r="I1049" s="43" t="n">
        <x:v>3</x:v>
      </x:c>
      <x:c r="J1049" s="43" t="n">
        <x:v>11</x:v>
      </x:c>
      <x:c r="K1049" s="43" t="str">
        <x:v>No boarders</x:v>
      </x:c>
      <x:c r="L1049" s="43" t="str">
        <x:v>Does not have a sixth form</x:v>
      </x:c>
      <x:c r="M1049" s="43" t="n">
        <x:v>272</x:v>
      </x:c>
      <x:c r="N1049" s="43" t="str"/>
      <x:c r="O1049" s="43" t="str">
        <x:v>01618049713</x:v>
      </x:c>
      <x:c r="P1049" s="43" t="str"/>
      <x:c r="Q1049" s="43" t="str"/>
      <x:c r="R1049" s="43" t="str">
        <x:v>Queued for contact research</x:v>
      </x:c>
      <x:c r="S1049" s="43" t="str">
        <x:v>Not reviewed</x:v>
      </x:c>
      <x:c r="T1049" s="43" t="str">
        <x:v>Hold</x:v>
      </x:c>
      <x:c r="U1049" s="43" t="str">
        <x:v>No</x:v>
      </x:c>
      <x:c r="V1049" s="44"/>
      <x:c r="W1049" s="43" t="str"/>
      <x:c r="X1049" s="43" t="str"/>
      <x:c r="Y1049" s="43" t="str"/>
      <x:c r="Z1049" s="43" t="str">
        <x:v>https://www.get-information-schools.service.gov.uk/Downloads</x:v>
      </x:c>
    </x:row>
    <x:row r="1050">
      <x:c r="A1050" s="43" t="str">
        <x:v>UK independent</x:v>
      </x:c>
      <x:c r="B1050" s="43" t="str">
        <x:v>131342</x:v>
      </x:c>
      <x:c r="C1050" s="43" t="n">
        <x:f>IF(K1050="Boarding school",30,0)+IF(J1050&gt;=18,20,0)+IF(I1050&lt;=11,10,0)+IF(L1050="Has a sixth form",15,0)+IF(M1050&gt;=200,10,0)+IF(N1050&lt;&gt;"",10,0)</x:f>
        <x:v>20</x:v>
      </x:c>
      <x:c r="D1050" s="43" t="str">
        <x:f>IF(C1050&gt;=85,"A",IF(C1050&gt;=65,"B","C"))</x:f>
        <x:v>C</x:v>
      </x:c>
      <x:c r="E1050" s="43" t="str">
        <x:v>Beis Trana Girls' School</x:v>
      </x:c>
      <x:c r="F1050" s="43" t="str">
        <x:v>London</x:v>
      </x:c>
      <x:c r="G1050" s="43" t="str"/>
      <x:c r="H1050" s="43" t="str">
        <x:v>E5 9DH</x:v>
      </x:c>
      <x:c r="I1050" s="43" t="n">
        <x:v>3</x:v>
      </x:c>
      <x:c r="J1050" s="43" t="n">
        <x:v>16</x:v>
      </x:c>
      <x:c r="K1050" s="43" t="str">
        <x:v>No boarders</x:v>
      </x:c>
      <x:c r="L1050" s="43" t="str">
        <x:v>Does not have a sixth form</x:v>
      </x:c>
      <x:c r="M1050" s="43" t="n">
        <x:v>271</x:v>
      </x:c>
      <x:c r="N1050" s="43" t="str"/>
      <x:c r="O1050" s="43" t="str">
        <x:v>02088158000</x:v>
      </x:c>
      <x:c r="P1050" s="43" t="str"/>
      <x:c r="Q1050" s="43" t="str"/>
      <x:c r="R1050" s="43" t="str">
        <x:v>Queued for contact research</x:v>
      </x:c>
      <x:c r="S1050" s="43" t="str">
        <x:v>Not reviewed</x:v>
      </x:c>
      <x:c r="T1050" s="43" t="str">
        <x:v>Hold</x:v>
      </x:c>
      <x:c r="U1050" s="43" t="str">
        <x:v>No</x:v>
      </x:c>
      <x:c r="V1050" s="44"/>
      <x:c r="W1050" s="43" t="str"/>
      <x:c r="X1050" s="43" t="str"/>
      <x:c r="Y1050" s="43" t="str"/>
      <x:c r="Z1050" s="43" t="str">
        <x:v>https://www.get-information-schools.service.gov.uk/Downloads</x:v>
      </x:c>
    </x:row>
    <x:row r="1051">
      <x:c r="A1051" s="43" t="str">
        <x:v>UK independent</x:v>
      </x:c>
      <x:c r="B1051" s="43" t="str">
        <x:v>136014</x:v>
      </x:c>
      <x:c r="C1051" s="43" t="n">
        <x:f>IF(K1051="Boarding school",30,0)+IF(J1051&gt;=18,20,0)+IF(I1051&lt;=11,10,0)+IF(L1051="Has a sixth form",15,0)+IF(M1051&gt;=200,10,0)+IF(N1051&lt;&gt;"",10,0)</x:f>
        <x:v>20</x:v>
      </x:c>
      <x:c r="D1051" s="43" t="str">
        <x:f>IF(C1051&gt;=85,"A",IF(C1051&gt;=65,"B","C"))</x:f>
        <x:v>C</x:v>
      </x:c>
      <x:c r="E1051" s="43" t="str">
        <x:v>Edgware Jewish Girls - Beis Chinuch</x:v>
      </x:c>
      <x:c r="F1051" s="43" t="str">
        <x:v>Edgware</x:v>
      </x:c>
      <x:c r="G1051" s="43" t="str">
        <x:v>Middlesex</x:v>
      </x:c>
      <x:c r="H1051" s="43" t="str">
        <x:v>HA8 8NP</x:v>
      </x:c>
      <x:c r="I1051" s="43" t="n">
        <x:v>3</x:v>
      </x:c>
      <x:c r="J1051" s="43" t="n">
        <x:v>11</x:v>
      </x:c>
      <x:c r="K1051" s="43" t="str">
        <x:v>No boarders</x:v>
      </x:c>
      <x:c r="L1051" s="43" t="str">
        <x:v>Does not have a sixth form</x:v>
      </x:c>
      <x:c r="M1051" s="43" t="n">
        <x:v>271</x:v>
      </x:c>
      <x:c r="N1051" s="43" t="str"/>
      <x:c r="O1051" s="43" t="str">
        <x:v>02089054376</x:v>
      </x:c>
      <x:c r="P1051" s="43" t="str"/>
      <x:c r="Q1051" s="43" t="str"/>
      <x:c r="R1051" s="43" t="str">
        <x:v>Queued for contact research</x:v>
      </x:c>
      <x:c r="S1051" s="43" t="str">
        <x:v>Not reviewed</x:v>
      </x:c>
      <x:c r="T1051" s="43" t="str">
        <x:v>Hold</x:v>
      </x:c>
      <x:c r="U1051" s="43" t="str">
        <x:v>No</x:v>
      </x:c>
      <x:c r="V1051" s="44"/>
      <x:c r="W1051" s="43" t="str"/>
      <x:c r="X1051" s="43" t="str"/>
      <x:c r="Y1051" s="43" t="str"/>
      <x:c r="Z1051" s="43" t="str">
        <x:v>https://www.get-information-schools.service.gov.uk/Downloads</x:v>
      </x:c>
    </x:row>
    <x:row r="1052">
      <x:c r="A1052" s="43" t="str">
        <x:v>UK independent</x:v>
      </x:c>
      <x:c r="B1052" s="43" t="str">
        <x:v>138118</x:v>
      </x:c>
      <x:c r="C1052" s="43" t="n">
        <x:f>IF(K1052="Boarding school",30,0)+IF(J1052&gt;=18,20,0)+IF(I1052&lt;=11,10,0)+IF(L1052="Has a sixth form",15,0)+IF(M1052&gt;=200,10,0)+IF(N1052&lt;&gt;"",10,0)</x:f>
        <x:v>20</x:v>
      </x:c>
      <x:c r="D1052" s="43" t="str">
        <x:f>IF(C1052&gt;=85,"A",IF(C1052&gt;=65,"B","C"))</x:f>
        <x:v>C</x:v>
      </x:c>
      <x:c r="E1052" s="43" t="str">
        <x:v>Ateres Girls High School</x:v>
      </x:c>
      <x:c r="F1052" s="43" t="str">
        <x:v>Gateshead</x:v>
      </x:c>
      <x:c r="G1052" s="43" t="str"/>
      <x:c r="H1052" s="43" t="str">
        <x:v>NE10 9PQ</x:v>
      </x:c>
      <x:c r="I1052" s="43" t="n">
        <x:v>11</x:v>
      </x:c>
      <x:c r="J1052" s="43" t="n">
        <x:v>16</x:v>
      </x:c>
      <x:c r="K1052" s="43" t="str">
        <x:v>No boarders</x:v>
      </x:c>
      <x:c r="L1052" s="43" t="str">
        <x:v>Not applicable</x:v>
      </x:c>
      <x:c r="M1052" s="43" t="n">
        <x:v>270</x:v>
      </x:c>
      <x:c r="N1052" s="43" t="str"/>
      <x:c r="O1052" s="43" t="str">
        <x:v>01914692969</x:v>
      </x:c>
      <x:c r="P1052" s="43" t="str"/>
      <x:c r="Q1052" s="43" t="str"/>
      <x:c r="R1052" s="43" t="str">
        <x:v>Queued for contact research</x:v>
      </x:c>
      <x:c r="S1052" s="43" t="str">
        <x:v>Not reviewed</x:v>
      </x:c>
      <x:c r="T1052" s="43" t="str">
        <x:v>Hold</x:v>
      </x:c>
      <x:c r="U1052" s="43" t="str">
        <x:v>No</x:v>
      </x:c>
      <x:c r="V1052" s="44"/>
      <x:c r="W1052" s="43" t="str"/>
      <x:c r="X1052" s="43" t="str"/>
      <x:c r="Y1052" s="43" t="str"/>
      <x:c r="Z1052" s="43" t="str">
        <x:v>https://www.get-information-schools.service.gov.uk/Downloads</x:v>
      </x:c>
    </x:row>
    <x:row r="1053">
      <x:c r="A1053" s="43" t="str">
        <x:v>UK independent</x:v>
      </x:c>
      <x:c r="B1053" s="43" t="str">
        <x:v>114626</x:v>
      </x:c>
      <x:c r="C1053" s="43" t="n">
        <x:f>IF(K1053="Boarding school",30,0)+IF(J1053&gt;=18,20,0)+IF(I1053&lt;=11,10,0)+IF(L1053="Has a sixth form",15,0)+IF(M1053&gt;=200,10,0)+IF(N1053&lt;&gt;"",10,0)</x:f>
        <x:v>20</x:v>
      </x:c>
      <x:c r="D1053" s="43" t="str">
        <x:f>IF(C1053&gt;=85,"A",IF(C1053&gt;=65,"B","C"))</x:f>
        <x:v>C</x:v>
      </x:c>
      <x:c r="E1053" s="43" t="str">
        <x:v>Lancing College Preparatory School At Hove</x:v>
      </x:c>
      <x:c r="F1053" s="43" t="str">
        <x:v>Hove</x:v>
      </x:c>
      <x:c r="G1053" s="43" t="str">
        <x:v>East Sussex</x:v>
      </x:c>
      <x:c r="H1053" s="43" t="str">
        <x:v>BN3 6LU</x:v>
      </x:c>
      <x:c r="I1053" s="43" t="n">
        <x:v>3</x:v>
      </x:c>
      <x:c r="J1053" s="43" t="n">
        <x:v>13</x:v>
      </x:c>
      <x:c r="K1053" s="43" t="str">
        <x:v>No boarders</x:v>
      </x:c>
      <x:c r="L1053" s="43" t="str">
        <x:v>Does not have a sixth form</x:v>
      </x:c>
      <x:c r="M1053" s="43" t="n">
        <x:v>262</x:v>
      </x:c>
      <x:c r="N1053" s="43" t="str"/>
      <x:c r="O1053" s="43" t="str">
        <x:v>01273503452</x:v>
      </x:c>
      <x:c r="P1053" s="43" t="str"/>
      <x:c r="Q1053" s="43" t="str"/>
      <x:c r="R1053" s="43" t="str">
        <x:v>Queued for contact research</x:v>
      </x:c>
      <x:c r="S1053" s="43" t="str">
        <x:v>Not reviewed</x:v>
      </x:c>
      <x:c r="T1053" s="43" t="str">
        <x:v>Hold</x:v>
      </x:c>
      <x:c r="U1053" s="43" t="str">
        <x:v>No</x:v>
      </x:c>
      <x:c r="V1053" s="44"/>
      <x:c r="W1053" s="43" t="str"/>
      <x:c r="X1053" s="43" t="str"/>
      <x:c r="Y1053" s="43" t="str"/>
      <x:c r="Z1053" s="43" t="str">
        <x:v>https://www.get-information-schools.service.gov.uk/Downloads</x:v>
      </x:c>
    </x:row>
    <x:row r="1054">
      <x:c r="A1054" s="43" t="str">
        <x:v>UK independent</x:v>
      </x:c>
      <x:c r="B1054" s="43" t="str">
        <x:v>100296</x:v>
      </x:c>
      <x:c r="C1054" s="43" t="n">
        <x:f>IF(K1054="Boarding school",30,0)+IF(J1054&gt;=18,20,0)+IF(I1054&lt;=11,10,0)+IF(L1054="Has a sixth form",15,0)+IF(M1054&gt;=200,10,0)+IF(N1054&lt;&gt;"",10,0)</x:f>
        <x:v>20</x:v>
      </x:c>
      <x:c r="D1054" s="43" t="str">
        <x:f>IF(C1054&gt;=85,"A",IF(C1054&gt;=65,"B","C"))</x:f>
        <x:v>C</x:v>
      </x:c>
      <x:c r="E1054" s="43" t="str">
        <x:v>Talmud Torah Chaim Meirim Wiznitz School</x:v>
      </x:c>
      <x:c r="F1054" s="43" t="str">
        <x:v>London</x:v>
      </x:c>
      <x:c r="G1054" s="43" t="str"/>
      <x:c r="H1054" s="43" t="str">
        <x:v>N16 6XB</x:v>
      </x:c>
      <x:c r="I1054" s="43" t="n">
        <x:v>5</x:v>
      </x:c>
      <x:c r="J1054" s="43" t="n">
        <x:v>13</x:v>
      </x:c>
      <x:c r="K1054" s="43" t="str">
        <x:v>No boarders</x:v>
      </x:c>
      <x:c r="L1054" s="43" t="str">
        <x:v>Does not have a sixth form</x:v>
      </x:c>
      <x:c r="M1054" s="43" t="n">
        <x:v>234</x:v>
      </x:c>
      <x:c r="N1054" s="43" t="str"/>
      <x:c r="O1054" s="43" t="str">
        <x:v>02088060898</x:v>
      </x:c>
      <x:c r="P1054" s="43" t="str"/>
      <x:c r="Q1054" s="43" t="str"/>
      <x:c r="R1054" s="43" t="str">
        <x:v>Queued for contact research</x:v>
      </x:c>
      <x:c r="S1054" s="43" t="str">
        <x:v>Not reviewed</x:v>
      </x:c>
      <x:c r="T1054" s="43" t="str">
        <x:v>Hold</x:v>
      </x:c>
      <x:c r="U1054" s="43" t="str">
        <x:v>No</x:v>
      </x:c>
      <x:c r="V1054" s="44"/>
      <x:c r="W1054" s="43" t="str"/>
      <x:c r="X1054" s="43" t="str"/>
      <x:c r="Y1054" s="43" t="str"/>
      <x:c r="Z1054" s="43" t="str">
        <x:v>https://www.get-information-schools.service.gov.uk/Downloads</x:v>
      </x:c>
    </x:row>
    <x:row r="1055">
      <x:c r="A1055" s="43" t="str">
        <x:v>UK independent</x:v>
      </x:c>
      <x:c r="B1055" s="43" t="str">
        <x:v>106003</x:v>
      </x:c>
      <x:c r="C1055" s="43" t="n">
        <x:f>IF(K1055="Boarding school",30,0)+IF(J1055&gt;=18,20,0)+IF(I1055&lt;=11,10,0)+IF(L1055="Has a sixth form",15,0)+IF(M1055&gt;=200,10,0)+IF(N1055&lt;&gt;"",10,0)</x:f>
        <x:v>20</x:v>
      </x:c>
      <x:c r="D1055" s="43" t="str">
        <x:f>IF(C1055&gt;=85,"A",IF(C1055&gt;=65,"B","C"))</x:f>
        <x:v>C</x:v>
      </x:c>
      <x:c r="E1055" s="43" t="str">
        <x:v>Manchester Junior Girls' School</x:v>
      </x:c>
      <x:c r="F1055" s="43" t="str">
        <x:v>Salford</x:v>
      </x:c>
      <x:c r="G1055" s="43" t="str">
        <x:v>Lancashire</x:v>
      </x:c>
      <x:c r="H1055" s="43" t="str">
        <x:v>M7 4JA</x:v>
      </x:c>
      <x:c r="I1055" s="43" t="n">
        <x:v>2</x:v>
      </x:c>
      <x:c r="J1055" s="43" t="n">
        <x:v>11</x:v>
      </x:c>
      <x:c r="K1055" s="43" t="str">
        <x:v>No boarders</x:v>
      </x:c>
      <x:c r="L1055" s="43" t="str">
        <x:v>Does not have a sixth form</x:v>
      </x:c>
      <x:c r="M1055" s="43" t="n">
        <x:v>232</x:v>
      </x:c>
      <x:c r="N1055" s="43" t="str"/>
      <x:c r="O1055" s="43" t="str">
        <x:v>01617400566</x:v>
      </x:c>
      <x:c r="P1055" s="43" t="str"/>
      <x:c r="Q1055" s="43" t="str"/>
      <x:c r="R1055" s="43" t="str">
        <x:v>Queued for contact research</x:v>
      </x:c>
      <x:c r="S1055" s="43" t="str">
        <x:v>Not reviewed</x:v>
      </x:c>
      <x:c r="T1055" s="43" t="str">
        <x:v>Hold</x:v>
      </x:c>
      <x:c r="U1055" s="43" t="str">
        <x:v>No</x:v>
      </x:c>
      <x:c r="V1055" s="44"/>
      <x:c r="W1055" s="43" t="str"/>
      <x:c r="X1055" s="43" t="str"/>
      <x:c r="Y1055" s="43" t="str"/>
      <x:c r="Z1055" s="43" t="str">
        <x:v>https://www.get-information-schools.service.gov.uk/Downloads</x:v>
      </x:c>
    </x:row>
    <x:row r="1056">
      <x:c r="A1056" s="43" t="str">
        <x:v>UK independent</x:v>
      </x:c>
      <x:c r="B1056" s="43" t="str">
        <x:v>100298</x:v>
      </x:c>
      <x:c r="C1056" s="43" t="n">
        <x:f>IF(K1056="Boarding school",30,0)+IF(J1056&gt;=18,20,0)+IF(I1056&lt;=11,10,0)+IF(L1056="Has a sixth form",15,0)+IF(M1056&gt;=200,10,0)+IF(N1056&lt;&gt;"",10,0)</x:f>
        <x:v>20</x:v>
      </x:c>
      <x:c r="D1056" s="43" t="str">
        <x:f>IF(C1056&gt;=85,"A",IF(C1056&gt;=65,"B","C"))</x:f>
        <x:v>C</x:v>
      </x:c>
      <x:c r="E1056" s="43" t="str">
        <x:v>Bobov Primary Boys School</x:v>
      </x:c>
      <x:c r="F1056" s="43" t="str"/>
      <x:c r="G1056" s="43" t="str"/>
      <x:c r="H1056" s="43" t="str">
        <x:v>N16 6UE</x:v>
      </x:c>
      <x:c r="I1056" s="43" t="n">
        <x:v>2</x:v>
      </x:c>
      <x:c r="J1056" s="43" t="n">
        <x:v>13</x:v>
      </x:c>
      <x:c r="K1056" s="43" t="str">
        <x:v>No boarders</x:v>
      </x:c>
      <x:c r="L1056" s="43" t="str">
        <x:v>Does not have a sixth form</x:v>
      </x:c>
      <x:c r="M1056" s="43" t="n">
        <x:v>219</x:v>
      </x:c>
      <x:c r="N1056" s="43" t="str"/>
      <x:c r="O1056" s="43" t="str">
        <x:v>02088091025</x:v>
      </x:c>
      <x:c r="P1056" s="43" t="str"/>
      <x:c r="Q1056" s="43" t="str"/>
      <x:c r="R1056" s="43" t="str">
        <x:v>Queued for contact research</x:v>
      </x:c>
      <x:c r="S1056" s="43" t="str">
        <x:v>Not reviewed</x:v>
      </x:c>
      <x:c r="T1056" s="43" t="str">
        <x:v>Hold</x:v>
      </x:c>
      <x:c r="U1056" s="43" t="str">
        <x:v>No</x:v>
      </x:c>
      <x:c r="V1056" s="44"/>
      <x:c r="W1056" s="43" t="str"/>
      <x:c r="X1056" s="43" t="str"/>
      <x:c r="Y1056" s="43" t="str"/>
      <x:c r="Z1056" s="43" t="str">
        <x:v>https://www.get-information-schools.service.gov.uk/Downloads</x:v>
      </x:c>
    </x:row>
    <x:row r="1057">
      <x:c r="A1057" s="43" t="str">
        <x:v>UK independent</x:v>
      </x:c>
      <x:c r="B1057" s="43" t="str">
        <x:v>101687</x:v>
      </x:c>
      <x:c r="C1057" s="43" t="n">
        <x:f>IF(K1057="Boarding school",30,0)+IF(J1057&gt;=18,20,0)+IF(I1057&lt;=11,10,0)+IF(L1057="Has a sixth form",15,0)+IF(M1057&gt;=200,10,0)+IF(N1057&lt;&gt;"",10,0)</x:f>
        <x:v>20</x:v>
      </x:c>
      <x:c r="D1057" s="43" t="str">
        <x:f>IF(C1057&gt;=85,"A",IF(C1057&gt;=65,"B","C"))</x:f>
        <x:v>C</x:v>
      </x:c>
      <x:c r="E1057" s="43" t="str">
        <x:v>St Christophers The Hall School</x:v>
      </x:c>
      <x:c r="F1057" s="43" t="str">
        <x:v>Beckenham</x:v>
      </x:c>
      <x:c r="G1057" s="43" t="str">
        <x:v>Kent</x:v>
      </x:c>
      <x:c r="H1057" s="43" t="str">
        <x:v>BR3 5PA</x:v>
      </x:c>
      <x:c r="I1057" s="43" t="n">
        <x:v>2</x:v>
      </x:c>
      <x:c r="J1057" s="43" t="n">
        <x:v>11</x:v>
      </x:c>
      <x:c r="K1057" s="43" t="str">
        <x:v>No boarders</x:v>
      </x:c>
      <x:c r="L1057" s="43" t="str">
        <x:v>Does not have a sixth form</x:v>
      </x:c>
      <x:c r="M1057" s="43" t="n">
        <x:v>216</x:v>
      </x:c>
      <x:c r="N1057" s="43" t="str"/>
      <x:c r="O1057" s="43" t="str">
        <x:v>02086502200</x:v>
      </x:c>
      <x:c r="P1057" s="43" t="str"/>
      <x:c r="Q1057" s="43" t="str"/>
      <x:c r="R1057" s="43" t="str">
        <x:v>Queued for contact research</x:v>
      </x:c>
      <x:c r="S1057" s="43" t="str">
        <x:v>Not reviewed</x:v>
      </x:c>
      <x:c r="T1057" s="43" t="str">
        <x:v>Hold</x:v>
      </x:c>
      <x:c r="U1057" s="43" t="str">
        <x:v>No</x:v>
      </x:c>
      <x:c r="V1057" s="44"/>
      <x:c r="W1057" s="43" t="str"/>
      <x:c r="X1057" s="43" t="str"/>
      <x:c r="Y1057" s="43" t="str"/>
      <x:c r="Z1057" s="43" t="str">
        <x:v>https://www.get-information-schools.service.gov.uk/Downloads</x:v>
      </x:c>
    </x:row>
    <x:row r="1058">
      <x:c r="A1058" s="43" t="str">
        <x:v>UK independent</x:v>
      </x:c>
      <x:c r="B1058" s="43" t="str">
        <x:v>130286</x:v>
      </x:c>
      <x:c r="C1058" s="43" t="n">
        <x:f>IF(K1058="Boarding school",30,0)+IF(J1058&gt;=18,20,0)+IF(I1058&lt;=11,10,0)+IF(L1058="Has a sixth form",15,0)+IF(M1058&gt;=200,10,0)+IF(N1058&lt;&gt;"",10,0)</x:f>
        <x:v>20</x:v>
      </x:c>
      <x:c r="D1058" s="43" t="str">
        <x:f>IF(C1058&gt;=85,"A",IF(C1058&gt;=65,"B","C"))</x:f>
        <x:v>C</x:v>
      </x:c>
      <x:c r="E1058" s="43" t="str">
        <x:v>Beis Ruchel Girls School</x:v>
      </x:c>
      <x:c r="F1058" s="43" t="str">
        <x:v>Manchester</x:v>
      </x:c>
      <x:c r="G1058" s="43" t="str">
        <x:v>Lancashire</x:v>
      </x:c>
      <x:c r="H1058" s="43" t="str">
        <x:v>M7 4AE</x:v>
      </x:c>
      <x:c r="I1058" s="43" t="n">
        <x:v>2</x:v>
      </x:c>
      <x:c r="J1058" s="43" t="n">
        <x:v>11</x:v>
      </x:c>
      <x:c r="K1058" s="43" t="str">
        <x:v>No boarders</x:v>
      </x:c>
      <x:c r="L1058" s="43" t="str">
        <x:v>Does not have a sixth form</x:v>
      </x:c>
      <x:c r="M1058" s="43" t="n">
        <x:v>212</x:v>
      </x:c>
      <x:c r="N1058" s="43" t="str"/>
      <x:c r="O1058" s="43" t="str">
        <x:v>01617951830</x:v>
      </x:c>
      <x:c r="P1058" s="43" t="str"/>
      <x:c r="Q1058" s="43" t="str"/>
      <x:c r="R1058" s="43" t="str">
        <x:v>Queued for contact research</x:v>
      </x:c>
      <x:c r="S1058" s="43" t="str">
        <x:v>Not reviewed</x:v>
      </x:c>
      <x:c r="T1058" s="43" t="str">
        <x:v>Hold</x:v>
      </x:c>
      <x:c r="U1058" s="43" t="str">
        <x:v>No</x:v>
      </x:c>
      <x:c r="V1058" s="44"/>
      <x:c r="W1058" s="43" t="str"/>
      <x:c r="X1058" s="43" t="str"/>
      <x:c r="Y1058" s="43" t="str"/>
      <x:c r="Z1058" s="43" t="str">
        <x:v>https://www.get-information-schools.service.gov.uk/Downloads</x:v>
      </x:c>
    </x:row>
    <x:row r="1059">
      <x:c r="A1059" s="43" t="str">
        <x:v>UK independent</x:v>
      </x:c>
      <x:c r="B1059" s="43" t="str">
        <x:v>140491</x:v>
      </x:c>
      <x:c r="C1059" s="43" t="n">
        <x:f>IF(K1059="Boarding school",30,0)+IF(J1059&gt;=18,20,0)+IF(I1059&lt;=11,10,0)+IF(L1059="Has a sixth form",15,0)+IF(M1059&gt;=200,10,0)+IF(N1059&lt;&gt;"",10,0)</x:f>
        <x:v>20</x:v>
      </x:c>
      <x:c r="D1059" s="43" t="str">
        <x:f>IF(C1059&gt;=85,"A",IF(C1059&gt;=65,"B","C"))</x:f>
        <x:v>C</x:v>
      </x:c>
      <x:c r="E1059" s="43" t="str">
        <x:v>Kerem Shloime</x:v>
      </x:c>
      <x:c r="F1059" s="43" t="str">
        <x:v>Salford</x:v>
      </x:c>
      <x:c r="G1059" s="43" t="str"/>
      <x:c r="H1059" s="43" t="str">
        <x:v>M7 2EY</x:v>
      </x:c>
      <x:c r="I1059" s="43" t="n">
        <x:v>3</x:v>
      </x:c>
      <x:c r="J1059" s="43" t="n">
        <x:v>11</x:v>
      </x:c>
      <x:c r="K1059" s="43" t="str">
        <x:v>No boarders</x:v>
      </x:c>
      <x:c r="L1059" s="43" t="str">
        <x:v>Does not have a sixth form</x:v>
      </x:c>
      <x:c r="M1059" s="43" t="n">
        <x:v>210</x:v>
      </x:c>
      <x:c r="N1059" s="43" t="str"/>
      <x:c r="O1059" s="43" t="str">
        <x:v>01617927841</x:v>
      </x:c>
      <x:c r="P1059" s="43" t="str"/>
      <x:c r="Q1059" s="43" t="str"/>
      <x:c r="R1059" s="43" t="str">
        <x:v>Queued for contact research</x:v>
      </x:c>
      <x:c r="S1059" s="43" t="str">
        <x:v>Not reviewed</x:v>
      </x:c>
      <x:c r="T1059" s="43" t="str">
        <x:v>Hold</x:v>
      </x:c>
      <x:c r="U1059" s="43" t="str">
        <x:v>No</x:v>
      </x:c>
      <x:c r="V1059" s="44"/>
      <x:c r="W1059" s="43" t="str"/>
      <x:c r="X1059" s="43" t="str"/>
      <x:c r="Y1059" s="43" t="str"/>
      <x:c r="Z1059" s="43" t="str">
        <x:v>https://www.get-information-schools.service.gov.uk/Downloads</x:v>
      </x:c>
    </x:row>
    <x:row r="1060">
      <x:c r="A1060" s="43" t="str">
        <x:v>UK independent</x:v>
      </x:c>
      <x:c r="B1060" s="43" t="str">
        <x:v>130826</x:v>
      </x:c>
      <x:c r="C1060" s="43" t="n">
        <x:f>IF(K1060="Boarding school",30,0)+IF(J1060&gt;=18,20,0)+IF(I1060&lt;=11,10,0)+IF(L1060="Has a sixth form",15,0)+IF(M1060&gt;=200,10,0)+IF(N1060&lt;&gt;"",10,0)</x:f>
        <x:v>20</x:v>
      </x:c>
      <x:c r="D1060" s="43" t="str">
        <x:f>IF(C1060&gt;=85,"A",IF(C1060&gt;=65,"B","C"))</x:f>
        <x:v>C</x:v>
      </x:c>
      <x:c r="E1060" s="43" t="str">
        <x:v>Tashbar of Edgware</x:v>
      </x:c>
      <x:c r="F1060" s="43" t="str">
        <x:v>Edgware</x:v>
      </x:c>
      <x:c r="G1060" s="43" t="str">
        <x:v>Middlesex</x:v>
      </x:c>
      <x:c r="H1060" s="43" t="str">
        <x:v>HA8 8JL</x:v>
      </x:c>
      <x:c r="I1060" s="43" t="n">
        <x:v>3</x:v>
      </x:c>
      <x:c r="J1060" s="43" t="n">
        <x:v>11</x:v>
      </x:c>
      <x:c r="K1060" s="43" t="str">
        <x:v>No boarders</x:v>
      </x:c>
      <x:c r="L1060" s="43" t="str">
        <x:v>Does not have a sixth form</x:v>
      </x:c>
      <x:c r="M1060" s="43" t="n">
        <x:v>210</x:v>
      </x:c>
      <x:c r="N1060" s="43" t="str"/>
      <x:c r="O1060" s="43" t="str">
        <x:v>02089585162</x:v>
      </x:c>
      <x:c r="P1060" s="43" t="str"/>
      <x:c r="Q1060" s="43" t="str"/>
      <x:c r="R1060" s="43" t="str">
        <x:v>Queued for contact research</x:v>
      </x:c>
      <x:c r="S1060" s="43" t="str">
        <x:v>Not reviewed</x:v>
      </x:c>
      <x:c r="T1060" s="43" t="str">
        <x:v>Hold</x:v>
      </x:c>
      <x:c r="U1060" s="43" t="str">
        <x:v>No</x:v>
      </x:c>
      <x:c r="V1060" s="44"/>
      <x:c r="W1060" s="43" t="str"/>
      <x:c r="X1060" s="43" t="str"/>
      <x:c r="Y1060" s="43" t="str"/>
      <x:c r="Z1060" s="43" t="str">
        <x:v>https://www.get-information-schools.service.gov.uk/Downloads</x:v>
      </x:c>
    </x:row>
    <x:row r="1061">
      <x:c r="A1061" s="43" t="str">
        <x:v>UK independent</x:v>
      </x:c>
      <x:c r="B1061" s="43" t="str">
        <x:v>124876</x:v>
      </x:c>
      <x:c r="C1061" s="43" t="n">
        <x:f>IF(K1061="Boarding school",30,0)+IF(J1061&gt;=18,20,0)+IF(I1061&lt;=11,10,0)+IF(L1061="Has a sixth form",15,0)+IF(M1061&gt;=200,10,0)+IF(N1061&lt;&gt;"",10,0)</x:f>
        <x:v>20</x:v>
      </x:c>
      <x:c r="D1061" s="43" t="str">
        <x:f>IF(C1061&gt;=85,"A",IF(C1061&gt;=65,"B","C"))</x:f>
        <x:v>C</x:v>
      </x:c>
      <x:c r="E1061" s="43" t="str">
        <x:v>South Lee School</x:v>
      </x:c>
      <x:c r="F1061" s="43" t="str">
        <x:v>Bury St Edmunds</x:v>
      </x:c>
      <x:c r="G1061" s="43" t="str">
        <x:v>Suffolk</x:v>
      </x:c>
      <x:c r="H1061" s="43" t="str">
        <x:v>IP33 2BT</x:v>
      </x:c>
      <x:c r="I1061" s="43" t="n">
        <x:v>0</x:v>
      </x:c>
      <x:c r="J1061" s="43" t="n">
        <x:v>13</x:v>
      </x:c>
      <x:c r="K1061" s="43" t="str">
        <x:v>No boarders</x:v>
      </x:c>
      <x:c r="L1061" s="43" t="str">
        <x:v>Does not have a sixth form</x:v>
      </x:c>
      <x:c r="M1061" s="43" t="n">
        <x:v>205</x:v>
      </x:c>
      <x:c r="N1061" s="43" t="str"/>
      <x:c r="O1061" s="43" t="str">
        <x:v>01284754654</x:v>
      </x:c>
      <x:c r="P1061" s="43" t="str"/>
      <x:c r="Q1061" s="43" t="str"/>
      <x:c r="R1061" s="43" t="str">
        <x:v>Queued for contact research</x:v>
      </x:c>
      <x:c r="S1061" s="43" t="str">
        <x:v>Not reviewed</x:v>
      </x:c>
      <x:c r="T1061" s="43" t="str">
        <x:v>Hold</x:v>
      </x:c>
      <x:c r="U1061" s="43" t="str">
        <x:v>No</x:v>
      </x:c>
      <x:c r="V1061" s="44"/>
      <x:c r="W1061" s="43" t="str"/>
      <x:c r="X1061" s="43" t="str"/>
      <x:c r="Y1061" s="43" t="str"/>
      <x:c r="Z1061" s="43" t="str">
        <x:v>https://www.get-information-schools.service.gov.uk/Downloads</x:v>
      </x:c>
    </x:row>
    <x:row r="1062">
      <x:c r="A1062" s="43" t="str">
        <x:v>UK independent</x:v>
      </x:c>
      <x:c r="B1062" s="43" t="str">
        <x:v>100287</x:v>
      </x:c>
      <x:c r="C1062" s="43" t="n">
        <x:f>IF(K1062="Boarding school",30,0)+IF(J1062&gt;=18,20,0)+IF(I1062&lt;=11,10,0)+IF(L1062="Has a sixth form",15,0)+IF(M1062&gt;=200,10,0)+IF(N1062&lt;&gt;"",10,0)</x:f>
        <x:v>20</x:v>
      </x:c>
      <x:c r="D1062" s="43" t="str">
        <x:f>IF(C1062&gt;=85,"A",IF(C1062&gt;=65,"B","C"))</x:f>
        <x:v>C</x:v>
      </x:c>
      <x:c r="E1062" s="43" t="str">
        <x:v>Yesodey Hatorah School</x:v>
      </x:c>
      <x:c r="F1062" s="43" t="str">
        <x:v>London</x:v>
      </x:c>
      <x:c r="G1062" s="43" t="str"/>
      <x:c r="H1062" s="43" t="str">
        <x:v>N16 5AE</x:v>
      </x:c>
      <x:c r="I1062" s="43" t="n">
        <x:v>4</x:v>
      </x:c>
      <x:c r="J1062" s="43" t="n">
        <x:v>16</x:v>
      </x:c>
      <x:c r="K1062" s="43" t="str">
        <x:v>No boarders</x:v>
      </x:c>
      <x:c r="L1062" s="43" t="str">
        <x:v>Does not have a sixth form</x:v>
      </x:c>
      <x:c r="M1062" s="43" t="n">
        <x:v>202</x:v>
      </x:c>
      <x:c r="N1062" s="43" t="str"/>
      <x:c r="O1062" s="43" t="str">
        <x:v>02088008612</x:v>
      </x:c>
      <x:c r="P1062" s="43" t="str"/>
      <x:c r="Q1062" s="43" t="str"/>
      <x:c r="R1062" s="43" t="str">
        <x:v>Queued for contact research</x:v>
      </x:c>
      <x:c r="S1062" s="43" t="str">
        <x:v>Not reviewed</x:v>
      </x:c>
      <x:c r="T1062" s="43" t="str">
        <x:v>Hold</x:v>
      </x:c>
      <x:c r="U1062" s="43" t="str">
        <x:v>No</x:v>
      </x:c>
      <x:c r="V1062" s="44"/>
      <x:c r="W1062" s="43" t="str"/>
      <x:c r="X1062" s="43" t="str"/>
      <x:c r="Y1062" s="43" t="str"/>
      <x:c r="Z1062" s="43" t="str">
        <x:v>https://www.get-information-schools.service.gov.uk/Downloads</x:v>
      </x:c>
    </x:row>
    <x:row r="1063">
      <x:c r="A1063" s="43" t="str">
        <x:v>UK independent</x:v>
      </x:c>
      <x:c r="B1063" s="43" t="str">
        <x:v>125391</x:v>
      </x:c>
      <x:c r="C1063" s="43" t="n">
        <x:f>IF(K1063="Boarding school",30,0)+IF(J1063&gt;=18,20,0)+IF(I1063&lt;=11,10,0)+IF(L1063="Has a sixth form",15,0)+IF(M1063&gt;=200,10,0)+IF(N1063&lt;&gt;"",10,0)</x:f>
        <x:v>20</x:v>
      </x:c>
      <x:c r="D1063" s="43" t="str">
        <x:f>IF(C1063&gt;=85,"A",IF(C1063&gt;=65,"B","C"))</x:f>
        <x:v>C</x:v>
      </x:c>
      <x:c r="E1063" s="43" t="str">
        <x:v>Ripley Court School</x:v>
      </x:c>
      <x:c r="F1063" s="43" t="str">
        <x:v>Surrey</x:v>
      </x:c>
      <x:c r="G1063" s="43" t="str"/>
      <x:c r="H1063" s="43" t="str">
        <x:v>GU23 6NE</x:v>
      </x:c>
      <x:c r="I1063" s="43" t="n">
        <x:v>2</x:v>
      </x:c>
      <x:c r="J1063" s="43" t="n">
        <x:v>11</x:v>
      </x:c>
      <x:c r="K1063" s="43" t="str">
        <x:v>No boarders</x:v>
      </x:c>
      <x:c r="L1063" s="43" t="str">
        <x:v>Does not have a sixth form</x:v>
      </x:c>
      <x:c r="M1063" s="43" t="n">
        <x:v>198</x:v>
      </x:c>
      <x:c r="N1063" s="43" t="str">
        <x:v>https://www.ripleycourt.co.uk</x:v>
      </x:c>
      <x:c r="O1063" s="43" t="str">
        <x:v>01483225217</x:v>
      </x:c>
      <x:c r="P1063" s="43" t="str"/>
      <x:c r="Q1063" s="43" t="str"/>
      <x:c r="R1063" s="43" t="str">
        <x:v>Queued for contact research</x:v>
      </x:c>
      <x:c r="S1063" s="43" t="str">
        <x:v>Not reviewed</x:v>
      </x:c>
      <x:c r="T1063" s="43" t="str">
        <x:v>Hold</x:v>
      </x:c>
      <x:c r="U1063" s="43" t="str">
        <x:v>No</x:v>
      </x:c>
      <x:c r="V1063" s="44"/>
      <x:c r="W1063" s="43" t="str"/>
      <x:c r="X1063" s="43" t="str"/>
      <x:c r="Y1063" s="43" t="str"/>
      <x:c r="Z1063" s="43" t="str">
        <x:v>https://www.get-information-schools.service.gov.uk/Downloads</x:v>
      </x:c>
    </x:row>
    <x:row r="1064">
      <x:c r="A1064" s="43" t="str">
        <x:v>UK independent</x:v>
      </x:c>
      <x:c r="B1064" s="43" t="str">
        <x:v>108873</x:v>
      </x:c>
      <x:c r="C1064" s="43" t="n">
        <x:f>IF(K1064="Boarding school",30,0)+IF(J1064&gt;=18,20,0)+IF(I1064&lt;=11,10,0)+IF(L1064="Has a sixth form",15,0)+IF(M1064&gt;=200,10,0)+IF(N1064&lt;&gt;"",10,0)</x:f>
        <x:v>20</x:v>
      </x:c>
      <x:c r="D1064" s="43" t="str">
        <x:f>IF(C1064&gt;=85,"A",IF(C1064&gt;=65,"B","C"))</x:f>
        <x:v>C</x:v>
      </x:c>
      <x:c r="E1064" s="43" t="str">
        <x:v>Argyle House School</x:v>
      </x:c>
      <x:c r="F1064" s="43" t="str">
        <x:v>Sunderland</x:v>
      </x:c>
      <x:c r="G1064" s="43" t="str">
        <x:v>Tyne and Wear</x:v>
      </x:c>
      <x:c r="H1064" s="43" t="str">
        <x:v>SR2 7LA</x:v>
      </x:c>
      <x:c r="I1064" s="43" t="n">
        <x:v>2</x:v>
      </x:c>
      <x:c r="J1064" s="43" t="n">
        <x:v>16</x:v>
      </x:c>
      <x:c r="K1064" s="43" t="str">
        <x:v>No boarders</x:v>
      </x:c>
      <x:c r="L1064" s="43" t="str">
        <x:v>Does not have a sixth form</x:v>
      </x:c>
      <x:c r="M1064" s="43" t="n">
        <x:v>197</x:v>
      </x:c>
      <x:c r="N1064" s="43" t="str">
        <x:v>https://www.argylehouseschool.co.uk</x:v>
      </x:c>
      <x:c r="O1064" s="43" t="str">
        <x:v>01915100726</x:v>
      </x:c>
      <x:c r="P1064" s="43" t="str"/>
      <x:c r="Q1064" s="43" t="str"/>
      <x:c r="R1064" s="43" t="str">
        <x:v>Queued for contact research</x:v>
      </x:c>
      <x:c r="S1064" s="43" t="str">
        <x:v>Not reviewed</x:v>
      </x:c>
      <x:c r="T1064" s="43" t="str">
        <x:v>Hold</x:v>
      </x:c>
      <x:c r="U1064" s="43" t="str">
        <x:v>No</x:v>
      </x:c>
      <x:c r="V1064" s="44"/>
      <x:c r="W1064" s="43" t="str"/>
      <x:c r="X1064" s="43" t="str"/>
      <x:c r="Y1064" s="43" t="str"/>
      <x:c r="Z1064" s="43" t="str">
        <x:v>https://www.get-information-schools.service.gov.uk/Downloads</x:v>
      </x:c>
    </x:row>
    <x:row r="1065">
      <x:c r="A1065" s="43" t="str">
        <x:v>UK independent</x:v>
      </x:c>
      <x:c r="B1065" s="43" t="str">
        <x:v>121759</x:v>
      </x:c>
      <x:c r="C1065" s="43" t="n">
        <x:f>IF(K1065="Boarding school",30,0)+IF(J1065&gt;=18,20,0)+IF(I1065&lt;=11,10,0)+IF(L1065="Has a sixth form",15,0)+IF(M1065&gt;=200,10,0)+IF(N1065&lt;&gt;"",10,0)</x:f>
        <x:v>20</x:v>
      </x:c>
      <x:c r="D1065" s="43" t="str">
        <x:f>IF(C1065&gt;=85,"A",IF(C1065&gt;=65,"B","C"))</x:f>
        <x:v>C</x:v>
      </x:c>
      <x:c r="E1065" s="43" t="str">
        <x:v>York Steiner School</x:v>
      </x:c>
      <x:c r="F1065" s="43" t="str">
        <x:v>York</x:v>
      </x:c>
      <x:c r="G1065" s="43" t="str">
        <x:v>North Yorkshire</x:v>
      </x:c>
      <x:c r="H1065" s="43" t="str">
        <x:v>YO10 4PB</x:v>
      </x:c>
      <x:c r="I1065" s="43" t="n">
        <x:v>3</x:v>
      </x:c>
      <x:c r="J1065" s="43" t="n">
        <x:v>16</x:v>
      </x:c>
      <x:c r="K1065" s="43" t="str">
        <x:v>No boarders</x:v>
      </x:c>
      <x:c r="L1065" s="43" t="str">
        <x:v>Does not have a sixth form</x:v>
      </x:c>
      <x:c r="M1065" s="43" t="n">
        <x:v>197</x:v>
      </x:c>
      <x:c r="N1065" s="43" t="str">
        <x:v>https://www.yorksteinerschool.org</x:v>
      </x:c>
      <x:c r="O1065" s="43" t="str">
        <x:v>01904654983</x:v>
      </x:c>
      <x:c r="P1065" s="43" t="str"/>
      <x:c r="Q1065" s="43" t="str"/>
      <x:c r="R1065" s="43" t="str">
        <x:v>Queued for contact research</x:v>
      </x:c>
      <x:c r="S1065" s="43" t="str">
        <x:v>Not reviewed</x:v>
      </x:c>
      <x:c r="T1065" s="43" t="str">
        <x:v>Hold</x:v>
      </x:c>
      <x:c r="U1065" s="43" t="str">
        <x:v>No</x:v>
      </x:c>
      <x:c r="V1065" s="44"/>
      <x:c r="W1065" s="43" t="str"/>
      <x:c r="X1065" s="43" t="str"/>
      <x:c r="Y1065" s="43" t="str"/>
      <x:c r="Z1065" s="43" t="str">
        <x:v>https://www.get-information-schools.service.gov.uk/Downloads</x:v>
      </x:c>
    </x:row>
    <x:row r="1066">
      <x:c r="A1066" s="43" t="str">
        <x:v>UK independent</x:v>
      </x:c>
      <x:c r="B1066" s="43" t="str">
        <x:v>134932</x:v>
      </x:c>
      <x:c r="C1066" s="43" t="n">
        <x:f>IF(K1066="Boarding school",30,0)+IF(J1066&gt;=18,20,0)+IF(I1066&lt;=11,10,0)+IF(L1066="Has a sixth form",15,0)+IF(M1066&gt;=200,10,0)+IF(N1066&lt;&gt;"",10,0)</x:f>
        <x:v>20</x:v>
      </x:c>
      <x:c r="D1066" s="43" t="str">
        <x:f>IF(C1066&gt;=85,"A",IF(C1066&gt;=65,"B","C"))</x:f>
        <x:v>C</x:v>
      </x:c>
      <x:c r="E1066" s="43" t="str">
        <x:v>Kew Green Preparatory School</x:v>
      </x:c>
      <x:c r="F1066" s="43" t="str">
        <x:v>Richmond</x:v>
      </x:c>
      <x:c r="G1066" s="43" t="str">
        <x:v>Surrey</x:v>
      </x:c>
      <x:c r="H1066" s="43" t="str">
        <x:v>TW9 3AF</x:v>
      </x:c>
      <x:c r="I1066" s="43" t="n">
        <x:v>2</x:v>
      </x:c>
      <x:c r="J1066" s="43" t="n">
        <x:v>11</x:v>
      </x:c>
      <x:c r="K1066" s="43" t="str">
        <x:v>No boarders</x:v>
      </x:c>
      <x:c r="L1066" s="43" t="str">
        <x:v>Not applicable</x:v>
      </x:c>
      <x:c r="M1066" s="43" t="n">
        <x:v>196</x:v>
      </x:c>
      <x:c r="N1066" s="43" t="str">
        <x:v>https://www.kgps.co.uk</x:v>
      </x:c>
      <x:c r="O1066" s="43" t="str">
        <x:v>02089485999</x:v>
      </x:c>
      <x:c r="P1066" s="43" t="str"/>
      <x:c r="Q1066" s="43" t="str"/>
      <x:c r="R1066" s="43" t="str">
        <x:v>Queued for contact research</x:v>
      </x:c>
      <x:c r="S1066" s="43" t="str">
        <x:v>Not reviewed</x:v>
      </x:c>
      <x:c r="T1066" s="43" t="str">
        <x:v>Hold</x:v>
      </x:c>
      <x:c r="U1066" s="43" t="str">
        <x:v>No</x:v>
      </x:c>
      <x:c r="V1066" s="44"/>
      <x:c r="W1066" s="43" t="str"/>
      <x:c r="X1066" s="43" t="str"/>
      <x:c r="Y1066" s="43" t="str"/>
      <x:c r="Z1066" s="43" t="str">
        <x:v>https://www.get-information-schools.service.gov.uk/Downloads</x:v>
      </x:c>
    </x:row>
    <x:row r="1067">
      <x:c r="A1067" s="43" t="str">
        <x:v>UK independent</x:v>
      </x:c>
      <x:c r="B1067" s="43" t="str">
        <x:v>125784</x:v>
      </x:c>
      <x:c r="C1067" s="43" t="n">
        <x:f>IF(K1067="Boarding school",30,0)+IF(J1067&gt;=18,20,0)+IF(I1067&lt;=11,10,0)+IF(L1067="Has a sixth form",15,0)+IF(M1067&gt;=200,10,0)+IF(N1067&lt;&gt;"",10,0)</x:f>
        <x:v>20</x:v>
      </x:c>
      <x:c r="D1067" s="43" t="str">
        <x:f>IF(C1067&gt;=85,"A",IF(C1067&gt;=65,"B","C"))</x:f>
        <x:v>C</x:v>
      </x:c>
      <x:c r="E1067" s="43" t="str">
        <x:v>Crescent School</x:v>
      </x:c>
      <x:c r="F1067" s="43" t="str">
        <x:v>Rugby</x:v>
      </x:c>
      <x:c r="G1067" s="43" t="str">
        <x:v>Warwickshire</x:v>
      </x:c>
      <x:c r="H1067" s="43" t="str">
        <x:v>CV22 7QH</x:v>
      </x:c>
      <x:c r="I1067" s="43" t="n">
        <x:v>4</x:v>
      </x:c>
      <x:c r="J1067" s="43" t="n">
        <x:v>11</x:v>
      </x:c>
      <x:c r="K1067" s="43" t="str">
        <x:v>No boarders</x:v>
      </x:c>
      <x:c r="L1067" s="43" t="str">
        <x:v>Does not have a sixth form</x:v>
      </x:c>
      <x:c r="M1067" s="43" t="n">
        <x:v>195</x:v>
      </x:c>
      <x:c r="N1067" s="43" t="str">
        <x:v>https://www.crescentschool.co.uk</x:v>
      </x:c>
      <x:c r="O1067" s="43" t="str">
        <x:v>01788521595</x:v>
      </x:c>
      <x:c r="P1067" s="43" t="str"/>
      <x:c r="Q1067" s="43" t="str"/>
      <x:c r="R1067" s="43" t="str">
        <x:v>Queued for contact research</x:v>
      </x:c>
      <x:c r="S1067" s="43" t="str">
        <x:v>Not reviewed</x:v>
      </x:c>
      <x:c r="T1067" s="43" t="str">
        <x:v>Hold</x:v>
      </x:c>
      <x:c r="U1067" s="43" t="str">
        <x:v>No</x:v>
      </x:c>
      <x:c r="V1067" s="44"/>
      <x:c r="W1067" s="43" t="str"/>
      <x:c r="X1067" s="43" t="str"/>
      <x:c r="Y1067" s="43" t="str"/>
      <x:c r="Z1067" s="43" t="str">
        <x:v>https://www.get-information-schools.service.gov.uk/Downloads</x:v>
      </x:c>
    </x:row>
    <x:row r="1068">
      <x:c r="A1068" s="43" t="str">
        <x:v>UK independent</x:v>
      </x:c>
      <x:c r="B1068" s="43" t="str">
        <x:v>102253</x:v>
      </x:c>
      <x:c r="C1068" s="43" t="n">
        <x:f>IF(K1068="Boarding school",30,0)+IF(J1068&gt;=18,20,0)+IF(I1068&lt;=11,10,0)+IF(L1068="Has a sixth form",15,0)+IF(M1068&gt;=200,10,0)+IF(N1068&lt;&gt;"",10,0)</x:f>
        <x:v>20</x:v>
      </x:c>
      <x:c r="D1068" s="43" t="str">
        <x:f>IF(C1068&gt;=85,"A",IF(C1068&gt;=65,"B","C"))</x:f>
        <x:v>C</x:v>
      </x:c>
      <x:c r="E1068" s="43" t="str">
        <x:v>Reddiford School</x:v>
      </x:c>
      <x:c r="F1068" s="43" t="str">
        <x:v>Pinner</x:v>
      </x:c>
      <x:c r="G1068" s="43" t="str">
        <x:v>Middlesex</x:v>
      </x:c>
      <x:c r="H1068" s="43" t="str">
        <x:v>HA5 5HH</x:v>
      </x:c>
      <x:c r="I1068" s="43" t="n">
        <x:v>2</x:v>
      </x:c>
      <x:c r="J1068" s="43" t="n">
        <x:v>11</x:v>
      </x:c>
      <x:c r="K1068" s="43" t="str">
        <x:v>No boarders</x:v>
      </x:c>
      <x:c r="L1068" s="43" t="str">
        <x:v>Does not have a sixth form</x:v>
      </x:c>
      <x:c r="M1068" s="43" t="n">
        <x:v>195</x:v>
      </x:c>
      <x:c r="N1068" s="43" t="str">
        <x:v>https://www.reddiford.co.uk</x:v>
      </x:c>
      <x:c r="O1068" s="43" t="str">
        <x:v>02088660660</x:v>
      </x:c>
      <x:c r="P1068" s="43" t="str"/>
      <x:c r="Q1068" s="43" t="str"/>
      <x:c r="R1068" s="43" t="str">
        <x:v>Queued for contact research</x:v>
      </x:c>
      <x:c r="S1068" s="43" t="str">
        <x:v>Not reviewed</x:v>
      </x:c>
      <x:c r="T1068" s="43" t="str">
        <x:v>Hold</x:v>
      </x:c>
      <x:c r="U1068" s="43" t="str">
        <x:v>No</x:v>
      </x:c>
      <x:c r="V1068" s="44"/>
      <x:c r="W1068" s="43" t="str"/>
      <x:c r="X1068" s="43" t="str"/>
      <x:c r="Y1068" s="43" t="str"/>
      <x:c r="Z1068" s="43" t="str">
        <x:v>https://www.get-information-schools.service.gov.uk/Downloads</x:v>
      </x:c>
    </x:row>
    <x:row r="1069">
      <x:c r="A1069" s="43" t="str">
        <x:v>UK independent</x:v>
      </x:c>
      <x:c r="B1069" s="43" t="str">
        <x:v>100067</x:v>
      </x:c>
      <x:c r="C1069" s="43" t="n">
        <x:f>IF(K1069="Boarding school",30,0)+IF(J1069&gt;=18,20,0)+IF(I1069&lt;=11,10,0)+IF(L1069="Has a sixth form",15,0)+IF(M1069&gt;=200,10,0)+IF(N1069&lt;&gt;"",10,0)</x:f>
        <x:v>20</x:v>
      </x:c>
      <x:c r="D1069" s="43" t="str">
        <x:f>IF(C1069&gt;=85,"A",IF(C1069&gt;=65,"B","C"))</x:f>
        <x:v>C</x:v>
      </x:c>
      <x:c r="E1069" s="43" t="str">
        <x:v>St Mary's School, Hampstead</x:v>
      </x:c>
      <x:c r="F1069" s="43" t="str"/>
      <x:c r="G1069" s="43" t="str"/>
      <x:c r="H1069" s="43" t="str">
        <x:v>NW3 6PG</x:v>
      </x:c>
      <x:c r="I1069" s="43" t="n">
        <x:v>2</x:v>
      </x:c>
      <x:c r="J1069" s="43" t="n">
        <x:v>11</x:v>
      </x:c>
      <x:c r="K1069" s="43" t="str">
        <x:v>No boarders</x:v>
      </x:c>
      <x:c r="L1069" s="43" t="str">
        <x:v>Does not have a sixth form</x:v>
      </x:c>
      <x:c r="M1069" s="43" t="n">
        <x:v>194</x:v>
      </x:c>
      <x:c r="N1069" s="43" t="str">
        <x:v>http://www.stmh.co.uk/</x:v>
      </x:c>
      <x:c r="O1069" s="43" t="str">
        <x:v>02074351868</x:v>
      </x:c>
      <x:c r="P1069" s="43" t="str"/>
      <x:c r="Q1069" s="43" t="str"/>
      <x:c r="R1069" s="43" t="str">
        <x:v>Queued for contact research</x:v>
      </x:c>
      <x:c r="S1069" s="43" t="str">
        <x:v>Not reviewed</x:v>
      </x:c>
      <x:c r="T1069" s="43" t="str">
        <x:v>Hold</x:v>
      </x:c>
      <x:c r="U1069" s="43" t="str">
        <x:v>No</x:v>
      </x:c>
      <x:c r="V1069" s="44"/>
      <x:c r="W1069" s="43" t="str"/>
      <x:c r="X1069" s="43" t="str"/>
      <x:c r="Y1069" s="43" t="str"/>
      <x:c r="Z1069" s="43" t="str">
        <x:v>https://www.get-information-schools.service.gov.uk/Downloads</x:v>
      </x:c>
    </x:row>
    <x:row r="1070">
      <x:c r="A1070" s="43" t="str">
        <x:v>UK independent</x:v>
      </x:c>
      <x:c r="B1070" s="43" t="str">
        <x:v>100066</x:v>
      </x:c>
      <x:c r="C1070" s="43" t="n">
        <x:f>IF(K1070="Boarding school",30,0)+IF(J1070&gt;=18,20,0)+IF(I1070&lt;=11,10,0)+IF(L1070="Has a sixth form",15,0)+IF(M1070&gt;=200,10,0)+IF(N1070&lt;&gt;"",10,0)</x:f>
        <x:v>20</x:v>
      </x:c>
      <x:c r="D1070" s="43" t="str">
        <x:f>IF(C1070&gt;=85,"A",IF(C1070&gt;=65,"B","C"))</x:f>
        <x:v>C</x:v>
      </x:c>
      <x:c r="E1070" s="43" t="str">
        <x:v>The Cavendish School</x:v>
      </x:c>
      <x:c r="F1070" s="43" t="str">
        <x:v>London</x:v>
      </x:c>
      <x:c r="G1070" s="43" t="str"/>
      <x:c r="H1070" s="43" t="str">
        <x:v>NW1 7HB</x:v>
      </x:c>
      <x:c r="I1070" s="43" t="n">
        <x:v>3</x:v>
      </x:c>
      <x:c r="J1070" s="43" t="n">
        <x:v>11</x:v>
      </x:c>
      <x:c r="K1070" s="43" t="str">
        <x:v>No boarders</x:v>
      </x:c>
      <x:c r="L1070" s="43" t="str">
        <x:v>Does not have a sixth form</x:v>
      </x:c>
      <x:c r="M1070" s="43" t="n">
        <x:v>194</x:v>
      </x:c>
      <x:c r="N1070" s="43" t="str">
        <x:v>http://www.cavendish-school.co.uk/</x:v>
      </x:c>
      <x:c r="O1070" s="43" t="str">
        <x:v>02074851958</x:v>
      </x:c>
      <x:c r="P1070" s="43" t="str"/>
      <x:c r="Q1070" s="43" t="str"/>
      <x:c r="R1070" s="43" t="str">
        <x:v>Queued for contact research</x:v>
      </x:c>
      <x:c r="S1070" s="43" t="str">
        <x:v>Not reviewed</x:v>
      </x:c>
      <x:c r="T1070" s="43" t="str">
        <x:v>Hold</x:v>
      </x:c>
      <x:c r="U1070" s="43" t="str">
        <x:v>No</x:v>
      </x:c>
      <x:c r="V1070" s="44"/>
      <x:c r="W1070" s="43" t="str"/>
      <x:c r="X1070" s="43" t="str"/>
      <x:c r="Y1070" s="43" t="str"/>
      <x:c r="Z1070" s="43" t="str">
        <x:v>https://www.get-information-schools.service.gov.uk/Downloads</x:v>
      </x:c>
    </x:row>
    <x:row r="1071">
      <x:c r="A1071" s="43" t="str">
        <x:v>UK independent</x:v>
      </x:c>
      <x:c r="B1071" s="43" t="str">
        <x:v>117034</x:v>
      </x:c>
      <x:c r="C1071" s="43" t="n">
        <x:f>IF(K1071="Boarding school",30,0)+IF(J1071&gt;=18,20,0)+IF(I1071&lt;=11,10,0)+IF(L1071="Has a sixth form",15,0)+IF(M1071&gt;=200,10,0)+IF(N1071&lt;&gt;"",10,0)</x:f>
        <x:v>20</x:v>
      </x:c>
      <x:c r="D1071" s="43" t="str">
        <x:f>IF(C1071&gt;=85,"A",IF(C1071&gt;=65,"B","C"))</x:f>
        <x:v>C</x:v>
      </x:c>
      <x:c r="E1071" s="43" t="str">
        <x:v>Bowbrook House School</x:v>
      </x:c>
      <x:c r="F1071" s="43" t="str">
        <x:v>Worcestershire</x:v>
      </x:c>
      <x:c r="G1071" s="43" t="str">
        <x:v>Worcestershire</x:v>
      </x:c>
      <x:c r="H1071" s="43" t="str">
        <x:v>WR10 2EE</x:v>
      </x:c>
      <x:c r="I1071" s="43" t="n">
        <x:v>3</x:v>
      </x:c>
      <x:c r="J1071" s="43" t="n">
        <x:v>16</x:v>
      </x:c>
      <x:c r="K1071" s="43" t="str">
        <x:v>No boarders</x:v>
      </x:c>
      <x:c r="L1071" s="43" t="str">
        <x:v>Does not have a sixth form</x:v>
      </x:c>
      <x:c r="M1071" s="43" t="n">
        <x:v>193</x:v>
      </x:c>
      <x:c r="N1071" s="43" t="str">
        <x:v>https://www.bowbrookhouseschool.co.uk</x:v>
      </x:c>
      <x:c r="O1071" s="43" t="str">
        <x:v>01905841242</x:v>
      </x:c>
      <x:c r="P1071" s="43" t="str"/>
      <x:c r="Q1071" s="43" t="str"/>
      <x:c r="R1071" s="43" t="str">
        <x:v>Queued for contact research</x:v>
      </x:c>
      <x:c r="S1071" s="43" t="str">
        <x:v>Not reviewed</x:v>
      </x:c>
      <x:c r="T1071" s="43" t="str">
        <x:v>Hold</x:v>
      </x:c>
      <x:c r="U1071" s="43" t="str">
        <x:v>No</x:v>
      </x:c>
      <x:c r="V1071" s="44"/>
      <x:c r="W1071" s="43" t="str"/>
      <x:c r="X1071" s="43" t="str"/>
      <x:c r="Y1071" s="43" t="str"/>
      <x:c r="Z1071" s="43" t="str">
        <x:v>https://www.get-information-schools.service.gov.uk/Downloads</x:v>
      </x:c>
    </x:row>
    <x:row r="1072">
      <x:c r="A1072" s="43" t="str">
        <x:v>UK independent</x:v>
      </x:c>
      <x:c r="B1072" s="43" t="str">
        <x:v>135858</x:v>
      </x:c>
      <x:c r="C1072" s="43" t="n">
        <x:f>IF(K1072="Boarding school",30,0)+IF(J1072&gt;=18,20,0)+IF(I1072&lt;=11,10,0)+IF(L1072="Has a sixth form",15,0)+IF(M1072&gt;=200,10,0)+IF(N1072&lt;&gt;"",10,0)</x:f>
        <x:v>20</x:v>
      </x:c>
      <x:c r="D1072" s="43" t="str">
        <x:f>IF(C1072&gt;=85,"A",IF(C1072&gt;=65,"B","C"))</x:f>
        <x:v>C</x:v>
      </x:c>
      <x:c r="E1072" s="43" t="str">
        <x:v>Land of Learning Primary School</x:v>
      </x:c>
      <x:c r="F1072" s="43" t="str">
        <x:v>Leicester</x:v>
      </x:c>
      <x:c r="G1072" s="43" t="str"/>
      <x:c r="H1072" s="43" t="str">
        <x:v>LE5 5PF</x:v>
      </x:c>
      <x:c r="I1072" s="43" t="n">
        <x:v>4</x:v>
      </x:c>
      <x:c r="J1072" s="43" t="n">
        <x:v>11</x:v>
      </x:c>
      <x:c r="K1072" s="43" t="str">
        <x:v>No boarders</x:v>
      </x:c>
      <x:c r="L1072" s="43" t="str">
        <x:v>Does not have a sixth form</x:v>
      </x:c>
      <x:c r="M1072" s="43" t="n">
        <x:v>193</x:v>
      </x:c>
      <x:c r="N1072" s="43" t="str">
        <x:v>https://www.landoflearning.co.uk</x:v>
      </x:c>
      <x:c r="O1072" s="43" t="str">
        <x:v>01162735431</x:v>
      </x:c>
      <x:c r="P1072" s="43" t="str"/>
      <x:c r="Q1072" s="43" t="str"/>
      <x:c r="R1072" s="43" t="str">
        <x:v>Queued for contact research</x:v>
      </x:c>
      <x:c r="S1072" s="43" t="str">
        <x:v>Not reviewed</x:v>
      </x:c>
      <x:c r="T1072" s="43" t="str">
        <x:v>Hold</x:v>
      </x:c>
      <x:c r="U1072" s="43" t="str">
        <x:v>No</x:v>
      </x:c>
      <x:c r="V1072" s="44"/>
      <x:c r="W1072" s="43" t="str"/>
      <x:c r="X1072" s="43" t="str"/>
      <x:c r="Y1072" s="43" t="str"/>
      <x:c r="Z1072" s="43" t="str">
        <x:v>https://www.get-information-schools.service.gov.uk/Downloads</x:v>
      </x:c>
    </x:row>
    <x:row r="1073">
      <x:c r="A1073" s="43" t="str">
        <x:v>UK independent</x:v>
      </x:c>
      <x:c r="B1073" s="43" t="str">
        <x:v>102060</x:v>
      </x:c>
      <x:c r="C1073" s="43" t="n">
        <x:f>IF(K1073="Boarding school",30,0)+IF(J1073&gt;=18,20,0)+IF(I1073&lt;=11,10,0)+IF(L1073="Has a sixth form",15,0)+IF(M1073&gt;=200,10,0)+IF(N1073&lt;&gt;"",10,0)</x:f>
        <x:v>20</x:v>
      </x:c>
      <x:c r="D1073" s="43" t="str">
        <x:f>IF(C1073&gt;=85,"A",IF(C1073&gt;=65,"B","C"))</x:f>
        <x:v>C</x:v>
      </x:c>
      <x:c r="E1073" s="43" t="str">
        <x:v>Keble Preparatory School</x:v>
      </x:c>
      <x:c r="F1073" s="43" t="str">
        <x:v>London</x:v>
      </x:c>
      <x:c r="G1073" s="43" t="str"/>
      <x:c r="H1073" s="43" t="str">
        <x:v>N21 1BG</x:v>
      </x:c>
      <x:c r="I1073" s="43" t="n">
        <x:v>3</x:v>
      </x:c>
      <x:c r="J1073" s="43" t="n">
        <x:v>13</x:v>
      </x:c>
      <x:c r="K1073" s="43" t="str">
        <x:v>No boarders</x:v>
      </x:c>
      <x:c r="L1073" s="43" t="str">
        <x:v>Does not have a sixth form</x:v>
      </x:c>
      <x:c r="M1073" s="43" t="n">
        <x:v>192</x:v>
      </x:c>
      <x:c r="N1073" s="43" t="str">
        <x:v>https://www.kebleprep.co.uk</x:v>
      </x:c>
      <x:c r="O1073" s="43" t="str">
        <x:v>02083603359</x:v>
      </x:c>
      <x:c r="P1073" s="43" t="str"/>
      <x:c r="Q1073" s="43" t="str"/>
      <x:c r="R1073" s="43" t="str">
        <x:v>Queued for contact research</x:v>
      </x:c>
      <x:c r="S1073" s="43" t="str">
        <x:v>Not reviewed</x:v>
      </x:c>
      <x:c r="T1073" s="43" t="str">
        <x:v>Hold</x:v>
      </x:c>
      <x:c r="U1073" s="43" t="str">
        <x:v>No</x:v>
      </x:c>
      <x:c r="V1073" s="44"/>
      <x:c r="W1073" s="43" t="str"/>
      <x:c r="X1073" s="43" t="str"/>
      <x:c r="Y1073" s="43" t="str"/>
      <x:c r="Z1073" s="43" t="str">
        <x:v>https://www.get-information-schools.service.gov.uk/Downloads</x:v>
      </x:c>
    </x:row>
    <x:row r="1074">
      <x:c r="A1074" s="43" t="str">
        <x:v>UK independent</x:v>
      </x:c>
      <x:c r="B1074" s="43" t="str">
        <x:v>100651</x:v>
      </x:c>
      <x:c r="C1074" s="43" t="n">
        <x:f>IF(K1074="Boarding school",30,0)+IF(J1074&gt;=18,20,0)+IF(I1074&lt;=11,10,0)+IF(L1074="Has a sixth form",15,0)+IF(M1074&gt;=200,10,0)+IF(N1074&lt;&gt;"",10,0)</x:f>
        <x:v>20</x:v>
      </x:c>
      <x:c r="D1074" s="43" t="str">
        <x:f>IF(C1074&gt;=85,"A",IF(C1074&gt;=65,"B","C"))</x:f>
        <x:v>C</x:v>
      </x:c>
      <x:c r="E1074" s="43" t="str">
        <x:v>The White House Preparatory School &amp; Woodentops Kindergarten</x:v>
      </x:c>
      <x:c r="F1074" s="43" t="str">
        <x:v>London</x:v>
      </x:c>
      <x:c r="G1074" s="43" t="str"/>
      <x:c r="H1074" s="43" t="str">
        <x:v>SW12 0LF</x:v>
      </x:c>
      <x:c r="I1074" s="43" t="n">
        <x:v>0</x:v>
      </x:c>
      <x:c r="J1074" s="43" t="n">
        <x:v>11</x:v>
      </x:c>
      <x:c r="K1074" s="43" t="str">
        <x:v>No boarders</x:v>
      </x:c>
      <x:c r="L1074" s="43" t="str">
        <x:v>Does not have a sixth form</x:v>
      </x:c>
      <x:c r="M1074" s="43" t="n">
        <x:v>191</x:v>
      </x:c>
      <x:c r="N1074" s="43" t="str">
        <x:v>https://www.whitehouseschool.com</x:v>
      </x:c>
      <x:c r="O1074" s="43" t="str">
        <x:v>02086749514</x:v>
      </x:c>
      <x:c r="P1074" s="43" t="str"/>
      <x:c r="Q1074" s="43" t="str"/>
      <x:c r="R1074" s="43" t="str">
        <x:v>Queued for contact research</x:v>
      </x:c>
      <x:c r="S1074" s="43" t="str">
        <x:v>Not reviewed</x:v>
      </x:c>
      <x:c r="T1074" s="43" t="str">
        <x:v>Hold</x:v>
      </x:c>
      <x:c r="U1074" s="43" t="str">
        <x:v>No</x:v>
      </x:c>
      <x:c r="V1074" s="44"/>
      <x:c r="W1074" s="43" t="str"/>
      <x:c r="X1074" s="43" t="str"/>
      <x:c r="Y1074" s="43" t="str"/>
      <x:c r="Z1074" s="43" t="str">
        <x:v>https://www.get-information-schools.service.gov.uk/Downloads</x:v>
      </x:c>
    </x:row>
    <x:row r="1075">
      <x:c r="A1075" s="43" t="str">
        <x:v>UK independent</x:v>
      </x:c>
      <x:c r="B1075" s="43" t="str">
        <x:v>119008</x:v>
      </x:c>
      <x:c r="C1075" s="43" t="n">
        <x:f>IF(K1075="Boarding school",30,0)+IF(J1075&gt;=18,20,0)+IF(I1075&lt;=11,10,0)+IF(L1075="Has a sixth form",15,0)+IF(M1075&gt;=200,10,0)+IF(N1075&lt;&gt;"",10,0)</x:f>
        <x:v>20</x:v>
      </x:c>
      <x:c r="D1075" s="43" t="str">
        <x:f>IF(C1075&gt;=85,"A",IF(C1075&gt;=65,"B","C"))</x:f>
        <x:v>C</x:v>
      </x:c>
      <x:c r="E1075" s="43" t="str">
        <x:v>St Faith's At Ash School Limited</x:v>
      </x:c>
      <x:c r="F1075" s="43" t="str">
        <x:v>Canterbury</x:v>
      </x:c>
      <x:c r="G1075" s="43" t="str">
        <x:v>Kent</x:v>
      </x:c>
      <x:c r="H1075" s="43" t="str">
        <x:v>CT3 2HH</x:v>
      </x:c>
      <x:c r="I1075" s="43" t="n">
        <x:v>2</x:v>
      </x:c>
      <x:c r="J1075" s="43" t="n">
        <x:v>11</x:v>
      </x:c>
      <x:c r="K1075" s="43" t="str">
        <x:v>No boarders</x:v>
      </x:c>
      <x:c r="L1075" s="43" t="str">
        <x:v>Does not have a sixth form</x:v>
      </x:c>
      <x:c r="M1075" s="43" t="n">
        <x:v>190</x:v>
      </x:c>
      <x:c r="N1075" s="43" t="str">
        <x:v>https://www.stfaithsprep.com</x:v>
      </x:c>
      <x:c r="O1075" s="43" t="str">
        <x:v>01304813409</x:v>
      </x:c>
      <x:c r="P1075" s="43" t="str"/>
      <x:c r="Q1075" s="43" t="str"/>
      <x:c r="R1075" s="43" t="str">
        <x:v>Queued for contact research</x:v>
      </x:c>
      <x:c r="S1075" s="43" t="str">
        <x:v>Not reviewed</x:v>
      </x:c>
      <x:c r="T1075" s="43" t="str">
        <x:v>Hold</x:v>
      </x:c>
      <x:c r="U1075" s="43" t="str">
        <x:v>No</x:v>
      </x:c>
      <x:c r="V1075" s="44"/>
      <x:c r="W1075" s="43" t="str"/>
      <x:c r="X1075" s="43" t="str"/>
      <x:c r="Y1075" s="43" t="str"/>
      <x:c r="Z1075" s="43" t="str">
        <x:v>https://www.get-information-schools.service.gov.uk/Downloads</x:v>
      </x:c>
    </x:row>
    <x:row r="1076">
      <x:c r="A1076" s="43" t="str">
        <x:v>UK independent</x:v>
      </x:c>
      <x:c r="B1076" s="43" t="str">
        <x:v>110163</x:v>
      </x:c>
      <x:c r="C1076" s="43" t="n">
        <x:f>IF(K1076="Boarding school",30,0)+IF(J1076&gt;=18,20,0)+IF(I1076&lt;=11,10,0)+IF(L1076="Has a sixth form",15,0)+IF(M1076&gt;=200,10,0)+IF(N1076&lt;&gt;"",10,0)</x:f>
        <x:v>20</x:v>
      </x:c>
      <x:c r="D1076" s="43" t="str">
        <x:f>IF(C1076&gt;=85,"A",IF(C1076&gt;=65,"B","C"))</x:f>
        <x:v>C</x:v>
      </x:c>
      <x:c r="E1076" s="43" t="str">
        <x:v>Dolphin School</x:v>
      </x:c>
      <x:c r="F1076" s="43" t="str"/>
      <x:c r="G1076" s="43" t="str"/>
      <x:c r="H1076" s="43" t="str">
        <x:v>RG10 0FR</x:v>
      </x:c>
      <x:c r="I1076" s="43" t="n">
        <x:v>3</x:v>
      </x:c>
      <x:c r="J1076" s="43" t="n">
        <x:v>16</x:v>
      </x:c>
      <x:c r="K1076" s="43" t="str">
        <x:v>No boarders</x:v>
      </x:c>
      <x:c r="L1076" s="43" t="str">
        <x:v>Does not have a sixth form</x:v>
      </x:c>
      <x:c r="M1076" s="43" t="n">
        <x:v>187</x:v>
      </x:c>
      <x:c r="N1076" s="43" t="str">
        <x:v>https://www.dolphinschool.com</x:v>
      </x:c>
      <x:c r="O1076" s="43" t="str">
        <x:v>01189341277</x:v>
      </x:c>
      <x:c r="P1076" s="43" t="str"/>
      <x:c r="Q1076" s="43" t="str"/>
      <x:c r="R1076" s="43" t="str">
        <x:v>Queued for contact research</x:v>
      </x:c>
      <x:c r="S1076" s="43" t="str">
        <x:v>Not reviewed</x:v>
      </x:c>
      <x:c r="T1076" s="43" t="str">
        <x:v>Hold</x:v>
      </x:c>
      <x:c r="U1076" s="43" t="str">
        <x:v>No</x:v>
      </x:c>
      <x:c r="V1076" s="44"/>
      <x:c r="W1076" s="43" t="str"/>
      <x:c r="X1076" s="43" t="str"/>
      <x:c r="Y1076" s="43" t="str"/>
      <x:c r="Z1076" s="43" t="str">
        <x:v>https://www.get-information-schools.service.gov.uk/Downloads</x:v>
      </x:c>
    </x:row>
    <x:row r="1077">
      <x:c r="A1077" s="43" t="str">
        <x:v>UK independent</x:v>
      </x:c>
      <x:c r="B1077" s="43" t="str">
        <x:v>123616</x:v>
      </x:c>
      <x:c r="C1077" s="43" t="n">
        <x:f>IF(K1077="Boarding school",30,0)+IF(J1077&gt;=18,20,0)+IF(I1077&lt;=11,10,0)+IF(L1077="Has a sixth form",15,0)+IF(M1077&gt;=200,10,0)+IF(N1077&lt;&gt;"",10,0)</x:f>
        <x:v>20</x:v>
      </x:c>
      <x:c r="D1077" s="43" t="str">
        <x:f>IF(C1077&gt;=85,"A",IF(C1077&gt;=65,"B","C"))</x:f>
        <x:v>C</x:v>
      </x:c>
      <x:c r="E1077" s="43" t="str">
        <x:v>Birchfield School</x:v>
      </x:c>
      <x:c r="F1077" s="43" t="str">
        <x:v>Wolverhampton</x:v>
      </x:c>
      <x:c r="G1077" s="43" t="str">
        <x:v>West Midlands</x:v>
      </x:c>
      <x:c r="H1077" s="43" t="str">
        <x:v>WV7 3AF</x:v>
      </x:c>
      <x:c r="I1077" s="43" t="n">
        <x:v>4</x:v>
      </x:c>
      <x:c r="J1077" s="43" t="n">
        <x:v>16</x:v>
      </x:c>
      <x:c r="K1077" s="43" t="str">
        <x:v>No boarders</x:v>
      </x:c>
      <x:c r="L1077" s="43" t="str">
        <x:v>Does not have a sixth form</x:v>
      </x:c>
      <x:c r="M1077" s="43" t="n">
        <x:v>186</x:v>
      </x:c>
      <x:c r="N1077" s="43" t="str">
        <x:v>https://www.birchfieldschool.co.uk</x:v>
      </x:c>
      <x:c r="O1077" s="43" t="str">
        <x:v>01902372534</x:v>
      </x:c>
      <x:c r="P1077" s="43" t="str"/>
      <x:c r="Q1077" s="43" t="str"/>
      <x:c r="R1077" s="43" t="str">
        <x:v>Queued for contact research</x:v>
      </x:c>
      <x:c r="S1077" s="43" t="str">
        <x:v>Not reviewed</x:v>
      </x:c>
      <x:c r="T1077" s="43" t="str">
        <x:v>Hold</x:v>
      </x:c>
      <x:c r="U1077" s="43" t="str">
        <x:v>No</x:v>
      </x:c>
      <x:c r="V1077" s="44"/>
      <x:c r="W1077" s="43" t="str"/>
      <x:c r="X1077" s="43" t="str"/>
      <x:c r="Y1077" s="43" t="str"/>
      <x:c r="Z1077" s="43" t="str">
        <x:v>https://www.get-information-schools.service.gov.uk/Downloads</x:v>
      </x:c>
    </x:row>
    <x:row r="1078">
      <x:c r="A1078" s="43" t="str">
        <x:v>UK independent</x:v>
      </x:c>
      <x:c r="B1078" s="43" t="str">
        <x:v>124476</x:v>
      </x:c>
      <x:c r="C1078" s="43" t="n">
        <x:f>IF(K1078="Boarding school",30,0)+IF(J1078&gt;=18,20,0)+IF(I1078&lt;=11,10,0)+IF(L1078="Has a sixth form",15,0)+IF(M1078&gt;=200,10,0)+IF(N1078&lt;&gt;"",10,0)</x:f>
        <x:v>20</x:v>
      </x:c>
      <x:c r="D1078" s="43" t="str">
        <x:f>IF(C1078&gt;=85,"A",IF(C1078&gt;=65,"B","C"))</x:f>
        <x:v>C</x:v>
      </x:c>
      <x:c r="E1078" s="43" t="str">
        <x:v>St Dominic's Priory School</x:v>
      </x:c>
      <x:c r="F1078" s="43" t="str">
        <x:v>Stone</x:v>
      </x:c>
      <x:c r="G1078" s="43" t="str">
        <x:v>Staffordshire</x:v>
      </x:c>
      <x:c r="H1078" s="43" t="str">
        <x:v>ST15 8ER</x:v>
      </x:c>
      <x:c r="I1078" s="43" t="n">
        <x:v>3</x:v>
      </x:c>
      <x:c r="J1078" s="43" t="n">
        <x:v>16</x:v>
      </x:c>
      <x:c r="K1078" s="43" t="str">
        <x:v>No boarders</x:v>
      </x:c>
      <x:c r="L1078" s="43" t="str">
        <x:v>Does not have a sixth form</x:v>
      </x:c>
      <x:c r="M1078" s="43" t="n">
        <x:v>185</x:v>
      </x:c>
      <x:c r="N1078" s="43" t="str">
        <x:v>https://www.stdominicspriory.co.uk</x:v>
      </x:c>
      <x:c r="O1078" s="43" t="str">
        <x:v>01785814181</x:v>
      </x:c>
      <x:c r="P1078" s="43" t="str"/>
      <x:c r="Q1078" s="43" t="str"/>
      <x:c r="R1078" s="43" t="str">
        <x:v>Queued for contact research</x:v>
      </x:c>
      <x:c r="S1078" s="43" t="str">
        <x:v>Not reviewed</x:v>
      </x:c>
      <x:c r="T1078" s="43" t="str">
        <x:v>Hold</x:v>
      </x:c>
      <x:c r="U1078" s="43" t="str">
        <x:v>No</x:v>
      </x:c>
      <x:c r="V1078" s="44"/>
      <x:c r="W1078" s="43" t="str"/>
      <x:c r="X1078" s="43" t="str"/>
      <x:c r="Y1078" s="43" t="str"/>
      <x:c r="Z1078" s="43" t="str">
        <x:v>https://www.get-information-schools.service.gov.uk/Downloads</x:v>
      </x:c>
    </x:row>
    <x:row r="1079">
      <x:c r="A1079" s="43" t="str">
        <x:v>UK independent</x:v>
      </x:c>
      <x:c r="B1079" s="43" t="str">
        <x:v>101172</x:v>
      </x:c>
      <x:c r="C1079" s="43" t="n">
        <x:f>IF(K1079="Boarding school",30,0)+IF(J1079&gt;=18,20,0)+IF(I1079&lt;=11,10,0)+IF(L1079="Has a sixth form",15,0)+IF(M1079&gt;=200,10,0)+IF(N1079&lt;&gt;"",10,0)</x:f>
        <x:v>20</x:v>
      </x:c>
      <x:c r="D1079" s="43" t="str">
        <x:f>IF(C1079&gt;=85,"A",IF(C1079&gt;=65,"B","C"))</x:f>
        <x:v>C</x:v>
      </x:c>
      <x:c r="E1079" s="43" t="str">
        <x:v>Sylvia Young Theatre School</x:v>
      </x:c>
      <x:c r="F1079" s="43" t="str"/>
      <x:c r="G1079" s="43" t="str"/>
      <x:c r="H1079" s="43" t="str">
        <x:v>W1H 5YZ</x:v>
      </x:c>
      <x:c r="I1079" s="43" t="n">
        <x:v>10</x:v>
      </x:c>
      <x:c r="J1079" s="43" t="n">
        <x:v>16</x:v>
      </x:c>
      <x:c r="K1079" s="43" t="str">
        <x:v>No boarders</x:v>
      </x:c>
      <x:c r="L1079" s="43" t="str">
        <x:v>Does not have a sixth form</x:v>
      </x:c>
      <x:c r="M1079" s="43" t="n">
        <x:v>185</x:v>
      </x:c>
      <x:c r="N1079" s="43" t="str">
        <x:v>https://www.syts.co.uk</x:v>
      </x:c>
      <x:c r="O1079" s="43" t="str">
        <x:v>02072582330</x:v>
      </x:c>
      <x:c r="P1079" s="43" t="str"/>
      <x:c r="Q1079" s="43" t="str"/>
      <x:c r="R1079" s="43" t="str">
        <x:v>Queued for contact research</x:v>
      </x:c>
      <x:c r="S1079" s="43" t="str">
        <x:v>Not reviewed</x:v>
      </x:c>
      <x:c r="T1079" s="43" t="str">
        <x:v>Hold</x:v>
      </x:c>
      <x:c r="U1079" s="43" t="str">
        <x:v>No</x:v>
      </x:c>
      <x:c r="V1079" s="44"/>
      <x:c r="W1079" s="43" t="str"/>
      <x:c r="X1079" s="43" t="str"/>
      <x:c r="Y1079" s="43" t="str"/>
      <x:c r="Z1079" s="43" t="str">
        <x:v>https://www.get-information-schools.service.gov.uk/Downloads</x:v>
      </x:c>
    </x:row>
    <x:row r="1080">
      <x:c r="A1080" s="43" t="str">
        <x:v>UK independent</x:v>
      </x:c>
      <x:c r="B1080" s="43" t="str">
        <x:v>100063</x:v>
      </x:c>
      <x:c r="C1080" s="43" t="n">
        <x:f>IF(K1080="Boarding school",30,0)+IF(J1080&gt;=18,20,0)+IF(I1080&lt;=11,10,0)+IF(L1080="Has a sixth form",15,0)+IF(M1080&gt;=200,10,0)+IF(N1080&lt;&gt;"",10,0)</x:f>
        <x:v>20</x:v>
      </x:c>
      <x:c r="D1080" s="43" t="str">
        <x:f>IF(C1080&gt;=85,"A",IF(C1080&gt;=65,"B","C"))</x:f>
        <x:v>C</x:v>
      </x:c>
      <x:c r="E1080" s="43" t="str">
        <x:v>Sarum Hall School</x:v>
      </x:c>
      <x:c r="F1080" s="43" t="str">
        <x:v>London</x:v>
      </x:c>
      <x:c r="G1080" s="43" t="str"/>
      <x:c r="H1080" s="43" t="str">
        <x:v>NW3 3EL</x:v>
      </x:c>
      <x:c r="I1080" s="43" t="n">
        <x:v>3</x:v>
      </x:c>
      <x:c r="J1080" s="43" t="n">
        <x:v>11</x:v>
      </x:c>
      <x:c r="K1080" s="43" t="str">
        <x:v>No boarders</x:v>
      </x:c>
      <x:c r="L1080" s="43" t="str">
        <x:v>Does not have a sixth form</x:v>
      </x:c>
      <x:c r="M1080" s="43" t="n">
        <x:v>184</x:v>
      </x:c>
      <x:c r="N1080" s="43" t="str">
        <x:v>https://www.sarumhallschool.co.uk/</x:v>
      </x:c>
      <x:c r="O1080" s="43" t="str">
        <x:v>02077942261</x:v>
      </x:c>
      <x:c r="P1080" s="43" t="str"/>
      <x:c r="Q1080" s="43" t="str"/>
      <x:c r="R1080" s="43" t="str">
        <x:v>Queued for contact research</x:v>
      </x:c>
      <x:c r="S1080" s="43" t="str">
        <x:v>Not reviewed</x:v>
      </x:c>
      <x:c r="T1080" s="43" t="str">
        <x:v>Hold</x:v>
      </x:c>
      <x:c r="U1080" s="43" t="str">
        <x:v>No</x:v>
      </x:c>
      <x:c r="V1080" s="44"/>
      <x:c r="W1080" s="43" t="str"/>
      <x:c r="X1080" s="43" t="str"/>
      <x:c r="Y1080" s="43" t="str"/>
      <x:c r="Z1080" s="43" t="str">
        <x:v>https://www.get-information-schools.service.gov.uk/Downloads</x:v>
      </x:c>
    </x:row>
    <x:row r="1081">
      <x:c r="A1081" s="43" t="str">
        <x:v>UK independent</x:v>
      </x:c>
      <x:c r="B1081" s="43" t="str">
        <x:v>115401</x:v>
      </x:c>
      <x:c r="C1081" s="43" t="n">
        <x:f>IF(K1081="Boarding school",30,0)+IF(J1081&gt;=18,20,0)+IF(I1081&lt;=11,10,0)+IF(L1081="Has a sixth form",15,0)+IF(M1081&gt;=200,10,0)+IF(N1081&lt;&gt;"",10,0)</x:f>
        <x:v>20</x:v>
      </x:c>
      <x:c r="D1081" s="43" t="str">
        <x:f>IF(C1081&gt;=85,"A",IF(C1081&gt;=65,"B","C"))</x:f>
        <x:v>C</x:v>
      </x:c>
      <x:c r="E1081" s="43" t="str">
        <x:v>St. Michael's School</x:v>
      </x:c>
      <x:c r="F1081" s="43" t="str"/>
      <x:c r="G1081" s="43" t="str"/>
      <x:c r="H1081" s="43" t="str">
        <x:v>SS9 2LP</x:v>
      </x:c>
      <x:c r="I1081" s="43" t="n">
        <x:v>2</x:v>
      </x:c>
      <x:c r="J1081" s="43" t="n">
        <x:v>11</x:v>
      </x:c>
      <x:c r="K1081" s="43" t="str">
        <x:v>No boarders</x:v>
      </x:c>
      <x:c r="L1081" s="43" t="str">
        <x:v>Does not have a sixth form</x:v>
      </x:c>
      <x:c r="M1081" s="43" t="n">
        <x:v>184</x:v>
      </x:c>
      <x:c r="N1081" s="43" t="str">
        <x:v>https://www.stmichaelsschool.com</x:v>
      </x:c>
      <x:c r="O1081" s="43" t="str">
        <x:v>01702478719</x:v>
      </x:c>
      <x:c r="P1081" s="43" t="str"/>
      <x:c r="Q1081" s="43" t="str"/>
      <x:c r="R1081" s="43" t="str">
        <x:v>Queued for contact research</x:v>
      </x:c>
      <x:c r="S1081" s="43" t="str">
        <x:v>Not reviewed</x:v>
      </x:c>
      <x:c r="T1081" s="43" t="str">
        <x:v>Hold</x:v>
      </x:c>
      <x:c r="U1081" s="43" t="str">
        <x:v>No</x:v>
      </x:c>
      <x:c r="V1081" s="44"/>
      <x:c r="W1081" s="43" t="str"/>
      <x:c r="X1081" s="43" t="str"/>
      <x:c r="Y1081" s="43" t="str"/>
      <x:c r="Z1081" s="43" t="str">
        <x:v>https://www.get-information-schools.service.gov.uk/Downloads</x:v>
      </x:c>
    </x:row>
    <x:row r="1082">
      <x:c r="A1082" s="43" t="str">
        <x:v>UK independent</x:v>
      </x:c>
      <x:c r="B1082" s="43" t="str">
        <x:v>100514</x:v>
      </x:c>
      <x:c r="C1082" s="43" t="n">
        <x:f>IF(K1082="Boarding school",30,0)+IF(J1082&gt;=18,20,0)+IF(I1082&lt;=11,10,0)+IF(L1082="Has a sixth form",15,0)+IF(M1082&gt;=200,10,0)+IF(N1082&lt;&gt;"",10,0)</x:f>
        <x:v>20</x:v>
      </x:c>
      <x:c r="D1082" s="43" t="str">
        <x:f>IF(C1082&gt;=85,"A",IF(C1082&gt;=65,"B","C"))</x:f>
        <x:v>C</x:v>
      </x:c>
      <x:c r="E1082" s="43" t="str">
        <x:v>Sussex House School</x:v>
      </x:c>
      <x:c r="F1082" s="43" t="str">
        <x:v>London</x:v>
      </x:c>
      <x:c r="G1082" s="43" t="str"/>
      <x:c r="H1082" s="43" t="str">
        <x:v>SW1X 0EA</x:v>
      </x:c>
      <x:c r="I1082" s="43" t="n">
        <x:v>8</x:v>
      </x:c>
      <x:c r="J1082" s="43" t="n">
        <x:v>13</x:v>
      </x:c>
      <x:c r="K1082" s="43" t="str">
        <x:v>No boarders</x:v>
      </x:c>
      <x:c r="L1082" s="43" t="str">
        <x:v>Does not have a sixth form</x:v>
      </x:c>
      <x:c r="M1082" s="43" t="n">
        <x:v>184</x:v>
      </x:c>
      <x:c r="N1082" s="43" t="str">
        <x:v>https://www.sussexhouseschool.co.uk</x:v>
      </x:c>
      <x:c r="O1082" s="43" t="str">
        <x:v>02075841741</x:v>
      </x:c>
      <x:c r="P1082" s="43" t="str"/>
      <x:c r="Q1082" s="43" t="str"/>
      <x:c r="R1082" s="43" t="str">
        <x:v>Queued for contact research</x:v>
      </x:c>
      <x:c r="S1082" s="43" t="str">
        <x:v>Not reviewed</x:v>
      </x:c>
      <x:c r="T1082" s="43" t="str">
        <x:v>Hold</x:v>
      </x:c>
      <x:c r="U1082" s="43" t="str">
        <x:v>No</x:v>
      </x:c>
      <x:c r="V1082" s="44"/>
      <x:c r="W1082" s="43" t="str"/>
      <x:c r="X1082" s="43" t="str"/>
      <x:c r="Y1082" s="43" t="str"/>
      <x:c r="Z1082" s="43" t="str">
        <x:v>https://www.get-information-schools.service.gov.uk/Downloads</x:v>
      </x:c>
    </x:row>
    <x:row r="1083">
      <x:c r="A1083" s="43" t="str">
        <x:v>UK independent</x:v>
      </x:c>
      <x:c r="B1083" s="43" t="str">
        <x:v>122931</x:v>
      </x:c>
      <x:c r="C1083" s="43" t="n">
        <x:f>IF(K1083="Boarding school",30,0)+IF(J1083&gt;=18,20,0)+IF(I1083&lt;=11,10,0)+IF(L1083="Has a sixth form",15,0)+IF(M1083&gt;=200,10,0)+IF(N1083&lt;&gt;"",10,0)</x:f>
        <x:v>20</x:v>
      </x:c>
      <x:c r="D1083" s="43" t="str">
        <x:f>IF(C1083&gt;=85,"A",IF(C1083&gt;=65,"B","C"))</x:f>
        <x:v>C</x:v>
      </x:c>
      <x:c r="E1083" s="43" t="str">
        <x:v>Wellow House School</x:v>
      </x:c>
      <x:c r="F1083" s="43" t="str"/>
      <x:c r="G1083" s="43" t="str"/>
      <x:c r="H1083" s="43" t="str">
        <x:v>ng22 0ea</x:v>
      </x:c>
      <x:c r="I1083" s="43" t="n">
        <x:v>2</x:v>
      </x:c>
      <x:c r="J1083" s="43" t="n">
        <x:v>16</x:v>
      </x:c>
      <x:c r="K1083" s="43" t="str">
        <x:v>No boarders</x:v>
      </x:c>
      <x:c r="L1083" s="43" t="str">
        <x:v>Does not have a sixth form</x:v>
      </x:c>
      <x:c r="M1083" s="43" t="n">
        <x:v>184</x:v>
      </x:c>
      <x:c r="N1083" s="43" t="str">
        <x:v>https://www.wellowhouse.notts.sch.uk</x:v>
      </x:c>
      <x:c r="O1083" s="43" t="str">
        <x:v>01623861054</x:v>
      </x:c>
      <x:c r="P1083" s="43" t="str"/>
      <x:c r="Q1083" s="43" t="str"/>
      <x:c r="R1083" s="43" t="str">
        <x:v>Queued for contact research</x:v>
      </x:c>
      <x:c r="S1083" s="43" t="str">
        <x:v>Not reviewed</x:v>
      </x:c>
      <x:c r="T1083" s="43" t="str">
        <x:v>Hold</x:v>
      </x:c>
      <x:c r="U1083" s="43" t="str">
        <x:v>No</x:v>
      </x:c>
      <x:c r="V1083" s="44"/>
      <x:c r="W1083" s="43" t="str"/>
      <x:c r="X1083" s="43" t="str"/>
      <x:c r="Y1083" s="43" t="str"/>
      <x:c r="Z1083" s="43" t="str">
        <x:v>https://www.get-information-schools.service.gov.uk/Downloads</x:v>
      </x:c>
    </x:row>
    <x:row r="1084">
      <x:c r="A1084" s="43" t="str">
        <x:v>UK independent</x:v>
      </x:c>
      <x:c r="B1084" s="43" t="str">
        <x:v>126528</x:v>
      </x:c>
      <x:c r="C1084" s="43" t="n">
        <x:f>IF(K1084="Boarding school",30,0)+IF(J1084&gt;=18,20,0)+IF(I1084&lt;=11,10,0)+IF(L1084="Has a sixth form",15,0)+IF(M1084&gt;=200,10,0)+IF(N1084&lt;&gt;"",10,0)</x:f>
        <x:v>20</x:v>
      </x:c>
      <x:c r="D1084" s="43" t="str">
        <x:f>IF(C1084&gt;=85,"A",IF(C1084&gt;=65,"B","C"))</x:f>
        <x:v>C</x:v>
      </x:c>
      <x:c r="E1084" s="43" t="str">
        <x:v>Leehurst Swan School</x:v>
      </x:c>
      <x:c r="F1084" s="43" t="str"/>
      <x:c r="G1084" s="43" t="str"/>
      <x:c r="H1084" s="43" t="str">
        <x:v>SP1 3BQ</x:v>
      </x:c>
      <x:c r="I1084" s="43" t="n">
        <x:v>4</x:v>
      </x:c>
      <x:c r="J1084" s="43" t="n">
        <x:v>16</x:v>
      </x:c>
      <x:c r="K1084" s="43" t="str">
        <x:v>No boarders</x:v>
      </x:c>
      <x:c r="L1084" s="43" t="str">
        <x:v>Does not have a sixth form</x:v>
      </x:c>
      <x:c r="M1084" s="43" t="n">
        <x:v>183</x:v>
      </x:c>
      <x:c r="N1084" s="43" t="str">
        <x:v>http://www.leehurstswan.org.uk</x:v>
      </x:c>
      <x:c r="O1084" s="43" t="str">
        <x:v>01722333094</x:v>
      </x:c>
      <x:c r="P1084" s="43" t="str"/>
      <x:c r="Q1084" s="43" t="str"/>
      <x:c r="R1084" s="43" t="str">
        <x:v>Queued for contact research</x:v>
      </x:c>
      <x:c r="S1084" s="43" t="str">
        <x:v>Not reviewed</x:v>
      </x:c>
      <x:c r="T1084" s="43" t="str">
        <x:v>Hold</x:v>
      </x:c>
      <x:c r="U1084" s="43" t="str">
        <x:v>No</x:v>
      </x:c>
      <x:c r="V1084" s="44"/>
      <x:c r="W1084" s="43" t="str"/>
      <x:c r="X1084" s="43" t="str"/>
      <x:c r="Y1084" s="43" t="str"/>
      <x:c r="Z1084" s="43" t="str">
        <x:v>https://www.get-information-schools.service.gov.uk/Downloads</x:v>
      </x:c>
    </x:row>
    <x:row r="1085">
      <x:c r="A1085" s="43" t="str">
        <x:v>UK independent</x:v>
      </x:c>
      <x:c r="B1085" s="43" t="str">
        <x:v>110162</x:v>
      </x:c>
      <x:c r="C1085" s="43" t="n">
        <x:f>IF(K1085="Boarding school",30,0)+IF(J1085&gt;=18,20,0)+IF(I1085&lt;=11,10,0)+IF(L1085="Has a sixth form",15,0)+IF(M1085&gt;=200,10,0)+IF(N1085&lt;&gt;"",10,0)</x:f>
        <x:v>20</x:v>
      </x:c>
      <x:c r="D1085" s="43" t="str">
        <x:f>IF(C1085&gt;=85,"A",IF(C1085&gt;=65,"B","C"))</x:f>
        <x:v>C</x:v>
      </x:c>
      <x:c r="E1085" s="43" t="str">
        <x:v>Long Close School</x:v>
      </x:c>
      <x:c r="F1085" s="43" t="str">
        <x:v>Slough</x:v>
      </x:c>
      <x:c r="G1085" s="43" t="str">
        <x:v>Berkshire</x:v>
      </x:c>
      <x:c r="H1085" s="43" t="str">
        <x:v>SL3 7LU</x:v>
      </x:c>
      <x:c r="I1085" s="43" t="n">
        <x:v>2</x:v>
      </x:c>
      <x:c r="J1085" s="43" t="n">
        <x:v>16</x:v>
      </x:c>
      <x:c r="K1085" s="43" t="str">
        <x:v>No boarders</x:v>
      </x:c>
      <x:c r="L1085" s="43" t="str">
        <x:v>Does not have a sixth form</x:v>
      </x:c>
      <x:c r="M1085" s="43" t="n">
        <x:v>183</x:v>
      </x:c>
      <x:c r="N1085" s="43" t="str">
        <x:v>https://www.longcloseschool.co.uk</x:v>
      </x:c>
      <x:c r="O1085" s="43" t="str">
        <x:v>01753520095</x:v>
      </x:c>
      <x:c r="P1085" s="43" t="str"/>
      <x:c r="Q1085" s="43" t="str"/>
      <x:c r="R1085" s="43" t="str">
        <x:v>Queued for contact research</x:v>
      </x:c>
      <x:c r="S1085" s="43" t="str">
        <x:v>Not reviewed</x:v>
      </x:c>
      <x:c r="T1085" s="43" t="str">
        <x:v>Hold</x:v>
      </x:c>
      <x:c r="U1085" s="43" t="str">
        <x:v>No</x:v>
      </x:c>
      <x:c r="V1085" s="44"/>
      <x:c r="W1085" s="43" t="str"/>
      <x:c r="X1085" s="43" t="str"/>
      <x:c r="Y1085" s="43" t="str"/>
      <x:c r="Z1085" s="43" t="str">
        <x:v>https://www.get-information-schools.service.gov.uk/Downloads</x:v>
      </x:c>
    </x:row>
    <x:row r="1086">
      <x:c r="A1086" s="43" t="str">
        <x:v>UK independent</x:v>
      </x:c>
      <x:c r="B1086" s="43" t="str">
        <x:v>118992</x:v>
      </x:c>
      <x:c r="C1086" s="43" t="n">
        <x:f>IF(K1086="Boarding school",30,0)+IF(J1086&gt;=18,20,0)+IF(I1086&lt;=11,10,0)+IF(L1086="Has a sixth form",15,0)+IF(M1086&gt;=200,10,0)+IF(N1086&lt;&gt;"",10,0)</x:f>
        <x:v>20</x:v>
      </x:c>
      <x:c r="D1086" s="43" t="str">
        <x:f>IF(C1086&gt;=85,"A",IF(C1086&gt;=65,"B","C"))</x:f>
        <x:v>C</x:v>
      </x:c>
      <x:c r="E1086" s="43" t="str">
        <x:v>Spring Grove School 2003 Ltd</x:v>
      </x:c>
      <x:c r="F1086" s="43" t="str">
        <x:v>Ashford</x:v>
      </x:c>
      <x:c r="G1086" s="43" t="str">
        <x:v>Kent</x:v>
      </x:c>
      <x:c r="H1086" s="43" t="str">
        <x:v>TN25 5EZ</x:v>
      </x:c>
      <x:c r="I1086" s="43" t="n">
        <x:v>2</x:v>
      </x:c>
      <x:c r="J1086" s="43" t="n">
        <x:v>11</x:v>
      </x:c>
      <x:c r="K1086" s="43" t="str">
        <x:v>No boarders</x:v>
      </x:c>
      <x:c r="L1086" s="43" t="str">
        <x:v>Does not have a sixth form</x:v>
      </x:c>
      <x:c r="M1086" s="43" t="n">
        <x:v>183</x:v>
      </x:c>
      <x:c r="N1086" s="43" t="str">
        <x:v>https://www.springgroveschool.co.uk</x:v>
      </x:c>
      <x:c r="O1086" s="43" t="str">
        <x:v>01233812337</x:v>
      </x:c>
      <x:c r="P1086" s="43" t="str"/>
      <x:c r="Q1086" s="43" t="str"/>
      <x:c r="R1086" s="43" t="str">
        <x:v>Queued for contact research</x:v>
      </x:c>
      <x:c r="S1086" s="43" t="str">
        <x:v>Not reviewed</x:v>
      </x:c>
      <x:c r="T1086" s="43" t="str">
        <x:v>Hold</x:v>
      </x:c>
      <x:c r="U1086" s="43" t="str">
        <x:v>No</x:v>
      </x:c>
      <x:c r="V1086" s="44"/>
      <x:c r="W1086" s="43" t="str"/>
      <x:c r="X1086" s="43" t="str"/>
      <x:c r="Y1086" s="43" t="str"/>
      <x:c r="Z1086" s="43" t="str">
        <x:v>https://www.get-information-schools.service.gov.uk/Downloads</x:v>
      </x:c>
    </x:row>
    <x:row r="1087">
      <x:c r="A1087" s="43" t="str">
        <x:v>UK independent</x:v>
      </x:c>
      <x:c r="B1087" s="43" t="str">
        <x:v>119828</x:v>
      </x:c>
      <x:c r="C1087" s="43" t="n">
        <x:f>IF(K1087="Boarding school",30,0)+IF(J1087&gt;=18,20,0)+IF(I1087&lt;=11,10,0)+IF(L1087="Has a sixth form",15,0)+IF(M1087&gt;=200,10,0)+IF(N1087&lt;&gt;"",10,0)</x:f>
        <x:v>20</x:v>
      </x:c>
      <x:c r="D1087" s="43" t="str">
        <x:f>IF(C1087&gt;=85,"A",IF(C1087&gt;=65,"B","C"))</x:f>
        <x:v>C</x:v>
      </x:c>
      <x:c r="E1087" s="43" t="str">
        <x:v>Highfield Priory School</x:v>
      </x:c>
      <x:c r="F1087" s="43" t="str">
        <x:v>Preston</x:v>
      </x:c>
      <x:c r="G1087" s="43" t="str">
        <x:v>Lancashire</x:v>
      </x:c>
      <x:c r="H1087" s="43" t="str">
        <x:v>PR2 5RW</x:v>
      </x:c>
      <x:c r="I1087" s="43" t="n">
        <x:v>2</x:v>
      </x:c>
      <x:c r="J1087" s="43" t="n">
        <x:v>11</x:v>
      </x:c>
      <x:c r="K1087" s="43" t="str">
        <x:v>No boarders</x:v>
      </x:c>
      <x:c r="L1087" s="43" t="str">
        <x:v>Does not have a sixth form</x:v>
      </x:c>
      <x:c r="M1087" s="43" t="n">
        <x:v>182</x:v>
      </x:c>
      <x:c r="N1087" s="43" t="str">
        <x:v>https://www.highfieldpriory.co.uk</x:v>
      </x:c>
      <x:c r="O1087" s="43" t="str">
        <x:v>01772709624</x:v>
      </x:c>
      <x:c r="P1087" s="43" t="str"/>
      <x:c r="Q1087" s="43" t="str"/>
      <x:c r="R1087" s="43" t="str">
        <x:v>Queued for contact research</x:v>
      </x:c>
      <x:c r="S1087" s="43" t="str">
        <x:v>Not reviewed</x:v>
      </x:c>
      <x:c r="T1087" s="43" t="str">
        <x:v>Hold</x:v>
      </x:c>
      <x:c r="U1087" s="43" t="str">
        <x:v>No</x:v>
      </x:c>
      <x:c r="V1087" s="44"/>
      <x:c r="W1087" s="43" t="str"/>
      <x:c r="X1087" s="43" t="str"/>
      <x:c r="Y1087" s="43" t="str"/>
      <x:c r="Z1087" s="43" t="str">
        <x:v>https://www.get-information-schools.service.gov.uk/Downloads</x:v>
      </x:c>
    </x:row>
    <x:row r="1088">
      <x:c r="A1088" s="43" t="str">
        <x:v>UK independent</x:v>
      </x:c>
      <x:c r="B1088" s="43" t="str">
        <x:v>139017</x:v>
      </x:c>
      <x:c r="C1088" s="43" t="n">
        <x:f>IF(K1088="Boarding school",30,0)+IF(J1088&gt;=18,20,0)+IF(I1088&lt;=11,10,0)+IF(L1088="Has a sixth form",15,0)+IF(M1088&gt;=200,10,0)+IF(N1088&lt;&gt;"",10,0)</x:f>
        <x:v>20</x:v>
      </x:c>
      <x:c r="D1088" s="43" t="str">
        <x:f>IF(C1088&gt;=85,"A",IF(C1088&gt;=65,"B","C"))</x:f>
        <x:v>C</x:v>
      </x:c>
      <x:c r="E1088" s="43" t="str">
        <x:v>Al-Huda Primary School</x:v>
      </x:c>
      <x:c r="F1088" s="43" t="str">
        <x:v>Bolton</x:v>
      </x:c>
      <x:c r="G1088" s="43" t="str"/>
      <x:c r="H1088" s="43" t="str">
        <x:v>BL1 3EH</x:v>
      </x:c>
      <x:c r="I1088" s="43" t="n">
        <x:v>2</x:v>
      </x:c>
      <x:c r="J1088" s="43" t="n">
        <x:v>11</x:v>
      </x:c>
      <x:c r="K1088" s="43" t="str">
        <x:v>No boarders</x:v>
      </x:c>
      <x:c r="L1088" s="43" t="str">
        <x:v>Does not have a sixth form</x:v>
      </x:c>
      <x:c r="M1088" s="43" t="n">
        <x:v>181</x:v>
      </x:c>
      <x:c r="N1088" s="43" t="str">
        <x:v>https://www.alhudaprimary.co.uk</x:v>
      </x:c>
      <x:c r="O1088" s="43" t="str">
        <x:v>01204841377</x:v>
      </x:c>
      <x:c r="P1088" s="43" t="str"/>
      <x:c r="Q1088" s="43" t="str"/>
      <x:c r="R1088" s="43" t="str">
        <x:v>Queued for contact research</x:v>
      </x:c>
      <x:c r="S1088" s="43" t="str">
        <x:v>Not reviewed</x:v>
      </x:c>
      <x:c r="T1088" s="43" t="str">
        <x:v>Hold</x:v>
      </x:c>
      <x:c r="U1088" s="43" t="str">
        <x:v>No</x:v>
      </x:c>
      <x:c r="V1088" s="44"/>
      <x:c r="W1088" s="43" t="str"/>
      <x:c r="X1088" s="43" t="str"/>
      <x:c r="Y1088" s="43" t="str"/>
      <x:c r="Z1088" s="43" t="str">
        <x:v>https://www.get-information-schools.service.gov.uk/Downloads</x:v>
      </x:c>
    </x:row>
    <x:row r="1089">
      <x:c r="A1089" s="43" t="str">
        <x:v>UK independent</x:v>
      </x:c>
      <x:c r="B1089" s="43" t="str">
        <x:v>125366</x:v>
      </x:c>
      <x:c r="C1089" s="43" t="n">
        <x:f>IF(K1089="Boarding school",30,0)+IF(J1089&gt;=18,20,0)+IF(I1089&lt;=11,10,0)+IF(L1089="Has a sixth form",15,0)+IF(M1089&gt;=200,10,0)+IF(N1089&lt;&gt;"",10,0)</x:f>
        <x:v>20</x:v>
      </x:c>
      <x:c r="D1089" s="43" t="str">
        <x:f>IF(C1089&gt;=85,"A",IF(C1089&gt;=65,"B","C"))</x:f>
        <x:v>C</x:v>
      </x:c>
      <x:c r="E1089" s="43" t="str">
        <x:v>Barrow Hills School</x:v>
      </x:c>
      <x:c r="F1089" s="43" t="str">
        <x:v>Godalming</x:v>
      </x:c>
      <x:c r="G1089" s="43" t="str">
        <x:v>Surrey</x:v>
      </x:c>
      <x:c r="H1089" s="43" t="str">
        <x:v>GU8 5NY</x:v>
      </x:c>
      <x:c r="I1089" s="43" t="n">
        <x:v>2</x:v>
      </x:c>
      <x:c r="J1089" s="43" t="n">
        <x:v>13</x:v>
      </x:c>
      <x:c r="K1089" s="43" t="str">
        <x:v>No boarders</x:v>
      </x:c>
      <x:c r="L1089" s="43" t="str">
        <x:v>Does not have a sixth form</x:v>
      </x:c>
      <x:c r="M1089" s="43" t="n">
        <x:v>181</x:v>
      </x:c>
      <x:c r="N1089" s="43" t="str">
        <x:v>https://www.barrowhills.org</x:v>
      </x:c>
      <x:c r="O1089" s="43" t="str">
        <x:v>01428683639</x:v>
      </x:c>
      <x:c r="P1089" s="43" t="str"/>
      <x:c r="Q1089" s="43" t="str"/>
      <x:c r="R1089" s="43" t="str">
        <x:v>Queued for contact research</x:v>
      </x:c>
      <x:c r="S1089" s="43" t="str">
        <x:v>Not reviewed</x:v>
      </x:c>
      <x:c r="T1089" s="43" t="str">
        <x:v>Hold</x:v>
      </x:c>
      <x:c r="U1089" s="43" t="str">
        <x:v>No</x:v>
      </x:c>
      <x:c r="V1089" s="44"/>
      <x:c r="W1089" s="43" t="str"/>
      <x:c r="X1089" s="43" t="str"/>
      <x:c r="Y1089" s="43" t="str"/>
      <x:c r="Z1089" s="43" t="str">
        <x:v>https://www.get-information-schools.service.gov.uk/Downloads</x:v>
      </x:c>
    </x:row>
    <x:row r="1090">
      <x:c r="A1090" s="43" t="str">
        <x:v>UK independent</x:v>
      </x:c>
      <x:c r="B1090" s="43" t="str">
        <x:v>131388</x:v>
      </x:c>
      <x:c r="C1090" s="43" t="n">
        <x:f>IF(K1090="Boarding school",30,0)+IF(J1090&gt;=18,20,0)+IF(I1090&lt;=11,10,0)+IF(L1090="Has a sixth form",15,0)+IF(M1090&gt;=200,10,0)+IF(N1090&lt;&gt;"",10,0)</x:f>
        <x:v>20</x:v>
      </x:c>
      <x:c r="D1090" s="43" t="str">
        <x:f>IF(C1090&gt;=85,"A",IF(C1090&gt;=65,"B","C"))</x:f>
        <x:v>C</x:v>
      </x:c>
      <x:c r="E1090" s="43" t="str">
        <x:v>Jamiatul Ummah School</x:v>
      </x:c>
      <x:c r="F1090" s="43" t="str">
        <x:v>London</x:v>
      </x:c>
      <x:c r="G1090" s="43" t="str"/>
      <x:c r="H1090" s="43" t="str">
        <x:v>E1 2ND</x:v>
      </x:c>
      <x:c r="I1090" s="43" t="n">
        <x:v>11</x:v>
      </x:c>
      <x:c r="J1090" s="43" t="n">
        <x:v>16</x:v>
      </x:c>
      <x:c r="K1090" s="43" t="str">
        <x:v>No boarders</x:v>
      </x:c>
      <x:c r="L1090" s="43" t="str">
        <x:v>Does not have a sixth form</x:v>
      </x:c>
      <x:c r="M1090" s="43" t="n">
        <x:v>181</x:v>
      </x:c>
      <x:c r="N1090" s="43" t="str">
        <x:v>https://jamiatulummah.org.uk</x:v>
      </x:c>
      <x:c r="O1090" s="43" t="str">
        <x:v>02077907878</x:v>
      </x:c>
      <x:c r="P1090" s="43" t="str"/>
      <x:c r="Q1090" s="43" t="str"/>
      <x:c r="R1090" s="43" t="str">
        <x:v>Queued for contact research</x:v>
      </x:c>
      <x:c r="S1090" s="43" t="str">
        <x:v>Not reviewed</x:v>
      </x:c>
      <x:c r="T1090" s="43" t="str">
        <x:v>Hold</x:v>
      </x:c>
      <x:c r="U1090" s="43" t="str">
        <x:v>No</x:v>
      </x:c>
      <x:c r="V1090" s="44"/>
      <x:c r="W1090" s="43" t="str"/>
      <x:c r="X1090" s="43" t="str"/>
      <x:c r="Y1090" s="43" t="str"/>
      <x:c r="Z1090" s="43" t="str">
        <x:v>https://www.get-information-schools.service.gov.uk/Downloads</x:v>
      </x:c>
    </x:row>
    <x:row r="1091">
      <x:c r="A1091" s="43" t="str">
        <x:v>UK independent</x:v>
      </x:c>
      <x:c r="B1091" s="43" t="str">
        <x:v>134627</x:v>
      </x:c>
      <x:c r="C1091" s="43" t="n">
        <x:f>IF(K1091="Boarding school",30,0)+IF(J1091&gt;=18,20,0)+IF(I1091&lt;=11,10,0)+IF(L1091="Has a sixth form",15,0)+IF(M1091&gt;=200,10,0)+IF(N1091&lt;&gt;"",10,0)</x:f>
        <x:v>20</x:v>
      </x:c>
      <x:c r="D1091" s="43" t="str">
        <x:f>IF(C1091&gt;=85,"A",IF(C1091&gt;=65,"B","C"))</x:f>
        <x:v>C</x:v>
      </x:c>
      <x:c r="E1091" s="43" t="str">
        <x:v>Quwwat Ul Islam Girls' School</x:v>
      </x:c>
      <x:c r="F1091" s="43" t="str">
        <x:v>London</x:v>
      </x:c>
      <x:c r="G1091" s="43" t="str"/>
      <x:c r="H1091" s="43" t="str">
        <x:v>E7 9NB</x:v>
      </x:c>
      <x:c r="I1091" s="43" t="n">
        <x:v>3</x:v>
      </x:c>
      <x:c r="J1091" s="43" t="n">
        <x:v>16</x:v>
      </x:c>
      <x:c r="K1091" s="43" t="str">
        <x:v>No boarders</x:v>
      </x:c>
      <x:c r="L1091" s="43" t="str">
        <x:v>Does not have a sixth form</x:v>
      </x:c>
      <x:c r="M1091" s="43" t="n">
        <x:v>181</x:v>
      </x:c>
      <x:c r="N1091" s="43" t="str">
        <x:v>https://www.quwwatulislam.com</x:v>
      </x:c>
      <x:c r="O1091" s="43" t="str">
        <x:v>02085484736</x:v>
      </x:c>
      <x:c r="P1091" s="43" t="str"/>
      <x:c r="Q1091" s="43" t="str"/>
      <x:c r="R1091" s="43" t="str">
        <x:v>Queued for contact research</x:v>
      </x:c>
      <x:c r="S1091" s="43" t="str">
        <x:v>Not reviewed</x:v>
      </x:c>
      <x:c r="T1091" s="43" t="str">
        <x:v>Hold</x:v>
      </x:c>
      <x:c r="U1091" s="43" t="str">
        <x:v>No</x:v>
      </x:c>
      <x:c r="V1091" s="44"/>
      <x:c r="W1091" s="43" t="str"/>
      <x:c r="X1091" s="43" t="str"/>
      <x:c r="Y1091" s="43" t="str"/>
      <x:c r="Z1091" s="43" t="str">
        <x:v>https://www.get-information-schools.service.gov.uk/Downloads</x:v>
      </x:c>
    </x:row>
    <x:row r="1092">
      <x:c r="A1092" s="43" t="str">
        <x:v>UK independent</x:v>
      </x:c>
      <x:c r="B1092" s="43" t="str">
        <x:v>102937</x:v>
      </x:c>
      <x:c r="C1092" s="43" t="n">
        <x:f>IF(K1092="Boarding school",30,0)+IF(J1092&gt;=18,20,0)+IF(I1092&lt;=11,10,0)+IF(L1092="Has a sixth form",15,0)+IF(M1092&gt;=200,10,0)+IF(N1092&lt;&gt;"",10,0)</x:f>
        <x:v>20</x:v>
      </x:c>
      <x:c r="D1092" s="43" t="str">
        <x:f>IF(C1092&gt;=85,"A",IF(C1092&gt;=65,"B","C"))</x:f>
        <x:v>C</x:v>
      </x:c>
      <x:c r="E1092" s="43" t="str">
        <x:v>Tower House School</x:v>
      </x:c>
      <x:c r="F1092" s="43" t="str">
        <x:v>London</x:v>
      </x:c>
      <x:c r="G1092" s="43" t="str"/>
      <x:c r="H1092" s="43" t="str">
        <x:v>SW14 8LF</x:v>
      </x:c>
      <x:c r="I1092" s="43" t="n">
        <x:v>4</x:v>
      </x:c>
      <x:c r="J1092" s="43" t="n">
        <x:v>13</x:v>
      </x:c>
      <x:c r="K1092" s="43" t="str">
        <x:v>No boarders</x:v>
      </x:c>
      <x:c r="L1092" s="43" t="str">
        <x:v>Does not have a sixth form</x:v>
      </x:c>
      <x:c r="M1092" s="43" t="n">
        <x:v>181</x:v>
      </x:c>
      <x:c r="N1092" s="43" t="str">
        <x:v>http://www.thsboys.org.uk</x:v>
      </x:c>
      <x:c r="O1092" s="43" t="str">
        <x:v>02088763323</x:v>
      </x:c>
      <x:c r="P1092" s="43" t="str"/>
      <x:c r="Q1092" s="43" t="str"/>
      <x:c r="R1092" s="43" t="str">
        <x:v>Queued for contact research</x:v>
      </x:c>
      <x:c r="S1092" s="43" t="str">
        <x:v>Not reviewed</x:v>
      </x:c>
      <x:c r="T1092" s="43" t="str">
        <x:v>Hold</x:v>
      </x:c>
      <x:c r="U1092" s="43" t="str">
        <x:v>No</x:v>
      </x:c>
      <x:c r="V1092" s="44"/>
      <x:c r="W1092" s="43" t="str"/>
      <x:c r="X1092" s="43" t="str"/>
      <x:c r="Y1092" s="43" t="str"/>
      <x:c r="Z1092" s="43" t="str">
        <x:v>https://www.get-information-schools.service.gov.uk/Downloads</x:v>
      </x:c>
    </x:row>
    <x:row r="1093">
      <x:c r="A1093" s="43" t="str">
        <x:v>UK independent</x:v>
      </x:c>
      <x:c r="B1093" s="43" t="str">
        <x:v>135298</x:v>
      </x:c>
      <x:c r="C1093" s="43" t="n">
        <x:f>IF(K1093="Boarding school",30,0)+IF(J1093&gt;=18,20,0)+IF(I1093&lt;=11,10,0)+IF(L1093="Has a sixth form",15,0)+IF(M1093&gt;=200,10,0)+IF(N1093&lt;&gt;"",10,0)</x:f>
        <x:v>20</x:v>
      </x:c>
      <x:c r="D1093" s="43" t="str">
        <x:f>IF(C1093&gt;=85,"A",IF(C1093&gt;=65,"B","C"))</x:f>
        <x:v>C</x:v>
      </x:c>
      <x:c r="E1093" s="43" t="str">
        <x:v>Maple Walk School</x:v>
      </x:c>
      <x:c r="F1093" s="43" t="str">
        <x:v>London</x:v>
      </x:c>
      <x:c r="G1093" s="43" t="str"/>
      <x:c r="H1093" s="43" t="str">
        <x:v>NW10 4EB</x:v>
      </x:c>
      <x:c r="I1093" s="43" t="n">
        <x:v>3</x:v>
      </x:c>
      <x:c r="J1093" s="43" t="n">
        <x:v>11</x:v>
      </x:c>
      <x:c r="K1093" s="43" t="str">
        <x:v>No boarders</x:v>
      </x:c>
      <x:c r="L1093" s="43" t="str">
        <x:v>Does not have a sixth form</x:v>
      </x:c>
      <x:c r="M1093" s="43" t="n">
        <x:v>179</x:v>
      </x:c>
      <x:c r="N1093" s="43" t="str">
        <x:v>https://www.maplewalkschool.co.uk</x:v>
      </x:c>
      <x:c r="O1093" s="43" t="str">
        <x:v>02089633890</x:v>
      </x:c>
      <x:c r="P1093" s="43" t="str"/>
      <x:c r="Q1093" s="43" t="str"/>
      <x:c r="R1093" s="43" t="str">
        <x:v>Queued for contact research</x:v>
      </x:c>
      <x:c r="S1093" s="43" t="str">
        <x:v>Not reviewed</x:v>
      </x:c>
      <x:c r="T1093" s="43" t="str">
        <x:v>Hold</x:v>
      </x:c>
      <x:c r="U1093" s="43" t="str">
        <x:v>No</x:v>
      </x:c>
      <x:c r="V1093" s="44"/>
      <x:c r="W1093" s="43" t="str"/>
      <x:c r="X1093" s="43" t="str"/>
      <x:c r="Y1093" s="43" t="str"/>
      <x:c r="Z1093" s="43" t="str">
        <x:v>https://www.get-information-schools.service.gov.uk/Downloads</x:v>
      </x:c>
    </x:row>
    <x:row r="1094">
      <x:c r="A1094" s="43" t="str">
        <x:v>UK independent</x:v>
      </x:c>
      <x:c r="B1094" s="43" t="str">
        <x:v>115391</x:v>
      </x:c>
      <x:c r="C1094" s="43" t="n">
        <x:f>IF(K1094="Boarding school",30,0)+IF(J1094&gt;=18,20,0)+IF(I1094&lt;=11,10,0)+IF(L1094="Has a sixth form",15,0)+IF(M1094&gt;=200,10,0)+IF(N1094&lt;&gt;"",10,0)</x:f>
        <x:v>20</x:v>
      </x:c>
      <x:c r="D1094" s="43" t="str">
        <x:f>IF(C1094&gt;=85,"A",IF(C1094&gt;=65,"B","C"))</x:f>
        <x:v>C</x:v>
      </x:c>
      <x:c r="E1094" s="43" t="str">
        <x:v>Widford Lodge School</x:v>
      </x:c>
      <x:c r="F1094" s="43" t="str">
        <x:v>Chelmsford</x:v>
      </x:c>
      <x:c r="G1094" s="43" t="str">
        <x:v>Essex</x:v>
      </x:c>
      <x:c r="H1094" s="43" t="str">
        <x:v>CM2 9AN</x:v>
      </x:c>
      <x:c r="I1094" s="43" t="n">
        <x:v>2</x:v>
      </x:c>
      <x:c r="J1094" s="43" t="n">
        <x:v>11</x:v>
      </x:c>
      <x:c r="K1094" s="43" t="str">
        <x:v>No boarders</x:v>
      </x:c>
      <x:c r="L1094" s="43" t="str">
        <x:v>Does not have a sixth form</x:v>
      </x:c>
      <x:c r="M1094" s="43" t="n">
        <x:v>179</x:v>
      </x:c>
      <x:c r="N1094" s="43" t="str">
        <x:v>https://www.widfordlodge.co.uk</x:v>
      </x:c>
      <x:c r="O1094" s="43" t="str">
        <x:v>01245352581</x:v>
      </x:c>
      <x:c r="P1094" s="43" t="str"/>
      <x:c r="Q1094" s="43" t="str"/>
      <x:c r="R1094" s="43" t="str">
        <x:v>Queued for contact research</x:v>
      </x:c>
      <x:c r="S1094" s="43" t="str">
        <x:v>Not reviewed</x:v>
      </x:c>
      <x:c r="T1094" s="43" t="str">
        <x:v>Hold</x:v>
      </x:c>
      <x:c r="U1094" s="43" t="str">
        <x:v>No</x:v>
      </x:c>
      <x:c r="V1094" s="44"/>
      <x:c r="W1094" s="43" t="str"/>
      <x:c r="X1094" s="43" t="str"/>
      <x:c r="Y1094" s="43" t="str"/>
      <x:c r="Z1094" s="43" t="str">
        <x:v>https://www.get-information-schools.service.gov.uk/Downloads</x:v>
      </x:c>
    </x:row>
    <x:row r="1095">
      <x:c r="A1095" s="43" t="str">
        <x:v>UK independent</x:v>
      </x:c>
      <x:c r="B1095" s="43" t="str">
        <x:v>104723</x:v>
      </x:c>
      <x:c r="C1095" s="43" t="n">
        <x:f>IF(K1095="Boarding school",30,0)+IF(J1095&gt;=18,20,0)+IF(I1095&lt;=11,10,0)+IF(L1095="Has a sixth form",15,0)+IF(M1095&gt;=200,10,0)+IF(N1095&lt;&gt;"",10,0)</x:f>
        <x:v>20</x:v>
      </x:c>
      <x:c r="D1095" s="43" t="str">
        <x:f>IF(C1095&gt;=85,"A",IF(C1095&gt;=65,"B","C"))</x:f>
        <x:v>C</x:v>
      </x:c>
      <x:c r="E1095" s="43" t="str">
        <x:v>Carleton House Preparatory School</x:v>
      </x:c>
      <x:c r="F1095" s="43" t="str"/>
      <x:c r="G1095" s="43" t="str"/>
      <x:c r="H1095" s="43" t="str">
        <x:v>L18 3EE</x:v>
      </x:c>
      <x:c r="I1095" s="43" t="n">
        <x:v>3</x:v>
      </x:c>
      <x:c r="J1095" s="43" t="n">
        <x:v>11</x:v>
      </x:c>
      <x:c r="K1095" s="43" t="str">
        <x:v>No boarders</x:v>
      </x:c>
      <x:c r="L1095" s="43" t="str">
        <x:v>Does not have a sixth form</x:v>
      </x:c>
      <x:c r="M1095" s="43" t="n">
        <x:v>178</x:v>
      </x:c>
      <x:c r="N1095" s="43" t="str">
        <x:v>https://www.carletonhouse.co.uk</x:v>
      </x:c>
      <x:c r="O1095" s="43" t="str">
        <x:v>01517220756</x:v>
      </x:c>
      <x:c r="P1095" s="43" t="str"/>
      <x:c r="Q1095" s="43" t="str"/>
      <x:c r="R1095" s="43" t="str">
        <x:v>Queued for contact research</x:v>
      </x:c>
      <x:c r="S1095" s="43" t="str">
        <x:v>Not reviewed</x:v>
      </x:c>
      <x:c r="T1095" s="43" t="str">
        <x:v>Hold</x:v>
      </x:c>
      <x:c r="U1095" s="43" t="str">
        <x:v>No</x:v>
      </x:c>
      <x:c r="V1095" s="44"/>
      <x:c r="W1095" s="43" t="str"/>
      <x:c r="X1095" s="43" t="str"/>
      <x:c r="Y1095" s="43" t="str"/>
      <x:c r="Z1095" s="43" t="str">
        <x:v>https://www.get-information-schools.service.gov.uk/Downloads</x:v>
      </x:c>
    </x:row>
    <x:row r="1096">
      <x:c r="A1096" s="43" t="str">
        <x:v>UK independent</x:v>
      </x:c>
      <x:c r="B1096" s="43" t="str">
        <x:v>104265</x:v>
      </x:c>
      <x:c r="C1096" s="43" t="n">
        <x:f>IF(K1096="Boarding school",30,0)+IF(J1096&gt;=18,20,0)+IF(I1096&lt;=11,10,0)+IF(L1096="Has a sixth form",15,0)+IF(M1096&gt;=200,10,0)+IF(N1096&lt;&gt;"",10,0)</x:f>
        <x:v>20</x:v>
      </x:c>
      <x:c r="D1096" s="43" t="str">
        <x:f>IF(C1096&gt;=85,"A",IF(C1096&gt;=65,"B","C"))</x:f>
        <x:v>C</x:v>
      </x:c>
      <x:c r="E1096" s="43" t="str">
        <x:v>Mayfield Preparatory School</x:v>
      </x:c>
      <x:c r="F1096" s="43" t="str"/>
      <x:c r="G1096" s="43" t="str"/>
      <x:c r="H1096" s="43" t="str">
        <x:v>WS1 2PD</x:v>
      </x:c>
      <x:c r="I1096" s="43" t="n">
        <x:v>2</x:v>
      </x:c>
      <x:c r="J1096" s="43" t="n">
        <x:v>11</x:v>
      </x:c>
      <x:c r="K1096" s="43" t="str">
        <x:v>No boarders</x:v>
      </x:c>
      <x:c r="L1096" s="43" t="str">
        <x:v>Does not have a sixth form</x:v>
      </x:c>
      <x:c r="M1096" s="43" t="n">
        <x:v>178</x:v>
      </x:c>
      <x:c r="N1096" s="43" t="str">
        <x:v>https://www.mayfieldprep.co.uk</x:v>
      </x:c>
      <x:c r="O1096" s="43" t="str">
        <x:v>01922624107</x:v>
      </x:c>
      <x:c r="P1096" s="43" t="str"/>
      <x:c r="Q1096" s="43" t="str"/>
      <x:c r="R1096" s="43" t="str">
        <x:v>Queued for contact research</x:v>
      </x:c>
      <x:c r="S1096" s="43" t="str">
        <x:v>Not reviewed</x:v>
      </x:c>
      <x:c r="T1096" s="43" t="str">
        <x:v>Hold</x:v>
      </x:c>
      <x:c r="U1096" s="43" t="str">
        <x:v>No</x:v>
      </x:c>
      <x:c r="V1096" s="44"/>
      <x:c r="W1096" s="43" t="str"/>
      <x:c r="X1096" s="43" t="str"/>
      <x:c r="Y1096" s="43" t="str"/>
      <x:c r="Z1096" s="43" t="str">
        <x:v>https://www.get-information-schools.service.gov.uk/Downloads</x:v>
      </x:c>
    </x:row>
    <x:row r="1097">
      <x:c r="A1097" s="43" t="str">
        <x:v>UK independent</x:v>
      </x:c>
      <x:c r="B1097" s="43" t="str">
        <x:v>107165</x:v>
      </x:c>
      <x:c r="C1097" s="43" t="n">
        <x:f>IF(K1097="Boarding school",30,0)+IF(J1097&gt;=18,20,0)+IF(I1097&lt;=11,10,0)+IF(L1097="Has a sixth form",15,0)+IF(M1097&gt;=200,10,0)+IF(N1097&lt;&gt;"",10,0)</x:f>
        <x:v>20</x:v>
      </x:c>
      <x:c r="D1097" s="43" t="str">
        <x:f>IF(C1097&gt;=85,"A",IF(C1097&gt;=65,"B","C"))</x:f>
        <x:v>C</x:v>
      </x:c>
      <x:c r="E1097" s="43" t="str">
        <x:v>Mylnhurst Preparatory School and Nursery</x:v>
      </x:c>
      <x:c r="F1097" s="43" t="str">
        <x:v>Sheffield</x:v>
      </x:c>
      <x:c r="G1097" s="43" t="str">
        <x:v>South Yorkshire</x:v>
      </x:c>
      <x:c r="H1097" s="43" t="str">
        <x:v>S11 9HJ</x:v>
      </x:c>
      <x:c r="I1097" s="43" t="n">
        <x:v>2</x:v>
      </x:c>
      <x:c r="J1097" s="43" t="n">
        <x:v>11</x:v>
      </x:c>
      <x:c r="K1097" s="43" t="str">
        <x:v>No boarders</x:v>
      </x:c>
      <x:c r="L1097" s="43" t="str">
        <x:v>Does not have a sixth form</x:v>
      </x:c>
      <x:c r="M1097" s="43" t="n">
        <x:v>176</x:v>
      </x:c>
      <x:c r="N1097" s="43" t="str">
        <x:v>https://www.mylnhurst.co.uk</x:v>
      </x:c>
      <x:c r="O1097" s="43" t="str">
        <x:v>01142361411</x:v>
      </x:c>
      <x:c r="P1097" s="43" t="str"/>
      <x:c r="Q1097" s="43" t="str"/>
      <x:c r="R1097" s="43" t="str">
        <x:v>Queued for contact research</x:v>
      </x:c>
      <x:c r="S1097" s="43" t="str">
        <x:v>Not reviewed</x:v>
      </x:c>
      <x:c r="T1097" s="43" t="str">
        <x:v>Hold</x:v>
      </x:c>
      <x:c r="U1097" s="43" t="str">
        <x:v>No</x:v>
      </x:c>
      <x:c r="V1097" s="44"/>
      <x:c r="W1097" s="43" t="str"/>
      <x:c r="X1097" s="43" t="str"/>
      <x:c r="Y1097" s="43" t="str"/>
      <x:c r="Z1097" s="43" t="str">
        <x:v>https://www.get-information-schools.service.gov.uk/Downloads</x:v>
      </x:c>
    </x:row>
    <x:row r="1098">
      <x:c r="A1098" s="43" t="str">
        <x:v>UK independent</x:v>
      </x:c>
      <x:c r="B1098" s="43" t="str">
        <x:v>104730</x:v>
      </x:c>
      <x:c r="C1098" s="43" t="n">
        <x:f>IF(K1098="Boarding school",30,0)+IF(J1098&gt;=18,20,0)+IF(I1098&lt;=11,10,0)+IF(L1098="Has a sixth form",15,0)+IF(M1098&gt;=200,10,0)+IF(N1098&lt;&gt;"",10,0)</x:f>
        <x:v>20</x:v>
      </x:c>
      <x:c r="D1098" s="43" t="str">
        <x:f>IF(C1098&gt;=85,"A",IF(C1098&gt;=65,"B","C"))</x:f>
        <x:v>C</x:v>
      </x:c>
      <x:c r="E1098" s="43" t="str">
        <x:v>Christian Fellowship School</x:v>
      </x:c>
      <x:c r="F1098" s="43" t="str">
        <x:v>Liverpool</x:v>
      </x:c>
      <x:c r="G1098" s="43" t="str">
        <x:v>Merseyside</x:v>
      </x:c>
      <x:c r="H1098" s="43" t="str">
        <x:v>L7 3HL</x:v>
      </x:c>
      <x:c r="I1098" s="43" t="n">
        <x:v>4</x:v>
      </x:c>
      <x:c r="J1098" s="43" t="n">
        <x:v>16</x:v>
      </x:c>
      <x:c r="K1098" s="43" t="str">
        <x:v>No boarders</x:v>
      </x:c>
      <x:c r="L1098" s="43" t="str">
        <x:v>Does not have a sixth form</x:v>
      </x:c>
      <x:c r="M1098" s="43" t="n">
        <x:v>175</x:v>
      </x:c>
      <x:c r="N1098" s="43" t="str">
        <x:v>https://www.cfschool.org.uk</x:v>
      </x:c>
      <x:c r="O1098" s="43" t="str">
        <x:v>01517091642</x:v>
      </x:c>
      <x:c r="P1098" s="43" t="str"/>
      <x:c r="Q1098" s="43" t="str"/>
      <x:c r="R1098" s="43" t="str">
        <x:v>Queued for contact research</x:v>
      </x:c>
      <x:c r="S1098" s="43" t="str">
        <x:v>Not reviewed</x:v>
      </x:c>
      <x:c r="T1098" s="43" t="str">
        <x:v>Hold</x:v>
      </x:c>
      <x:c r="U1098" s="43" t="str">
        <x:v>No</x:v>
      </x:c>
      <x:c r="V1098" s="44"/>
      <x:c r="W1098" s="43" t="str"/>
      <x:c r="X1098" s="43" t="str"/>
      <x:c r="Y1098" s="43" t="str"/>
      <x:c r="Z1098" s="43" t="str">
        <x:v>https://www.get-information-schools.service.gov.uk/Downloads</x:v>
      </x:c>
    </x:row>
    <x:row r="1099">
      <x:c r="A1099" s="43" t="str">
        <x:v>UK independent</x:v>
      </x:c>
      <x:c r="B1099" s="43" t="str">
        <x:v>122912</x:v>
      </x:c>
      <x:c r="C1099" s="43" t="n">
        <x:f>IF(K1099="Boarding school",30,0)+IF(J1099&gt;=18,20,0)+IF(I1099&lt;=11,10,0)+IF(L1099="Has a sixth form",15,0)+IF(M1099&gt;=200,10,0)+IF(N1099&lt;&gt;"",10,0)</x:f>
        <x:v>20</x:v>
      </x:c>
      <x:c r="D1099" s="43" t="str">
        <x:f>IF(C1099&gt;=85,"A",IF(C1099&gt;=65,"B","C"))</x:f>
        <x:v>C</x:v>
      </x:c>
      <x:c r="E1099" s="43" t="str">
        <x:v>Hollygirt School</x:v>
      </x:c>
      <x:c r="F1099" s="43" t="str">
        <x:v>Nottingham</x:v>
      </x:c>
      <x:c r="G1099" s="43" t="str">
        <x:v>Nottinghamshire</x:v>
      </x:c>
      <x:c r="H1099" s="43" t="str">
        <x:v>NG3 4GF</x:v>
      </x:c>
      <x:c r="I1099" s="43" t="n">
        <x:v>10</x:v>
      </x:c>
      <x:c r="J1099" s="43" t="n">
        <x:v>16</x:v>
      </x:c>
      <x:c r="K1099" s="43" t="str">
        <x:v>No boarders</x:v>
      </x:c>
      <x:c r="L1099" s="43" t="str">
        <x:v>Does not have a sixth form</x:v>
      </x:c>
      <x:c r="M1099" s="43" t="n">
        <x:v>175</x:v>
      </x:c>
      <x:c r="N1099" s="43" t="str">
        <x:v>https://www.hollygirt.co.uk</x:v>
      </x:c>
      <x:c r="O1099" s="43" t="str">
        <x:v>01159580596</x:v>
      </x:c>
      <x:c r="P1099" s="43" t="str"/>
      <x:c r="Q1099" s="43" t="str"/>
      <x:c r="R1099" s="43" t="str">
        <x:v>Queued for contact research</x:v>
      </x:c>
      <x:c r="S1099" s="43" t="str">
        <x:v>Not reviewed</x:v>
      </x:c>
      <x:c r="T1099" s="43" t="str">
        <x:v>Hold</x:v>
      </x:c>
      <x:c r="U1099" s="43" t="str">
        <x:v>No</x:v>
      </x:c>
      <x:c r="V1099" s="44"/>
      <x:c r="W1099" s="43" t="str"/>
      <x:c r="X1099" s="43" t="str"/>
      <x:c r="Y1099" s="43" t="str"/>
      <x:c r="Z1099" s="43" t="str">
        <x:v>https://www.get-information-schools.service.gov.uk/Downloads</x:v>
      </x:c>
    </x:row>
    <x:row r="1100">
      <x:c r="A1100" s="43" t="str">
        <x:v>UK independent</x:v>
      </x:c>
      <x:c r="B1100" s="43" t="str">
        <x:v>105598</x:v>
      </x:c>
      <x:c r="C1100" s="43" t="n">
        <x:f>IF(K1100="Boarding school",30,0)+IF(J1100&gt;=18,20,0)+IF(I1100&lt;=11,10,0)+IF(L1100="Has a sixth form",15,0)+IF(M1100&gt;=200,10,0)+IF(N1100&lt;&gt;"",10,0)</x:f>
        <x:v>20</x:v>
      </x:c>
      <x:c r="D1100" s="43" t="str">
        <x:f>IF(C1100&gt;=85,"A",IF(C1100&gt;=65,"B","C"))</x:f>
        <x:v>C</x:v>
      </x:c>
      <x:c r="E1100" s="43" t="str">
        <x:v>Manchester Muslim Preparatory School</x:v>
      </x:c>
      <x:c r="F1100" s="43" t="str">
        <x:v>Manchester</x:v>
      </x:c>
      <x:c r="G1100" s="43" t="str"/>
      <x:c r="H1100" s="43" t="str">
        <x:v>M20 2PQ</x:v>
      </x:c>
      <x:c r="I1100" s="43" t="n">
        <x:v>3</x:v>
      </x:c>
      <x:c r="J1100" s="43" t="n">
        <x:v>11</x:v>
      </x:c>
      <x:c r="K1100" s="43" t="str">
        <x:v>No boarders</x:v>
      </x:c>
      <x:c r="L1100" s="43" t="str">
        <x:v>Does not have a sixth form</x:v>
      </x:c>
      <x:c r="M1100" s="43" t="n">
        <x:v>175</x:v>
      </x:c>
      <x:c r="N1100" s="43" t="str">
        <x:v>https://www.mmps.miet.uk/</x:v>
      </x:c>
      <x:c r="O1100" s="43" t="str">
        <x:v>01614455452</x:v>
      </x:c>
      <x:c r="P1100" s="43" t="str"/>
      <x:c r="Q1100" s="43" t="str"/>
      <x:c r="R1100" s="43" t="str">
        <x:v>Queued for contact research</x:v>
      </x:c>
      <x:c r="S1100" s="43" t="str">
        <x:v>Not reviewed</x:v>
      </x:c>
      <x:c r="T1100" s="43" t="str">
        <x:v>Hold</x:v>
      </x:c>
      <x:c r="U1100" s="43" t="str">
        <x:v>No</x:v>
      </x:c>
      <x:c r="V1100" s="44"/>
      <x:c r="W1100" s="43" t="str"/>
      <x:c r="X1100" s="43" t="str"/>
      <x:c r="Y1100" s="43" t="str"/>
      <x:c r="Z1100" s="43" t="str">
        <x:v>https://www.get-information-schools.service.gov.uk/Downloads</x:v>
      </x:c>
    </x:row>
    <x:row r="1101">
      <x:c r="A1101" s="43" t="str">
        <x:v>UK independent</x:v>
      </x:c>
      <x:c r="B1101" s="43" t="str">
        <x:v>102061</x:v>
      </x:c>
      <x:c r="C1101" s="43" t="n">
        <x:f>IF(K1101="Boarding school",30,0)+IF(J1101&gt;=18,20,0)+IF(I1101&lt;=11,10,0)+IF(L1101="Has a sixth form",15,0)+IF(M1101&gt;=200,10,0)+IF(N1101&lt;&gt;"",10,0)</x:f>
        <x:v>20</x:v>
      </x:c>
      <x:c r="D1101" s="43" t="str">
        <x:f>IF(C1101&gt;=85,"A",IF(C1101&gt;=65,"B","C"))</x:f>
        <x:v>C</x:v>
      </x:c>
      <x:c r="E1101" s="43" t="str">
        <x:v>Palmers Green High School</x:v>
      </x:c>
      <x:c r="F1101" s="43" t="str"/>
      <x:c r="G1101" s="43" t="str"/>
      <x:c r="H1101" s="43" t="str">
        <x:v>N21 3LJ</x:v>
      </x:c>
      <x:c r="I1101" s="43" t="n">
        <x:v>4</x:v>
      </x:c>
      <x:c r="J1101" s="43" t="n">
        <x:v>16</x:v>
      </x:c>
      <x:c r="K1101" s="43" t="str">
        <x:v>No boarders</x:v>
      </x:c>
      <x:c r="L1101" s="43" t="str">
        <x:v>Does not have a sixth form</x:v>
      </x:c>
      <x:c r="M1101" s="43" t="n">
        <x:v>174</x:v>
      </x:c>
      <x:c r="N1101" s="43" t="str">
        <x:v>https://www.pghs.co.uk</x:v>
      </x:c>
      <x:c r="O1101" s="43" t="str">
        <x:v>02088861135</x:v>
      </x:c>
      <x:c r="P1101" s="43" t="str"/>
      <x:c r="Q1101" s="43" t="str"/>
      <x:c r="R1101" s="43" t="str">
        <x:v>Queued for contact research</x:v>
      </x:c>
      <x:c r="S1101" s="43" t="str">
        <x:v>Not reviewed</x:v>
      </x:c>
      <x:c r="T1101" s="43" t="str">
        <x:v>Hold</x:v>
      </x:c>
      <x:c r="U1101" s="43" t="str">
        <x:v>No</x:v>
      </x:c>
      <x:c r="V1101" s="44"/>
      <x:c r="W1101" s="43" t="str"/>
      <x:c r="X1101" s="43" t="str"/>
      <x:c r="Y1101" s="43" t="str"/>
      <x:c r="Z1101" s="43" t="str">
        <x:v>https://www.get-information-schools.service.gov.uk/Downloads</x:v>
      </x:c>
    </x:row>
    <x:row r="1102">
      <x:c r="A1102" s="43" t="str">
        <x:v>UK independent</x:v>
      </x:c>
      <x:c r="B1102" s="43" t="str">
        <x:v>118984</x:v>
      </x:c>
      <x:c r="C1102" s="43" t="n">
        <x:f>IF(K1102="Boarding school",30,0)+IF(J1102&gt;=18,20,0)+IF(I1102&lt;=11,10,0)+IF(L1102="Has a sixth form",15,0)+IF(M1102&gt;=200,10,0)+IF(N1102&lt;&gt;"",10,0)</x:f>
        <x:v>20</x:v>
      </x:c>
      <x:c r="D1102" s="43" t="str">
        <x:f>IF(C1102&gt;=85,"A",IF(C1102&gt;=65,"B","C"))</x:f>
        <x:v>C</x:v>
      </x:c>
      <x:c r="E1102" s="43" t="str">
        <x:v>Russell House School</x:v>
      </x:c>
      <x:c r="F1102" s="43" t="str">
        <x:v>Sevenoaks</x:v>
      </x:c>
      <x:c r="G1102" s="43" t="str">
        <x:v>Kent</x:v>
      </x:c>
      <x:c r="H1102" s="43" t="str">
        <x:v>TN14 5QU</x:v>
      </x:c>
      <x:c r="I1102" s="43" t="n">
        <x:v>2</x:v>
      </x:c>
      <x:c r="J1102" s="43" t="n">
        <x:v>11</x:v>
      </x:c>
      <x:c r="K1102" s="43" t="str">
        <x:v>No boarders</x:v>
      </x:c>
      <x:c r="L1102" s="43" t="str">
        <x:v>Does not have a sixth form</x:v>
      </x:c>
      <x:c r="M1102" s="43" t="n">
        <x:v>174</x:v>
      </x:c>
      <x:c r="N1102" s="43" t="str">
        <x:v>https://www.russellhouseschool.co.uk</x:v>
      </x:c>
      <x:c r="O1102" s="43" t="str">
        <x:v>01959522352</x:v>
      </x:c>
      <x:c r="P1102" s="43" t="str"/>
      <x:c r="Q1102" s="43" t="str"/>
      <x:c r="R1102" s="43" t="str">
        <x:v>Queued for contact research</x:v>
      </x:c>
      <x:c r="S1102" s="43" t="str">
        <x:v>Not reviewed</x:v>
      </x:c>
      <x:c r="T1102" s="43" t="str">
        <x:v>Hold</x:v>
      </x:c>
      <x:c r="U1102" s="43" t="str">
        <x:v>No</x:v>
      </x:c>
      <x:c r="V1102" s="44"/>
      <x:c r="W1102" s="43" t="str"/>
      <x:c r="X1102" s="43" t="str"/>
      <x:c r="Y1102" s="43" t="str"/>
      <x:c r="Z1102" s="43" t="str">
        <x:v>https://www.get-information-schools.service.gov.uk/Downloads</x:v>
      </x:c>
    </x:row>
    <x:row r="1103">
      <x:c r="A1103" s="43" t="str">
        <x:v>UK independent</x:v>
      </x:c>
      <x:c r="B1103" s="43" t="str">
        <x:v>101481</x:v>
      </x:c>
      <x:c r="C1103" s="43" t="n">
        <x:f>IF(K1103="Boarding school",30,0)+IF(J1103&gt;=18,20,0)+IF(I1103&lt;=11,10,0)+IF(L1103="Has a sixth form",15,0)+IF(M1103&gt;=200,10,0)+IF(N1103&lt;&gt;"",10,0)</x:f>
        <x:v>20</x:v>
      </x:c>
      <x:c r="D1103" s="43" t="str">
        <x:f>IF(C1103&gt;=85,"A",IF(C1103&gt;=65,"B","C"))</x:f>
        <x:v>C</x:v>
      </x:c>
      <x:c r="E1103" s="43" t="str">
        <x:v>West Lodge School</x:v>
      </x:c>
      <x:c r="F1103" s="43" t="str"/>
      <x:c r="G1103" s="43" t="str"/>
      <x:c r="H1103" s="43" t="str">
        <x:v>DA15 7DU</x:v>
      </x:c>
      <x:c r="I1103" s="43" t="n">
        <x:v>3</x:v>
      </x:c>
      <x:c r="J1103" s="43" t="n">
        <x:v>11</x:v>
      </x:c>
      <x:c r="K1103" s="43" t="str">
        <x:v>No boarders</x:v>
      </x:c>
      <x:c r="L1103" s="43" t="str">
        <x:v>Does not have a sixth form</x:v>
      </x:c>
      <x:c r="M1103" s="43" t="n">
        <x:v>174</x:v>
      </x:c>
      <x:c r="N1103" s="43" t="str">
        <x:v>https://www.westlodge.org.uk</x:v>
      </x:c>
      <x:c r="O1103" s="43" t="str">
        <x:v>02083002489</x:v>
      </x:c>
      <x:c r="P1103" s="43" t="str"/>
      <x:c r="Q1103" s="43" t="str"/>
      <x:c r="R1103" s="43" t="str">
        <x:v>Queued for contact research</x:v>
      </x:c>
      <x:c r="S1103" s="43" t="str">
        <x:v>Not reviewed</x:v>
      </x:c>
      <x:c r="T1103" s="43" t="str">
        <x:v>Hold</x:v>
      </x:c>
      <x:c r="U1103" s="43" t="str">
        <x:v>No</x:v>
      </x:c>
      <x:c r="V1103" s="44"/>
      <x:c r="W1103" s="43" t="str"/>
      <x:c r="X1103" s="43" t="str"/>
      <x:c r="Y1103" s="43" t="str"/>
      <x:c r="Z1103" s="43" t="str">
        <x:v>https://www.get-information-schools.service.gov.uk/Downloads</x:v>
      </x:c>
    </x:row>
    <x:row r="1104">
      <x:c r="A1104" s="43" t="str">
        <x:v>UK independent</x:v>
      </x:c>
      <x:c r="B1104" s="43" t="str">
        <x:v>132099</x:v>
      </x:c>
      <x:c r="C1104" s="43" t="n">
        <x:f>IF(K1104="Boarding school",30,0)+IF(J1104&gt;=18,20,0)+IF(I1104&lt;=11,10,0)+IF(L1104="Has a sixth form",15,0)+IF(M1104&gt;=200,10,0)+IF(N1104&lt;&gt;"",10,0)</x:f>
        <x:v>20</x:v>
      </x:c>
      <x:c r="D1104" s="43" t="str">
        <x:f>IF(C1104&gt;=85,"A",IF(C1104&gt;=65,"B","C"))</x:f>
        <x:v>C</x:v>
      </x:c>
      <x:c r="E1104" s="43" t="str">
        <x:v>Paradise Primary School</x:v>
      </x:c>
      <x:c r="F1104" s="43" t="str">
        <x:v>Dewsbury</x:v>
      </x:c>
      <x:c r="G1104" s="43" t="str">
        <x:v>West Yorkshire</x:v>
      </x:c>
      <x:c r="H1104" s="43" t="str">
        <x:v>WF12 9BB</x:v>
      </x:c>
      <x:c r="I1104" s="43" t="n">
        <x:v>2</x:v>
      </x:c>
      <x:c r="J1104" s="43" t="n">
        <x:v>11</x:v>
      </x:c>
      <x:c r="K1104" s="43" t="str">
        <x:v>No boarders</x:v>
      </x:c>
      <x:c r="L1104" s="43" t="str">
        <x:v>Does not have a sixth form</x:v>
      </x:c>
      <x:c r="M1104" s="43" t="n">
        <x:v>173</x:v>
      </x:c>
      <x:c r="N1104" s="43" t="str">
        <x:v>https://www.paradiseschool.org.uk</x:v>
      </x:c>
      <x:c r="O1104" s="43" t="str">
        <x:v>01924439803</x:v>
      </x:c>
      <x:c r="P1104" s="43" t="str"/>
      <x:c r="Q1104" s="43" t="str"/>
      <x:c r="R1104" s="43" t="str">
        <x:v>Queued for contact research</x:v>
      </x:c>
      <x:c r="S1104" s="43" t="str">
        <x:v>Not reviewed</x:v>
      </x:c>
      <x:c r="T1104" s="43" t="str">
        <x:v>Hold</x:v>
      </x:c>
      <x:c r="U1104" s="43" t="str">
        <x:v>No</x:v>
      </x:c>
      <x:c r="V1104" s="44"/>
      <x:c r="W1104" s="43" t="str"/>
      <x:c r="X1104" s="43" t="str"/>
      <x:c r="Y1104" s="43" t="str"/>
      <x:c r="Z1104" s="43" t="str">
        <x:v>https://www.get-information-schools.service.gov.uk/Downloads</x:v>
      </x:c>
    </x:row>
    <x:row r="1105">
      <x:c r="A1105" s="43" t="str">
        <x:v>UK independent</x:v>
      </x:c>
      <x:c r="B1105" s="43" t="str">
        <x:v>125437</x:v>
      </x:c>
      <x:c r="C1105" s="43" t="n">
        <x:f>IF(K1105="Boarding school",30,0)+IF(J1105&gt;=18,20,0)+IF(I1105&lt;=11,10,0)+IF(L1105="Has a sixth form",15,0)+IF(M1105&gt;=200,10,0)+IF(N1105&lt;&gt;"",10,0)</x:f>
        <x:v>20</x:v>
      </x:c>
      <x:c r="D1105" s="43" t="str">
        <x:f>IF(C1105&gt;=85,"A",IF(C1105&gt;=65,"B","C"))</x:f>
        <x:v>C</x:v>
      </x:c>
      <x:c r="E1105" s="43" t="str">
        <x:v>Weston Green Preparatory School</x:v>
      </x:c>
      <x:c r="F1105" s="43" t="str">
        <x:v>Thames Ditton</x:v>
      </x:c>
      <x:c r="G1105" s="43" t="str">
        <x:v>Surrey</x:v>
      </x:c>
      <x:c r="H1105" s="43" t="str">
        <x:v>KT7 0JN</x:v>
      </x:c>
      <x:c r="I1105" s="43" t="n">
        <x:v>2</x:v>
      </x:c>
      <x:c r="J1105" s="43" t="n">
        <x:v>11</x:v>
      </x:c>
      <x:c r="K1105" s="43" t="str">
        <x:v>No boarders</x:v>
      </x:c>
      <x:c r="L1105" s="43" t="str">
        <x:v>Does not have a sixth form</x:v>
      </x:c>
      <x:c r="M1105" s="43" t="n">
        <x:v>173</x:v>
      </x:c>
      <x:c r="N1105" s="43" t="str">
        <x:v>https://www.westongreenschool.org.uk</x:v>
      </x:c>
      <x:c r="O1105" s="43" t="str">
        <x:v>02083982778</x:v>
      </x:c>
      <x:c r="P1105" s="43" t="str"/>
      <x:c r="Q1105" s="43" t="str"/>
      <x:c r="R1105" s="43" t="str">
        <x:v>Queued for contact research</x:v>
      </x:c>
      <x:c r="S1105" s="43" t="str">
        <x:v>Not reviewed</x:v>
      </x:c>
      <x:c r="T1105" s="43" t="str">
        <x:v>Hold</x:v>
      </x:c>
      <x:c r="U1105" s="43" t="str">
        <x:v>No</x:v>
      </x:c>
      <x:c r="V1105" s="44"/>
      <x:c r="W1105" s="43" t="str"/>
      <x:c r="X1105" s="43" t="str"/>
      <x:c r="Y1105" s="43" t="str"/>
      <x:c r="Z1105" s="43" t="str">
        <x:v>https://www.get-information-schools.service.gov.uk/Downloads</x:v>
      </x:c>
    </x:row>
    <x:row r="1106">
      <x:c r="A1106" s="43" t="str">
        <x:v>UK independent</x:v>
      </x:c>
      <x:c r="B1106" s="43" t="str">
        <x:v>126111</x:v>
      </x:c>
      <x:c r="C1106" s="43" t="n">
        <x:f>IF(K1106="Boarding school",30,0)+IF(J1106&gt;=18,20,0)+IF(I1106&lt;=11,10,0)+IF(L1106="Has a sixth form",15,0)+IF(M1106&gt;=200,10,0)+IF(N1106&lt;&gt;"",10,0)</x:f>
        <x:v>20</x:v>
      </x:c>
      <x:c r="D1106" s="43" t="str">
        <x:f>IF(C1106&gt;=85,"A",IF(C1106&gt;=65,"B","C"))</x:f>
        <x:v>C</x:v>
      </x:c>
      <x:c r="E1106" s="43" t="str">
        <x:v>Pennthorpe School</x:v>
      </x:c>
      <x:c r="F1106" s="43" t="str">
        <x:v>Horsham</x:v>
      </x:c>
      <x:c r="G1106" s="43" t="str">
        <x:v>West Sussex</x:v>
      </x:c>
      <x:c r="H1106" s="43" t="str">
        <x:v>RH12 3HJ</x:v>
      </x:c>
      <x:c r="I1106" s="43" t="n">
        <x:v>2</x:v>
      </x:c>
      <x:c r="J1106" s="43" t="n">
        <x:v>13</x:v>
      </x:c>
      <x:c r="K1106" s="43" t="str">
        <x:v>No boarders</x:v>
      </x:c>
      <x:c r="L1106" s="43" t="str">
        <x:v>Does not have a sixth form</x:v>
      </x:c>
      <x:c r="M1106" s="43" t="n">
        <x:v>172</x:v>
      </x:c>
      <x:c r="N1106" s="43" t="str">
        <x:v>https://www.pennthorpe.com</x:v>
      </x:c>
      <x:c r="O1106" s="43" t="str">
        <x:v>01403822391</x:v>
      </x:c>
      <x:c r="P1106" s="43" t="str"/>
      <x:c r="Q1106" s="43" t="str"/>
      <x:c r="R1106" s="43" t="str">
        <x:v>Queued for contact research</x:v>
      </x:c>
      <x:c r="S1106" s="43" t="str">
        <x:v>Not reviewed</x:v>
      </x:c>
      <x:c r="T1106" s="43" t="str">
        <x:v>Hold</x:v>
      </x:c>
      <x:c r="U1106" s="43" t="str">
        <x:v>No</x:v>
      </x:c>
      <x:c r="V1106" s="44"/>
      <x:c r="W1106" s="43" t="str"/>
      <x:c r="X1106" s="43" t="str"/>
      <x:c r="Y1106" s="43" t="str"/>
      <x:c r="Z1106" s="43" t="str">
        <x:v>https://www.get-information-schools.service.gov.uk/Downloads</x:v>
      </x:c>
    </x:row>
    <x:row r="1107">
      <x:c r="A1107" s="43" t="str">
        <x:v>UK independent</x:v>
      </x:c>
      <x:c r="B1107" s="43" t="str">
        <x:v>101484</x:v>
      </x:c>
      <x:c r="C1107" s="43" t="n">
        <x:f>IF(K1107="Boarding school",30,0)+IF(J1107&gt;=18,20,0)+IF(I1107&lt;=11,10,0)+IF(L1107="Has a sixth form",15,0)+IF(M1107&gt;=200,10,0)+IF(N1107&lt;&gt;"",10,0)</x:f>
        <x:v>20</x:v>
      </x:c>
      <x:c r="D1107" s="43" t="str">
        <x:f>IF(C1107&gt;=85,"A",IF(C1107&gt;=65,"B","C"))</x:f>
        <x:v>C</x:v>
      </x:c>
      <x:c r="E1107" s="43" t="str">
        <x:v>Benedict House Preparatory School</x:v>
      </x:c>
      <x:c r="F1107" s="43" t="str">
        <x:v>Sidcup</x:v>
      </x:c>
      <x:c r="G1107" s="43" t="str">
        <x:v>Kent</x:v>
      </x:c>
      <x:c r="H1107" s="43" t="str">
        <x:v>DA15 7HD</x:v>
      </x:c>
      <x:c r="I1107" s="43" t="n">
        <x:v>2</x:v>
      </x:c>
      <x:c r="J1107" s="43" t="n">
        <x:v>11</x:v>
      </x:c>
      <x:c r="K1107" s="43" t="str">
        <x:v>No boarders</x:v>
      </x:c>
      <x:c r="L1107" s="43" t="str">
        <x:v>Does not have a sixth form</x:v>
      </x:c>
      <x:c r="M1107" s="43" t="n">
        <x:v>170</x:v>
      </x:c>
      <x:c r="N1107" s="43" t="str">
        <x:v>http://www.benedicthouseprepschool.co.uk/</x:v>
      </x:c>
      <x:c r="O1107" s="43" t="str">
        <x:v>02083007206</x:v>
      </x:c>
      <x:c r="P1107" s="43" t="str"/>
      <x:c r="Q1107" s="43" t="str"/>
      <x:c r="R1107" s="43" t="str">
        <x:v>Queued for contact research</x:v>
      </x:c>
      <x:c r="S1107" s="43" t="str">
        <x:v>Not reviewed</x:v>
      </x:c>
      <x:c r="T1107" s="43" t="str">
        <x:v>Hold</x:v>
      </x:c>
      <x:c r="U1107" s="43" t="str">
        <x:v>No</x:v>
      </x:c>
      <x:c r="V1107" s="44"/>
      <x:c r="W1107" s="43" t="str"/>
      <x:c r="X1107" s="43" t="str"/>
      <x:c r="Y1107" s="43" t="str"/>
      <x:c r="Z1107" s="43" t="str">
        <x:v>https://www.get-information-schools.service.gov.uk/Downloads</x:v>
      </x:c>
    </x:row>
    <x:row r="1108">
      <x:c r="A1108" s="43" t="str">
        <x:v>UK independent</x:v>
      </x:c>
      <x:c r="B1108" s="43" t="str">
        <x:v>137273</x:v>
      </x:c>
      <x:c r="C1108" s="43" t="n">
        <x:f>IF(K1108="Boarding school",30,0)+IF(J1108&gt;=18,20,0)+IF(I1108&lt;=11,10,0)+IF(L1108="Has a sixth form",15,0)+IF(M1108&gt;=200,10,0)+IF(N1108&lt;&gt;"",10,0)</x:f>
        <x:v>20</x:v>
      </x:c>
      <x:c r="D1108" s="43" t="str">
        <x:f>IF(C1108&gt;=85,"A",IF(C1108&gt;=65,"B","C"))</x:f>
        <x:v>C</x:v>
      </x:c>
      <x:c r="E1108" s="43" t="str">
        <x:v>Tarbiyyah Primary School</x:v>
      </x:c>
      <x:c r="F1108" s="43" t="str">
        <x:v>Hounslow</x:v>
      </x:c>
      <x:c r="G1108" s="43" t="str">
        <x:v>Middlesex</x:v>
      </x:c>
      <x:c r="H1108" s="43" t="str">
        <x:v>TW5 0LJ</x:v>
      </x:c>
      <x:c r="I1108" s="43" t="n">
        <x:v>3</x:v>
      </x:c>
      <x:c r="J1108" s="43" t="n">
        <x:v>11</x:v>
      </x:c>
      <x:c r="K1108" s="43" t="str">
        <x:v>No boarders</x:v>
      </x:c>
      <x:c r="L1108" s="43" t="str">
        <x:v>Does not have a sixth form</x:v>
      </x:c>
      <x:c r="M1108" s="43" t="n">
        <x:v>170</x:v>
      </x:c>
      <x:c r="N1108" s="43" t="str">
        <x:v>https://www.tarbiyyah.co.uk</x:v>
      </x:c>
      <x:c r="O1108" s="43" t="str">
        <x:v>02037198697</x:v>
      </x:c>
      <x:c r="P1108" s="43" t="str"/>
      <x:c r="Q1108" s="43" t="str"/>
      <x:c r="R1108" s="43" t="str">
        <x:v>Queued for contact research</x:v>
      </x:c>
      <x:c r="S1108" s="43" t="str">
        <x:v>Not reviewed</x:v>
      </x:c>
      <x:c r="T1108" s="43" t="str">
        <x:v>Hold</x:v>
      </x:c>
      <x:c r="U1108" s="43" t="str">
        <x:v>No</x:v>
      </x:c>
      <x:c r="V1108" s="44"/>
      <x:c r="W1108" s="43" t="str"/>
      <x:c r="X1108" s="43" t="str"/>
      <x:c r="Y1108" s="43" t="str"/>
      <x:c r="Z1108" s="43" t="str">
        <x:v>https://www.get-information-schools.service.gov.uk/Downloads</x:v>
      </x:c>
    </x:row>
    <x:row r="1109">
      <x:c r="A1109" s="43" t="str">
        <x:v>UK independent</x:v>
      </x:c>
      <x:c r="B1109" s="43" t="str">
        <x:v>118974</x:v>
      </x:c>
      <x:c r="C1109" s="43" t="n">
        <x:f>IF(K1109="Boarding school",30,0)+IF(J1109&gt;=18,20,0)+IF(I1109&lt;=11,10,0)+IF(L1109="Has a sixth form",15,0)+IF(M1109&gt;=200,10,0)+IF(N1109&lt;&gt;"",10,0)</x:f>
        <x:v>20</x:v>
      </x:c>
      <x:c r="D1109" s="43" t="str">
        <x:f>IF(C1109&gt;=85,"A",IF(C1109&gt;=65,"B","C"))</x:f>
        <x:v>C</x:v>
      </x:c>
      <x:c r="E1109" s="43" t="str">
        <x:v>Hilden Oaks Preparatory School and Nursery</x:v>
      </x:c>
      <x:c r="F1109" s="43" t="str">
        <x:v>Tonbridge</x:v>
      </x:c>
      <x:c r="G1109" s="43" t="str">
        <x:v>Kent</x:v>
      </x:c>
      <x:c r="H1109" s="43" t="str">
        <x:v>TN10 3BU</x:v>
      </x:c>
      <x:c r="I1109" s="43" t="n">
        <x:v>0</x:v>
      </x:c>
      <x:c r="J1109" s="43" t="n">
        <x:v>11</x:v>
      </x:c>
      <x:c r="K1109" s="43" t="str">
        <x:v>No boarders</x:v>
      </x:c>
      <x:c r="L1109" s="43" t="str">
        <x:v>Does not have a sixth form</x:v>
      </x:c>
      <x:c r="M1109" s="43" t="n">
        <x:v>169</x:v>
      </x:c>
      <x:c r="N1109" s="43" t="str">
        <x:v>https://www.hildenoaks.co.uk</x:v>
      </x:c>
      <x:c r="O1109" s="43" t="str">
        <x:v>01732353941</x:v>
      </x:c>
      <x:c r="P1109" s="43" t="str"/>
      <x:c r="Q1109" s="43" t="str"/>
      <x:c r="R1109" s="43" t="str">
        <x:v>Queued for contact research</x:v>
      </x:c>
      <x:c r="S1109" s="43" t="str">
        <x:v>Not reviewed</x:v>
      </x:c>
      <x:c r="T1109" s="43" t="str">
        <x:v>Hold</x:v>
      </x:c>
      <x:c r="U1109" s="43" t="str">
        <x:v>No</x:v>
      </x:c>
      <x:c r="V1109" s="44"/>
      <x:c r="W1109" s="43" t="str"/>
      <x:c r="X1109" s="43" t="str"/>
      <x:c r="Y1109" s="43" t="str"/>
      <x:c r="Z1109" s="43" t="str">
        <x:v>https://www.get-information-schools.service.gov.uk/Downloads</x:v>
      </x:c>
    </x:row>
    <x:row r="1110">
      <x:c r="A1110" s="43" t="str">
        <x:v>UK independent</x:v>
      </x:c>
      <x:c r="B1110" s="43" t="str">
        <x:v>117650</x:v>
      </x:c>
      <x:c r="C1110" s="43" t="n">
        <x:f>IF(K1110="Boarding school",30,0)+IF(J1110&gt;=18,20,0)+IF(I1110&lt;=11,10,0)+IF(L1110="Has a sixth form",15,0)+IF(M1110&gt;=200,10,0)+IF(N1110&lt;&gt;"",10,0)</x:f>
        <x:v>20</x:v>
      </x:c>
      <x:c r="D1110" s="43" t="str">
        <x:f>IF(C1110&gt;=85,"A",IF(C1110&gt;=65,"B","C"))</x:f>
        <x:v>C</x:v>
      </x:c>
      <x:c r="E1110" s="43" t="str">
        <x:v>The King's School</x:v>
      </x:c>
      <x:c r="F1110" s="43" t="str">
        <x:v>Harpenden</x:v>
      </x:c>
      <x:c r="G1110" s="43" t="str">
        <x:v>Hertfordshire</x:v>
      </x:c>
      <x:c r="H1110" s="43" t="str">
        <x:v>AL5 4DU</x:v>
      </x:c>
      <x:c r="I1110" s="43" t="n">
        <x:v>4</x:v>
      </x:c>
      <x:c r="J1110" s="43" t="n">
        <x:v>16</x:v>
      </x:c>
      <x:c r="K1110" s="43" t="str">
        <x:v>No boarders</x:v>
      </x:c>
      <x:c r="L1110" s="43" t="str">
        <x:v>Does not have a sixth form</x:v>
      </x:c>
      <x:c r="M1110" s="43" t="n">
        <x:v>169</x:v>
      </x:c>
      <x:c r="N1110" s="43" t="str">
        <x:v>https://www.thekingsschool.com</x:v>
      </x:c>
      <x:c r="O1110" s="43" t="str">
        <x:v>01582767566</x:v>
      </x:c>
      <x:c r="P1110" s="43" t="str"/>
      <x:c r="Q1110" s="43" t="str"/>
      <x:c r="R1110" s="43" t="str">
        <x:v>Queued for contact research</x:v>
      </x:c>
      <x:c r="S1110" s="43" t="str">
        <x:v>Not reviewed</x:v>
      </x:c>
      <x:c r="T1110" s="43" t="str">
        <x:v>Hold</x:v>
      </x:c>
      <x:c r="U1110" s="43" t="str">
        <x:v>No</x:v>
      </x:c>
      <x:c r="V1110" s="44"/>
      <x:c r="W1110" s="43" t="str"/>
      <x:c r="X1110" s="43" t="str"/>
      <x:c r="Y1110" s="43" t="str"/>
      <x:c r="Z1110" s="43" t="str">
        <x:v>https://www.get-information-schools.service.gov.uk/Downloads</x:v>
      </x:c>
    </x:row>
    <x:row r="1111">
      <x:c r="A1111" s="43" t="str">
        <x:v>UK independent</x:v>
      </x:c>
      <x:c r="B1111" s="43" t="str">
        <x:v>103019</x:v>
      </x:c>
      <x:c r="C1111" s="43" t="n">
        <x:f>IF(K1111="Boarding school",30,0)+IF(J1111&gt;=18,20,0)+IF(I1111&lt;=11,10,0)+IF(L1111="Has a sixth form",15,0)+IF(M1111&gt;=200,10,0)+IF(N1111&lt;&gt;"",10,0)</x:f>
        <x:v>20</x:v>
      </x:c>
      <x:c r="D1111" s="43" t="str">
        <x:f>IF(C1111&gt;=85,"A",IF(C1111&gt;=65,"B","C"))</x:f>
        <x:v>C</x:v>
      </x:c>
      <x:c r="E1111" s="43" t="str">
        <x:v>Seaton House School</x:v>
      </x:c>
      <x:c r="F1111" s="43" t="str"/>
      <x:c r="G1111" s="43" t="str"/>
      <x:c r="H1111" s="43" t="str">
        <x:v>SM2 5LH</x:v>
      </x:c>
      <x:c r="I1111" s="43" t="n">
        <x:v>2</x:v>
      </x:c>
      <x:c r="J1111" s="43" t="n">
        <x:v>11</x:v>
      </x:c>
      <x:c r="K1111" s="43" t="str">
        <x:v>No boarders</x:v>
      </x:c>
      <x:c r="L1111" s="43" t="str">
        <x:v>Does not have a sixth form</x:v>
      </x:c>
      <x:c r="M1111" s="43" t="n">
        <x:v>168</x:v>
      </x:c>
      <x:c r="N1111" s="43" t="str">
        <x:v>https://www.seatonhouse.sutton.sch.uk</x:v>
      </x:c>
      <x:c r="O1111" s="43" t="str">
        <x:v>02086422332</x:v>
      </x:c>
      <x:c r="P1111" s="43" t="str"/>
      <x:c r="Q1111" s="43" t="str"/>
      <x:c r="R1111" s="43" t="str">
        <x:v>Queued for contact research</x:v>
      </x:c>
      <x:c r="S1111" s="43" t="str">
        <x:v>Not reviewed</x:v>
      </x:c>
      <x:c r="T1111" s="43" t="str">
        <x:v>Hold</x:v>
      </x:c>
      <x:c r="U1111" s="43" t="str">
        <x:v>No</x:v>
      </x:c>
      <x:c r="V1111" s="44"/>
      <x:c r="W1111" s="43" t="str"/>
      <x:c r="X1111" s="43" t="str"/>
      <x:c r="Y1111" s="43" t="str"/>
      <x:c r="Z1111" s="43" t="str">
        <x:v>https://www.get-information-schools.service.gov.uk/Downloads</x:v>
      </x:c>
    </x:row>
    <x:row r="1112">
      <x:c r="A1112" s="43" t="str">
        <x:v>UK independent</x:v>
      </x:c>
      <x:c r="B1112" s="43" t="str">
        <x:v>125406</x:v>
      </x:c>
      <x:c r="C1112" s="43" t="n">
        <x:f>IF(K1112="Boarding school",30,0)+IF(J1112&gt;=18,20,0)+IF(I1112&lt;=11,10,0)+IF(L1112="Has a sixth form",15,0)+IF(M1112&gt;=200,10,0)+IF(N1112&lt;&gt;"",10,0)</x:f>
        <x:v>20</x:v>
      </x:c>
      <x:c r="D1112" s="43" t="str">
        <x:f>IF(C1112&gt;=85,"A",IF(C1112&gt;=65,"B","C"))</x:f>
        <x:v>C</x:v>
      </x:c>
      <x:c r="E1112" s="43" t="str">
        <x:v>Copthorne Preparatory School</x:v>
      </x:c>
      <x:c r="F1112" s="43" t="str">
        <x:v>Crawley</x:v>
      </x:c>
      <x:c r="G1112" s="43" t="str">
        <x:v>West Sussex</x:v>
      </x:c>
      <x:c r="H1112" s="43" t="str">
        <x:v>RH10 3HR</x:v>
      </x:c>
      <x:c r="I1112" s="43" t="n">
        <x:v>2</x:v>
      </x:c>
      <x:c r="J1112" s="43" t="n">
        <x:v>11</x:v>
      </x:c>
      <x:c r="K1112" s="43" t="str">
        <x:v>No boarders</x:v>
      </x:c>
      <x:c r="L1112" s="43" t="str">
        <x:v>Does not have a sixth form</x:v>
      </x:c>
      <x:c r="M1112" s="43" t="n">
        <x:v>167</x:v>
      </x:c>
      <x:c r="N1112" s="43" t="str">
        <x:v>https://www.copthorneprep.co.uk</x:v>
      </x:c>
      <x:c r="O1112" s="43" t="str">
        <x:v>01342712311</x:v>
      </x:c>
      <x:c r="P1112" s="43" t="str"/>
      <x:c r="Q1112" s="43" t="str"/>
      <x:c r="R1112" s="43" t="str">
        <x:v>Queued for contact research</x:v>
      </x:c>
      <x:c r="S1112" s="43" t="str">
        <x:v>Not reviewed</x:v>
      </x:c>
      <x:c r="T1112" s="43" t="str">
        <x:v>Hold</x:v>
      </x:c>
      <x:c r="U1112" s="43" t="str">
        <x:v>No</x:v>
      </x:c>
      <x:c r="V1112" s="44"/>
      <x:c r="W1112" s="43" t="str"/>
      <x:c r="X1112" s="43" t="str"/>
      <x:c r="Y1112" s="43" t="str"/>
      <x:c r="Z1112" s="43" t="str">
        <x:v>https://www.get-information-schools.service.gov.uk/Downloads</x:v>
      </x:c>
    </x:row>
    <x:row r="1113">
      <x:c r="A1113" s="43" t="str">
        <x:v>UK independent</x:v>
      </x:c>
      <x:c r="B1113" s="43" t="str">
        <x:v>113927</x:v>
      </x:c>
      <x:c r="C1113" s="43" t="n">
        <x:f>IF(K1113="Boarding school",30,0)+IF(J1113&gt;=18,20,0)+IF(I1113&lt;=11,10,0)+IF(L1113="Has a sixth form",15,0)+IF(M1113&gt;=200,10,0)+IF(N1113&lt;&gt;"",10,0)</x:f>
        <x:v>20</x:v>
      </x:c>
      <x:c r="D1113" s="43" t="str">
        <x:f>IF(C1113&gt;=85,"A",IF(C1113&gt;=65,"B","C"))</x:f>
        <x:v>C</x:v>
      </x:c>
      <x:c r="E1113" s="43" t="str">
        <x:v>Sunninghill Preparatory School</x:v>
      </x:c>
      <x:c r="F1113" s="43" t="str">
        <x:v>Dorchester</x:v>
      </x:c>
      <x:c r="G1113" s="43" t="str">
        <x:v>Dorset</x:v>
      </x:c>
      <x:c r="H1113" s="43" t="str">
        <x:v>DT1 1EB</x:v>
      </x:c>
      <x:c r="I1113" s="43" t="n">
        <x:v>0</x:v>
      </x:c>
      <x:c r="J1113" s="43" t="n">
        <x:v>13</x:v>
      </x:c>
      <x:c r="K1113" s="43" t="str">
        <x:v>No boarders</x:v>
      </x:c>
      <x:c r="L1113" s="43" t="str">
        <x:v>Does not have a sixth form</x:v>
      </x:c>
      <x:c r="M1113" s="43" t="n">
        <x:v>167</x:v>
      </x:c>
      <x:c r="N1113" s="43" t="str">
        <x:v>http://www.sunninghillprep.co.uk</x:v>
      </x:c>
      <x:c r="O1113" s="43" t="str">
        <x:v>01305262306</x:v>
      </x:c>
      <x:c r="P1113" s="43" t="str"/>
      <x:c r="Q1113" s="43" t="str"/>
      <x:c r="R1113" s="43" t="str">
        <x:v>Queued for contact research</x:v>
      </x:c>
      <x:c r="S1113" s="43" t="str">
        <x:v>Not reviewed</x:v>
      </x:c>
      <x:c r="T1113" s="43" t="str">
        <x:v>Hold</x:v>
      </x:c>
      <x:c r="U1113" s="43" t="str">
        <x:v>No</x:v>
      </x:c>
      <x:c r="V1113" s="44"/>
      <x:c r="W1113" s="43" t="str"/>
      <x:c r="X1113" s="43" t="str"/>
      <x:c r="Y1113" s="43" t="str"/>
      <x:c r="Z1113" s="43" t="str">
        <x:v>https://www.get-information-schools.service.gov.uk/Downloads</x:v>
      </x:c>
    </x:row>
    <x:row r="1114">
      <x:c r="A1114" s="43" t="str">
        <x:v>UK independent</x:v>
      </x:c>
      <x:c r="B1114" s="43" t="str">
        <x:v>130857</x:v>
      </x:c>
      <x:c r="C1114" s="43" t="n">
        <x:f>IF(K1114="Boarding school",30,0)+IF(J1114&gt;=18,20,0)+IF(I1114&lt;=11,10,0)+IF(L1114="Has a sixth form",15,0)+IF(M1114&gt;=200,10,0)+IF(N1114&lt;&gt;"",10,0)</x:f>
        <x:v>20</x:v>
      </x:c>
      <x:c r="D1114" s="43" t="str">
        <x:f>IF(C1114&gt;=85,"A",IF(C1114&gt;=65,"B","C"))</x:f>
        <x:v>C</x:v>
      </x:c>
      <x:c r="E1114" s="43" t="str">
        <x:v>Crystal Gardens Primary School</x:v>
      </x:c>
      <x:c r="F1114" s="43" t="str">
        <x:v>Bradford</x:v>
      </x:c>
      <x:c r="G1114" s="43" t="str">
        <x:v>West Yorkshire</x:v>
      </x:c>
      <x:c r="H1114" s="43" t="str">
        <x:v>BD5 7PE</x:v>
      </x:c>
      <x:c r="I1114" s="43" t="n">
        <x:v>2</x:v>
      </x:c>
      <x:c r="J1114" s="43" t="n">
        <x:v>11</x:v>
      </x:c>
      <x:c r="K1114" s="43" t="str">
        <x:v>No boarders</x:v>
      </x:c>
      <x:c r="L1114" s="43" t="str">
        <x:v>Does not have a sixth form</x:v>
      </x:c>
      <x:c r="M1114" s="43" t="n">
        <x:v>166</x:v>
      </x:c>
      <x:c r="N1114" s="43" t="str">
        <x:v>https://crystalgardens.org.uk</x:v>
      </x:c>
      <x:c r="O1114" s="43" t="str">
        <x:v>01274573004</x:v>
      </x:c>
      <x:c r="P1114" s="43" t="str"/>
      <x:c r="Q1114" s="43" t="str"/>
      <x:c r="R1114" s="43" t="str">
        <x:v>Queued for contact research</x:v>
      </x:c>
      <x:c r="S1114" s="43" t="str">
        <x:v>Not reviewed</x:v>
      </x:c>
      <x:c r="T1114" s="43" t="str">
        <x:v>Hold</x:v>
      </x:c>
      <x:c r="U1114" s="43" t="str">
        <x:v>No</x:v>
      </x:c>
      <x:c r="V1114" s="44"/>
      <x:c r="W1114" s="43" t="str"/>
      <x:c r="X1114" s="43" t="str"/>
      <x:c r="Y1114" s="43" t="str"/>
      <x:c r="Z1114" s="43" t="str">
        <x:v>https://www.get-information-schools.service.gov.uk/Downloads</x:v>
      </x:c>
    </x:row>
    <x:row r="1115">
      <x:c r="A1115" s="43" t="str">
        <x:v>UK independent</x:v>
      </x:c>
      <x:c r="B1115" s="43" t="str">
        <x:v>102939</x:v>
      </x:c>
      <x:c r="C1115" s="43" t="n">
        <x:f>IF(K1115="Boarding school",30,0)+IF(J1115&gt;=18,20,0)+IF(I1115&lt;=11,10,0)+IF(L1115="Has a sixth form",15,0)+IF(M1115&gt;=200,10,0)+IF(N1115&lt;&gt;"",10,0)</x:f>
        <x:v>20</x:v>
      </x:c>
      <x:c r="D1115" s="43" t="str">
        <x:f>IF(C1115&gt;=85,"A",IF(C1115&gt;=65,"B","C"))</x:f>
        <x:v>C</x:v>
      </x:c>
      <x:c r="E1115" s="43" t="str">
        <x:v>Jack and Jill School</x:v>
      </x:c>
      <x:c r="F1115" s="43" t="str">
        <x:v>Hampton</x:v>
      </x:c>
      <x:c r="G1115" s="43" t="str"/>
      <x:c r="H1115" s="43" t="str">
        <x:v>TW12 3HX</x:v>
      </x:c>
      <x:c r="I1115" s="43" t="n">
        <x:v>2</x:v>
      </x:c>
      <x:c r="J1115" s="43" t="n">
        <x:v>11</x:v>
      </x:c>
      <x:c r="K1115" s="43" t="str">
        <x:v>No boarders</x:v>
      </x:c>
      <x:c r="L1115" s="43" t="str">
        <x:v>Does not have a sixth form</x:v>
      </x:c>
      <x:c r="M1115" s="43" t="n">
        <x:v>166</x:v>
      </x:c>
      <x:c r="N1115" s="43" t="str">
        <x:v>https://www.jackandjillschool.org.uk</x:v>
      </x:c>
      <x:c r="O1115" s="43" t="str">
        <x:v>03333444630</x:v>
      </x:c>
      <x:c r="P1115" s="43" t="str"/>
      <x:c r="Q1115" s="43" t="str"/>
      <x:c r="R1115" s="43" t="str">
        <x:v>Queued for contact research</x:v>
      </x:c>
      <x:c r="S1115" s="43" t="str">
        <x:v>Not reviewed</x:v>
      </x:c>
      <x:c r="T1115" s="43" t="str">
        <x:v>Hold</x:v>
      </x:c>
      <x:c r="U1115" s="43" t="str">
        <x:v>No</x:v>
      </x:c>
      <x:c r="V1115" s="44"/>
      <x:c r="W1115" s="43" t="str"/>
      <x:c r="X1115" s="43" t="str"/>
      <x:c r="Y1115" s="43" t="str"/>
      <x:c r="Z1115" s="43" t="str">
        <x:v>https://www.get-information-schools.service.gov.uk/Downloads</x:v>
      </x:c>
    </x:row>
    <x:row r="1116">
      <x:c r="A1116" s="43" t="str">
        <x:v>UK independent</x:v>
      </x:c>
      <x:c r="B1116" s="43" t="str">
        <x:v>115411</x:v>
      </x:c>
      <x:c r="C1116" s="43" t="n">
        <x:f>IF(K1116="Boarding school",30,0)+IF(J1116&gt;=18,20,0)+IF(I1116&lt;=11,10,0)+IF(L1116="Has a sixth form",15,0)+IF(M1116&gt;=200,10,0)+IF(N1116&lt;&gt;"",10,0)</x:f>
        <x:v>20</x:v>
      </x:c>
      <x:c r="D1116" s="43" t="str">
        <x:f>IF(C1116&gt;=85,"A",IF(C1116&gt;=65,"B","C"))</x:f>
        <x:v>C</x:v>
      </x:c>
      <x:c r="E1116" s="43" t="str">
        <x:v>Elm Green Preparatory School</x:v>
      </x:c>
      <x:c r="F1116" s="43" t="str">
        <x:v>Essex</x:v>
      </x:c>
      <x:c r="G1116" s="43" t="str"/>
      <x:c r="H1116" s="43" t="str">
        <x:v>CM3 4SU</x:v>
      </x:c>
      <x:c r="I1116" s="43" t="n">
        <x:v>3</x:v>
      </x:c>
      <x:c r="J1116" s="43" t="n">
        <x:v>11</x:v>
      </x:c>
      <x:c r="K1116" s="43" t="str">
        <x:v>No boarders</x:v>
      </x:c>
      <x:c r="L1116" s="43" t="str">
        <x:v>Does not have a sixth form</x:v>
      </x:c>
      <x:c r="M1116" s="43" t="n">
        <x:v>164</x:v>
      </x:c>
      <x:c r="N1116" s="43" t="str">
        <x:v>http://www.elmgreen.essex.sch.uk</x:v>
      </x:c>
      <x:c r="O1116" s="43" t="str">
        <x:v>01245225230</x:v>
      </x:c>
      <x:c r="P1116" s="43" t="str"/>
      <x:c r="Q1116" s="43" t="str"/>
      <x:c r="R1116" s="43" t="str">
        <x:v>Queued for contact research</x:v>
      </x:c>
      <x:c r="S1116" s="43" t="str">
        <x:v>Not reviewed</x:v>
      </x:c>
      <x:c r="T1116" s="43" t="str">
        <x:v>Hold</x:v>
      </x:c>
      <x:c r="U1116" s="43" t="str">
        <x:v>No</x:v>
      </x:c>
      <x:c r="V1116" s="44"/>
      <x:c r="W1116" s="43" t="str"/>
      <x:c r="X1116" s="43" t="str"/>
      <x:c r="Y1116" s="43" t="str"/>
      <x:c r="Z1116" s="43" t="str">
        <x:v>https://www.get-information-schools.service.gov.uk/Downloads</x:v>
      </x:c>
    </x:row>
    <x:row r="1117">
      <x:c r="A1117" s="43" t="str">
        <x:v>UK independent</x:v>
      </x:c>
      <x:c r="B1117" s="43" t="str">
        <x:v>102355</x:v>
      </x:c>
      <x:c r="C1117" s="43" t="n">
        <x:f>IF(K1117="Boarding school",30,0)+IF(J1117&gt;=18,20,0)+IF(I1117&lt;=11,10,0)+IF(L1117="Has a sixth form",15,0)+IF(M1117&gt;=200,10,0)+IF(N1117&lt;&gt;"",10,0)</x:f>
        <x:v>20</x:v>
      </x:c>
      <x:c r="D1117" s="43" t="str">
        <x:f>IF(C1117&gt;=85,"A",IF(C1117&gt;=65,"B","C"))</x:f>
        <x:v>C</x:v>
      </x:c>
      <x:c r="E1117" s="43" t="str">
        <x:v>Gidea Park Preparatory School and Nursery</x:v>
      </x:c>
      <x:c r="F1117" s="43" t="str">
        <x:v>Romford</x:v>
      </x:c>
      <x:c r="G1117" s="43" t="str">
        <x:v>Essex</x:v>
      </x:c>
      <x:c r="H1117" s="43" t="str">
        <x:v>RM2 5JR</x:v>
      </x:c>
      <x:c r="I1117" s="43" t="n">
        <x:v>2</x:v>
      </x:c>
      <x:c r="J1117" s="43" t="n">
        <x:v>11</x:v>
      </x:c>
      <x:c r="K1117" s="43" t="str">
        <x:v>No boarders</x:v>
      </x:c>
      <x:c r="L1117" s="43" t="str">
        <x:v>Does not have a sixth form</x:v>
      </x:c>
      <x:c r="M1117" s="43" t="n">
        <x:v>163</x:v>
      </x:c>
      <x:c r="N1117" s="43" t="str">
        <x:v>http://www.gideaparkprep.co.uk/</x:v>
      </x:c>
      <x:c r="O1117" s="43" t="str">
        <x:v>01708740381</x:v>
      </x:c>
      <x:c r="P1117" s="43" t="str"/>
      <x:c r="Q1117" s="43" t="str"/>
      <x:c r="R1117" s="43" t="str">
        <x:v>Queued for contact research</x:v>
      </x:c>
      <x:c r="S1117" s="43" t="str">
        <x:v>Not reviewed</x:v>
      </x:c>
      <x:c r="T1117" s="43" t="str">
        <x:v>Hold</x:v>
      </x:c>
      <x:c r="U1117" s="43" t="str">
        <x:v>No</x:v>
      </x:c>
      <x:c r="V1117" s="44"/>
      <x:c r="W1117" s="43" t="str"/>
      <x:c r="X1117" s="43" t="str"/>
      <x:c r="Y1117" s="43" t="str"/>
      <x:c r="Z1117" s="43" t="str">
        <x:v>https://www.get-information-schools.service.gov.uk/Downloads</x:v>
      </x:c>
    </x:row>
    <x:row r="1118">
      <x:c r="A1118" s="43" t="str">
        <x:v>UK independent</x:v>
      </x:c>
      <x:c r="B1118" s="43" t="str">
        <x:v>120340</x:v>
      </x:c>
      <x:c r="C1118" s="43" t="n">
        <x:f>IF(K1118="Boarding school",30,0)+IF(J1118&gt;=18,20,0)+IF(I1118&lt;=11,10,0)+IF(L1118="Has a sixth form",15,0)+IF(M1118&gt;=200,10,0)+IF(N1118&lt;&gt;"",10,0)</x:f>
        <x:v>20</x:v>
      </x:c>
      <x:c r="D1118" s="43" t="str">
        <x:f>IF(C1118&gt;=85,"A",IF(C1118&gt;=65,"B","C"))</x:f>
        <x:v>C</x:v>
      </x:c>
      <x:c r="E1118" s="43" t="str">
        <x:v>Brooke Priory School</x:v>
      </x:c>
      <x:c r="F1118" s="43" t="str">
        <x:v>Oakham</x:v>
      </x:c>
      <x:c r="G1118" s="43" t="str">
        <x:v>Rutland</x:v>
      </x:c>
      <x:c r="H1118" s="43" t="str">
        <x:v>LE15 6QW</x:v>
      </x:c>
      <x:c r="I1118" s="43" t="n">
        <x:v>2</x:v>
      </x:c>
      <x:c r="J1118" s="43" t="n">
        <x:v>11</x:v>
      </x:c>
      <x:c r="K1118" s="43" t="str">
        <x:v>No boarders</x:v>
      </x:c>
      <x:c r="L1118" s="43" t="str">
        <x:v>Does not have a sixth form</x:v>
      </x:c>
      <x:c r="M1118" s="43" t="n">
        <x:v>162</x:v>
      </x:c>
      <x:c r="N1118" s="43" t="str">
        <x:v>https://www.brooke.rutland.sch.uk</x:v>
      </x:c>
      <x:c r="O1118" s="43" t="str">
        <x:v>01572724778</x:v>
      </x:c>
      <x:c r="P1118" s="43" t="str"/>
      <x:c r="Q1118" s="43" t="str"/>
      <x:c r="R1118" s="43" t="str">
        <x:v>Queued for contact research</x:v>
      </x:c>
      <x:c r="S1118" s="43" t="str">
        <x:v>Not reviewed</x:v>
      </x:c>
      <x:c r="T1118" s="43" t="str">
        <x:v>Hold</x:v>
      </x:c>
      <x:c r="U1118" s="43" t="str">
        <x:v>No</x:v>
      </x:c>
      <x:c r="V1118" s="44"/>
      <x:c r="W1118" s="43" t="str"/>
      <x:c r="X1118" s="43" t="str"/>
      <x:c r="Y1118" s="43" t="str"/>
      <x:c r="Z1118" s="43" t="str">
        <x:v>https://www.get-information-schools.service.gov.uk/Downloads</x:v>
      </x:c>
    </x:row>
    <x:row r="1119">
      <x:c r="A1119" s="43" t="str">
        <x:v>UK independent</x:v>
      </x:c>
      <x:c r="B1119" s="43" t="str">
        <x:v>101169</x:v>
      </x:c>
      <x:c r="C1119" s="43" t="n">
        <x:f>IF(K1119="Boarding school",30,0)+IF(J1119&gt;=18,20,0)+IF(I1119&lt;=11,10,0)+IF(L1119="Has a sixth form",15,0)+IF(M1119&gt;=200,10,0)+IF(N1119&lt;&gt;"",10,0)</x:f>
        <x:v>20</x:v>
      </x:c>
      <x:c r="D1119" s="43" t="str">
        <x:f>IF(C1119&gt;=85,"A",IF(C1119&gt;=65,"B","C"))</x:f>
        <x:v>C</x:v>
      </x:c>
      <x:c r="E1119" s="43" t="str">
        <x:v>Saint Christina's School</x:v>
      </x:c>
      <x:c r="F1119" s="43" t="str">
        <x:v>London</x:v>
      </x:c>
      <x:c r="G1119" s="43" t="str"/>
      <x:c r="H1119" s="43" t="str">
        <x:v>NW8 7PY</x:v>
      </x:c>
      <x:c r="I1119" s="43" t="n">
        <x:v>3</x:v>
      </x:c>
      <x:c r="J1119" s="43" t="n">
        <x:v>11</x:v>
      </x:c>
      <x:c r="K1119" s="43" t="str">
        <x:v>No boarders</x:v>
      </x:c>
      <x:c r="L1119" s="43" t="str">
        <x:v>Does not have a sixth form</x:v>
      </x:c>
      <x:c r="M1119" s="43" t="n">
        <x:v>162</x:v>
      </x:c>
      <x:c r="N1119" s="43" t="str">
        <x:v>https://www.saintchristinas.org.uk</x:v>
      </x:c>
      <x:c r="O1119" s="43" t="str">
        <x:v>02077228784</x:v>
      </x:c>
      <x:c r="P1119" s="43" t="str"/>
      <x:c r="Q1119" s="43" t="str"/>
      <x:c r="R1119" s="43" t="str">
        <x:v>Queued for contact research</x:v>
      </x:c>
      <x:c r="S1119" s="43" t="str">
        <x:v>Not reviewed</x:v>
      </x:c>
      <x:c r="T1119" s="43" t="str">
        <x:v>Hold</x:v>
      </x:c>
      <x:c r="U1119" s="43" t="str">
        <x:v>No</x:v>
      </x:c>
      <x:c r="V1119" s="44"/>
      <x:c r="W1119" s="43" t="str"/>
      <x:c r="X1119" s="43" t="str"/>
      <x:c r="Y1119" s="43" t="str"/>
      <x:c r="Z1119" s="43" t="str">
        <x:v>https://www.get-information-schools.service.gov.uk/Downloads</x:v>
      </x:c>
    </x:row>
    <x:row r="1120">
      <x:c r="A1120" s="43" t="str">
        <x:v>UK independent</x:v>
      </x:c>
      <x:c r="B1120" s="43" t="str">
        <x:v>115428</x:v>
      </x:c>
      <x:c r="C1120" s="43" t="n">
        <x:f>IF(K1120="Boarding school",30,0)+IF(J1120&gt;=18,20,0)+IF(I1120&lt;=11,10,0)+IF(L1120="Has a sixth form",15,0)+IF(M1120&gt;=200,10,0)+IF(N1120&lt;&gt;"",10,0)</x:f>
        <x:v>20</x:v>
      </x:c>
      <x:c r="D1120" s="43" t="str">
        <x:f>IF(C1120&gt;=85,"A",IF(C1120&gt;=65,"B","C"))</x:f>
        <x:v>C</x:v>
      </x:c>
      <x:c r="E1120" s="43" t="str">
        <x:v>Ursuline Preparatory School</x:v>
      </x:c>
      <x:c r="F1120" s="43" t="str">
        <x:v>Brentwood</x:v>
      </x:c>
      <x:c r="G1120" s="43" t="str">
        <x:v>Essex</x:v>
      </x:c>
      <x:c r="H1120" s="43" t="str">
        <x:v>CM13 3HR</x:v>
      </x:c>
      <x:c r="I1120" s="43" t="n">
        <x:v>3</x:v>
      </x:c>
      <x:c r="J1120" s="43" t="n">
        <x:v>11</x:v>
      </x:c>
      <x:c r="K1120" s="43" t="str">
        <x:v>No boarders</x:v>
      </x:c>
      <x:c r="L1120" s="43" t="str">
        <x:v>Does not have a sixth form</x:v>
      </x:c>
      <x:c r="M1120" s="43" t="n">
        <x:v>161</x:v>
      </x:c>
      <x:c r="N1120" s="43" t="str">
        <x:v>https://www.ursulineprepwarley.co.uk</x:v>
      </x:c>
      <x:c r="O1120" s="43" t="str">
        <x:v>01277227152</x:v>
      </x:c>
      <x:c r="P1120" s="43" t="str"/>
      <x:c r="Q1120" s="43" t="str"/>
      <x:c r="R1120" s="43" t="str">
        <x:v>Queued for contact research</x:v>
      </x:c>
      <x:c r="S1120" s="43" t="str">
        <x:v>Not reviewed</x:v>
      </x:c>
      <x:c r="T1120" s="43" t="str">
        <x:v>Hold</x:v>
      </x:c>
      <x:c r="U1120" s="43" t="str">
        <x:v>No</x:v>
      </x:c>
      <x:c r="V1120" s="44"/>
      <x:c r="W1120" s="43" t="str"/>
      <x:c r="X1120" s="43" t="str"/>
      <x:c r="Y1120" s="43" t="str"/>
      <x:c r="Z1120" s="43" t="str">
        <x:v>https://www.get-information-schools.service.gov.uk/Downloads</x:v>
      </x:c>
    </x:row>
    <x:row r="1121">
      <x:c r="A1121" s="43" t="str">
        <x:v>UK independent</x:v>
      </x:c>
      <x:c r="B1121" s="43" t="str">
        <x:v>102938</x:v>
      </x:c>
      <x:c r="C1121" s="43" t="n">
        <x:f>IF(K1121="Boarding school",30,0)+IF(J1121&gt;=18,20,0)+IF(I1121&lt;=11,10,0)+IF(L1121="Has a sixth form",15,0)+IF(M1121&gt;=200,10,0)+IF(N1121&lt;&gt;"",10,0)</x:f>
        <x:v>20</x:v>
      </x:c>
      <x:c r="D1121" s="43" t="str">
        <x:f>IF(C1121&gt;=85,"A",IF(C1121&gt;=65,"B","C"))</x:f>
        <x:v>C</x:v>
      </x:c>
      <x:c r="E1121" s="43" t="str">
        <x:v>Broomfield House School</x:v>
      </x:c>
      <x:c r="F1121" s="43" t="str">
        <x:v>Richmond</x:v>
      </x:c>
      <x:c r="G1121" s="43" t="str">
        <x:v>Surrey</x:v>
      </x:c>
      <x:c r="H1121" s="43" t="str">
        <x:v>TW9 3HS</x:v>
      </x:c>
      <x:c r="I1121" s="43" t="n">
        <x:v>2</x:v>
      </x:c>
      <x:c r="J1121" s="43" t="n">
        <x:v>11</x:v>
      </x:c>
      <x:c r="K1121" s="43" t="str">
        <x:v>No boarders</x:v>
      </x:c>
      <x:c r="L1121" s="43" t="str">
        <x:v>Does not have a sixth form</x:v>
      </x:c>
      <x:c r="M1121" s="43" t="n">
        <x:v>160</x:v>
      </x:c>
      <x:c r="N1121" s="43" t="str">
        <x:v>https://www.broomfieldschool.com</x:v>
      </x:c>
      <x:c r="O1121" s="43" t="str">
        <x:v>02089403884</x:v>
      </x:c>
      <x:c r="P1121" s="43" t="str"/>
      <x:c r="Q1121" s="43" t="str"/>
      <x:c r="R1121" s="43" t="str">
        <x:v>Queued for contact research</x:v>
      </x:c>
      <x:c r="S1121" s="43" t="str">
        <x:v>Not reviewed</x:v>
      </x:c>
      <x:c r="T1121" s="43" t="str">
        <x:v>Hold</x:v>
      </x:c>
      <x:c r="U1121" s="43" t="str">
        <x:v>No</x:v>
      </x:c>
      <x:c r="V1121" s="44"/>
      <x:c r="W1121" s="43" t="str"/>
      <x:c r="X1121" s="43" t="str"/>
      <x:c r="Y1121" s="43" t="str"/>
      <x:c r="Z1121" s="43" t="str">
        <x:v>https://www.get-information-schools.service.gov.uk/Downloads</x:v>
      </x:c>
    </x:row>
    <x:row r="1122">
      <x:c r="A1122" s="43" t="str">
        <x:v>UK independent</x:v>
      </x:c>
      <x:c r="B1122" s="43" t="str">
        <x:v>110558</x:v>
      </x:c>
      <x:c r="C1122" s="43" t="n">
        <x:f>IF(K1122="Boarding school",30,0)+IF(J1122&gt;=18,20,0)+IF(I1122&lt;=11,10,0)+IF(L1122="Has a sixth form",15,0)+IF(M1122&gt;=200,10,0)+IF(N1122&lt;&gt;"",10,0)</x:f>
        <x:v>20</x:v>
      </x:c>
      <x:c r="D1122" s="43" t="str">
        <x:f>IF(C1122&gt;=85,"A",IF(C1122&gt;=65,"B","C"))</x:f>
        <x:v>C</x:v>
      </x:c>
      <x:c r="E1122" s="43" t="str">
        <x:v>Griffin House School</x:v>
      </x:c>
      <x:c r="F1122" s="43" t="str"/>
      <x:c r="G1122" s="43" t="str"/>
      <x:c r="H1122" s="43" t="str">
        <x:v>HP17 0XP</x:v>
      </x:c>
      <x:c r="I1122" s="43" t="n">
        <x:v>2</x:v>
      </x:c>
      <x:c r="J1122" s="43" t="n">
        <x:v>11</x:v>
      </x:c>
      <x:c r="K1122" s="43" t="str">
        <x:v>No boarders</x:v>
      </x:c>
      <x:c r="L1122" s="43" t="str">
        <x:v>Does not have a sixth form</x:v>
      </x:c>
      <x:c r="M1122" s="43" t="n">
        <x:v>159</x:v>
      </x:c>
      <x:c r="N1122" s="43" t="str">
        <x:v>https://www.griffinhouseschool.co.uk</x:v>
      </x:c>
      <x:c r="O1122" s="43" t="str">
        <x:v>01844346154</x:v>
      </x:c>
      <x:c r="P1122" s="43" t="str"/>
      <x:c r="Q1122" s="43" t="str"/>
      <x:c r="R1122" s="43" t="str">
        <x:v>Queued for contact research</x:v>
      </x:c>
      <x:c r="S1122" s="43" t="str">
        <x:v>Not reviewed</x:v>
      </x:c>
      <x:c r="T1122" s="43" t="str">
        <x:v>Hold</x:v>
      </x:c>
      <x:c r="U1122" s="43" t="str">
        <x:v>No</x:v>
      </x:c>
      <x:c r="V1122" s="44"/>
      <x:c r="W1122" s="43" t="str"/>
      <x:c r="X1122" s="43" t="str"/>
      <x:c r="Y1122" s="43" t="str"/>
      <x:c r="Z1122" s="43" t="str">
        <x:v>https://www.get-information-schools.service.gov.uk/Downloads</x:v>
      </x:c>
    </x:row>
    <x:row r="1123">
      <x:c r="A1123" s="43" t="str">
        <x:v>UK independent</x:v>
      </x:c>
      <x:c r="B1123" s="43" t="str">
        <x:v>134668</x:v>
      </x:c>
      <x:c r="C1123" s="43" t="n">
        <x:f>IF(K1123="Boarding school",30,0)+IF(J1123&gt;=18,20,0)+IF(I1123&lt;=11,10,0)+IF(L1123="Has a sixth form",15,0)+IF(M1123&gt;=200,10,0)+IF(N1123&lt;&gt;"",10,0)</x:f>
        <x:v>20</x:v>
      </x:c>
      <x:c r="D1123" s="43" t="str">
        <x:f>IF(C1123&gt;=85,"A",IF(C1123&gt;=65,"B","C"))</x:f>
        <x:v>C</x:v>
      </x:c>
      <x:c r="E1123" s="43" t="str">
        <x:v>Heathfield House School</x:v>
      </x:c>
      <x:c r="F1123" s="43" t="str">
        <x:v>London</x:v>
      </x:c>
      <x:c r="G1123" s="43" t="str"/>
      <x:c r="H1123" s="43" t="str">
        <x:v>W4 4JU</x:v>
      </x:c>
      <x:c r="I1123" s="43" t="n">
        <x:v>3</x:v>
      </x:c>
      <x:c r="J1123" s="43" t="n">
        <x:v>11</x:v>
      </x:c>
      <x:c r="K1123" s="43" t="str">
        <x:v>No boarders</x:v>
      </x:c>
      <x:c r="L1123" s="43" t="str">
        <x:v>Does not have a sixth form</x:v>
      </x:c>
      <x:c r="M1123" s="43" t="n">
        <x:v>159</x:v>
      </x:c>
      <x:c r="N1123" s="43" t="str">
        <x:v>https://www.heathfieldhouse.co.uk</x:v>
      </x:c>
      <x:c r="O1123" s="43" t="str">
        <x:v>02089943385</x:v>
      </x:c>
      <x:c r="P1123" s="43" t="str"/>
      <x:c r="Q1123" s="43" t="str"/>
      <x:c r="R1123" s="43" t="str">
        <x:v>Queued for contact research</x:v>
      </x:c>
      <x:c r="S1123" s="43" t="str">
        <x:v>Not reviewed</x:v>
      </x:c>
      <x:c r="T1123" s="43" t="str">
        <x:v>Hold</x:v>
      </x:c>
      <x:c r="U1123" s="43" t="str">
        <x:v>No</x:v>
      </x:c>
      <x:c r="V1123" s="44"/>
      <x:c r="W1123" s="43" t="str"/>
      <x:c r="X1123" s="43" t="str"/>
      <x:c r="Y1123" s="43" t="str"/>
      <x:c r="Z1123" s="43" t="str">
        <x:v>https://www.get-information-schools.service.gov.uk/Downloads</x:v>
      </x:c>
    </x:row>
    <x:row r="1124">
      <x:c r="A1124" s="43" t="str">
        <x:v>UK independent</x:v>
      </x:c>
      <x:c r="B1124" s="43" t="str">
        <x:v>102063</x:v>
      </x:c>
      <x:c r="C1124" s="43" t="n">
        <x:f>IF(K1124="Boarding school",30,0)+IF(J1124&gt;=18,20,0)+IF(I1124&lt;=11,10,0)+IF(L1124="Has a sixth form",15,0)+IF(M1124&gt;=200,10,0)+IF(N1124&lt;&gt;"",10,0)</x:f>
        <x:v>20</x:v>
      </x:c>
      <x:c r="D1124" s="43" t="str">
        <x:f>IF(C1124&gt;=85,"A",IF(C1124&gt;=65,"B","C"))</x:f>
        <x:v>C</x:v>
      </x:c>
      <x:c r="E1124" s="43" t="str">
        <x:v>Salcombe Preparatory School</x:v>
      </x:c>
      <x:c r="F1124" s="43" t="str"/>
      <x:c r="G1124" s="43" t="str"/>
      <x:c r="H1124" s="43" t="str">
        <x:v>N14 4PL</x:v>
      </x:c>
      <x:c r="I1124" s="43" t="n">
        <x:v>3</x:v>
      </x:c>
      <x:c r="J1124" s="43" t="n">
        <x:v>11</x:v>
      </x:c>
      <x:c r="K1124" s="43" t="str">
        <x:v>No boarders</x:v>
      </x:c>
      <x:c r="L1124" s="43" t="str">
        <x:v>Does not have a sixth form</x:v>
      </x:c>
      <x:c r="M1124" s="43" t="n">
        <x:v>159</x:v>
      </x:c>
      <x:c r="N1124" s="43" t="str">
        <x:v>https://www.salcombeprep.co.uk</x:v>
      </x:c>
      <x:c r="O1124" s="43" t="str">
        <x:v>02084415356</x:v>
      </x:c>
      <x:c r="P1124" s="43" t="str"/>
      <x:c r="Q1124" s="43" t="str"/>
      <x:c r="R1124" s="43" t="str">
        <x:v>Queued for contact research</x:v>
      </x:c>
      <x:c r="S1124" s="43" t="str">
        <x:v>Not reviewed</x:v>
      </x:c>
      <x:c r="T1124" s="43" t="str">
        <x:v>Hold</x:v>
      </x:c>
      <x:c r="U1124" s="43" t="str">
        <x:v>No</x:v>
      </x:c>
      <x:c r="V1124" s="44"/>
      <x:c r="W1124" s="43" t="str"/>
      <x:c r="X1124" s="43" t="str"/>
      <x:c r="Y1124" s="43" t="str"/>
      <x:c r="Z1124" s="43" t="str">
        <x:v>https://www.get-information-schools.service.gov.uk/Downloads</x:v>
      </x:c>
    </x:row>
    <x:row r="1125">
      <x:c r="A1125" s="43" t="str">
        <x:v>UK independent</x:v>
      </x:c>
      <x:c r="B1125" s="43" t="str">
        <x:v>131261</x:v>
      </x:c>
      <x:c r="C1125" s="43" t="n">
        <x:f>IF(K1125="Boarding school",30,0)+IF(J1125&gt;=18,20,0)+IF(I1125&lt;=11,10,0)+IF(L1125="Has a sixth form",15,0)+IF(M1125&gt;=200,10,0)+IF(N1125&lt;&gt;"",10,0)</x:f>
        <x:v>20</x:v>
      </x:c>
      <x:c r="D1125" s="43" t="str">
        <x:f>IF(C1125&gt;=85,"A",IF(C1125&gt;=65,"B","C"))</x:f>
        <x:v>C</x:v>
      </x:c>
      <x:c r="E1125" s="43" t="str">
        <x:v>Barnet Hill Academy</x:v>
      </x:c>
      <x:c r="F1125" s="43" t="str">
        <x:v>London</x:v>
      </x:c>
      <x:c r="G1125" s="43" t="str"/>
      <x:c r="H1125" s="43" t="str">
        <x:v>NW4 3ES</x:v>
      </x:c>
      <x:c r="I1125" s="43" t="n">
        <x:v>3</x:v>
      </x:c>
      <x:c r="J1125" s="43" t="n">
        <x:v>11</x:v>
      </x:c>
      <x:c r="K1125" s="43" t="str">
        <x:v>No boarders</x:v>
      </x:c>
      <x:c r="L1125" s="43" t="str">
        <x:v>Does not have a sixth form</x:v>
      </x:c>
      <x:c r="M1125" s="43" t="n">
        <x:v>158</x:v>
      </x:c>
      <x:c r="N1125" s="43" t="str">
        <x:v>https://www.BarnetHillAcademy.org.uk</x:v>
      </x:c>
      <x:c r="O1125" s="43" t="str">
        <x:v>02034112660</x:v>
      </x:c>
      <x:c r="P1125" s="43" t="str"/>
      <x:c r="Q1125" s="43" t="str"/>
      <x:c r="R1125" s="43" t="str">
        <x:v>Queued for contact research</x:v>
      </x:c>
      <x:c r="S1125" s="43" t="str">
        <x:v>Not reviewed</x:v>
      </x:c>
      <x:c r="T1125" s="43" t="str">
        <x:v>Hold</x:v>
      </x:c>
      <x:c r="U1125" s="43" t="str">
        <x:v>No</x:v>
      </x:c>
      <x:c r="V1125" s="44"/>
      <x:c r="W1125" s="43" t="str"/>
      <x:c r="X1125" s="43" t="str"/>
      <x:c r="Y1125" s="43" t="str"/>
      <x:c r="Z1125" s="43" t="str">
        <x:v>https://www.get-information-schools.service.gov.uk/Downloads</x:v>
      </x:c>
    </x:row>
    <x:row r="1126">
      <x:c r="A1126" s="43" t="str">
        <x:v>UK independent</x:v>
      </x:c>
      <x:c r="B1126" s="43" t="str">
        <x:v>106382</x:v>
      </x:c>
      <x:c r="C1126" s="43" t="n">
        <x:f>IF(K1126="Boarding school",30,0)+IF(J1126&gt;=18,20,0)+IF(I1126&lt;=11,10,0)+IF(L1126="Has a sixth form",15,0)+IF(M1126&gt;=200,10,0)+IF(N1126&lt;&gt;"",10,0)</x:f>
        <x:v>20</x:v>
      </x:c>
      <x:c r="D1126" s="43" t="str">
        <x:f>IF(C1126&gt;=85,"A",IF(C1126&gt;=65,"B","C"))</x:f>
        <x:v>C</x:v>
      </x:c>
      <x:c r="E1126" s="43" t="str">
        <x:v>Forest Park Preparatory School</x:v>
      </x:c>
      <x:c r="F1126" s="43" t="str">
        <x:v>Sale</x:v>
      </x:c>
      <x:c r="G1126" s="43" t="str">
        <x:v>Cheshire</x:v>
      </x:c>
      <x:c r="H1126" s="43" t="str">
        <x:v>M33 6NB</x:v>
      </x:c>
      <x:c r="I1126" s="43" t="n">
        <x:v>2</x:v>
      </x:c>
      <x:c r="J1126" s="43" t="n">
        <x:v>11</x:v>
      </x:c>
      <x:c r="K1126" s="43" t="str">
        <x:v>No boarders</x:v>
      </x:c>
      <x:c r="L1126" s="43" t="str">
        <x:v>Does not have a sixth form</x:v>
      </x:c>
      <x:c r="M1126" s="43" t="n">
        <x:v>158</x:v>
      </x:c>
      <x:c r="N1126" s="43" t="str">
        <x:v>https://www.forestparkprep.co.uk</x:v>
      </x:c>
      <x:c r="O1126" s="43" t="str">
        <x:v>01619734835</x:v>
      </x:c>
      <x:c r="P1126" s="43" t="str"/>
      <x:c r="Q1126" s="43" t="str"/>
      <x:c r="R1126" s="43" t="str">
        <x:v>Queued for contact research</x:v>
      </x:c>
      <x:c r="S1126" s="43" t="str">
        <x:v>Not reviewed</x:v>
      </x:c>
      <x:c r="T1126" s="43" t="str">
        <x:v>Hold</x:v>
      </x:c>
      <x:c r="U1126" s="43" t="str">
        <x:v>No</x:v>
      </x:c>
      <x:c r="V1126" s="44"/>
      <x:c r="W1126" s="43" t="str"/>
      <x:c r="X1126" s="43" t="str"/>
      <x:c r="Y1126" s="43" t="str"/>
      <x:c r="Z1126" s="43" t="str">
        <x:v>https://www.get-information-schools.service.gov.uk/Downloads</x:v>
      </x:c>
    </x:row>
    <x:row r="1127">
      <x:c r="A1127" s="43" t="str">
        <x:v>UK independent</x:v>
      </x:c>
      <x:c r="B1127" s="43" t="str">
        <x:v>132750</x:v>
      </x:c>
      <x:c r="C1127" s="43" t="n">
        <x:f>IF(K1127="Boarding school",30,0)+IF(J1127&gt;=18,20,0)+IF(I1127&lt;=11,10,0)+IF(L1127="Has a sixth form",15,0)+IF(M1127&gt;=200,10,0)+IF(N1127&lt;&gt;"",10,0)</x:f>
        <x:v>20</x:v>
      </x:c>
      <x:c r="D1127" s="43" t="str">
        <x:f>IF(C1127&gt;=85,"A",IF(C1127&gt;=65,"B","C"))</x:f>
        <x:v>C</x:v>
      </x:c>
      <x:c r="E1127" s="43" t="str">
        <x:v>Abu Bakr Al-Ihsaan Academy</x:v>
      </x:c>
      <x:c r="F1127" s="43" t="str">
        <x:v>Walsall</x:v>
      </x:c>
      <x:c r="G1127" s="43" t="str">
        <x:v>West Midlands</x:v>
      </x:c>
      <x:c r="H1127" s="43" t="str">
        <x:v>WS1 4JJ</x:v>
      </x:c>
      <x:c r="I1127" s="43" t="n">
        <x:v>4</x:v>
      </x:c>
      <x:c r="J1127" s="43" t="n">
        <x:v>16</x:v>
      </x:c>
      <x:c r="K1127" s="43" t="str">
        <x:v>No boarders</x:v>
      </x:c>
      <x:c r="L1127" s="43" t="str">
        <x:v>Does not have a sixth form</x:v>
      </x:c>
      <x:c r="M1127" s="43" t="n">
        <x:v>157</x:v>
      </x:c>
      <x:c r="N1127" s="43" t="str">
        <x:v>https://www.abubakrgirlschool.org</x:v>
      </x:c>
      <x:c r="O1127" s="43" t="str">
        <x:v>01922626829</x:v>
      </x:c>
      <x:c r="P1127" s="43" t="str"/>
      <x:c r="Q1127" s="43" t="str"/>
      <x:c r="R1127" s="43" t="str">
        <x:v>Queued for contact research</x:v>
      </x:c>
      <x:c r="S1127" s="43" t="str">
        <x:v>Not reviewed</x:v>
      </x:c>
      <x:c r="T1127" s="43" t="str">
        <x:v>Hold</x:v>
      </x:c>
      <x:c r="U1127" s="43" t="str">
        <x:v>No</x:v>
      </x:c>
      <x:c r="V1127" s="44"/>
      <x:c r="W1127" s="43" t="str"/>
      <x:c r="X1127" s="43" t="str"/>
      <x:c r="Y1127" s="43" t="str"/>
      <x:c r="Z1127" s="43" t="str">
        <x:v>https://www.get-information-schools.service.gov.uk/Downloads</x:v>
      </x:c>
    </x:row>
    <x:row r="1128">
      <x:c r="A1128" s="43" t="str">
        <x:v>UK independent</x:v>
      </x:c>
      <x:c r="B1128" s="43" t="str">
        <x:v>131978</x:v>
      </x:c>
      <x:c r="C1128" s="43" t="n">
        <x:f>IF(K1128="Boarding school",30,0)+IF(J1128&gt;=18,20,0)+IF(I1128&lt;=11,10,0)+IF(L1128="Has a sixth form",15,0)+IF(M1128&gt;=200,10,0)+IF(N1128&lt;&gt;"",10,0)</x:f>
        <x:v>20</x:v>
      </x:c>
      <x:c r="D1128" s="43" t="str">
        <x:f>IF(C1128&gt;=85,"A",IF(C1128&gt;=65,"B","C"))</x:f>
        <x:v>C</x:v>
      </x:c>
      <x:c r="E1128" s="43" t="str">
        <x:v>Maria Montessori School</x:v>
      </x:c>
      <x:c r="F1128" s="43" t="str">
        <x:v>London</x:v>
      </x:c>
      <x:c r="G1128" s="43" t="str"/>
      <x:c r="H1128" s="43" t="str">
        <x:v>NW3 5NW</x:v>
      </x:c>
      <x:c r="I1128" s="43" t="n">
        <x:v>3</x:v>
      </x:c>
      <x:c r="J1128" s="43" t="n">
        <x:v>16</x:v>
      </x:c>
      <x:c r="K1128" s="43" t="str">
        <x:v>No boarders</x:v>
      </x:c>
      <x:c r="L1128" s="43" t="str">
        <x:v>Does not have a sixth form</x:v>
      </x:c>
      <x:c r="M1128" s="43" t="n">
        <x:v>157</x:v>
      </x:c>
      <x:c r="N1128" s="43" t="str">
        <x:v>https://www.mariamontessori.org</x:v>
      </x:c>
      <x:c r="O1128" s="43" t="str">
        <x:v>02074353646</x:v>
      </x:c>
      <x:c r="P1128" s="43" t="str"/>
      <x:c r="Q1128" s="43" t="str"/>
      <x:c r="R1128" s="43" t="str">
        <x:v>Queued for contact research</x:v>
      </x:c>
      <x:c r="S1128" s="43" t="str">
        <x:v>Not reviewed</x:v>
      </x:c>
      <x:c r="T1128" s="43" t="str">
        <x:v>Hold</x:v>
      </x:c>
      <x:c r="U1128" s="43" t="str">
        <x:v>No</x:v>
      </x:c>
      <x:c r="V1128" s="44"/>
      <x:c r="W1128" s="43" t="str"/>
      <x:c r="X1128" s="43" t="str"/>
      <x:c r="Y1128" s="43" t="str"/>
      <x:c r="Z1128" s="43" t="str">
        <x:v>https://www.get-information-schools.service.gov.uk/Downloads</x:v>
      </x:c>
    </x:row>
    <x:row r="1129">
      <x:c r="A1129" s="43" t="str">
        <x:v>UK independent</x:v>
      </x:c>
      <x:c r="B1129" s="43" t="str">
        <x:v>118938</x:v>
      </x:c>
      <x:c r="C1129" s="43" t="n">
        <x:f>IF(K1129="Boarding school",30,0)+IF(J1129&gt;=18,20,0)+IF(I1129&lt;=11,10,0)+IF(L1129="Has a sixth form",15,0)+IF(M1129&gt;=200,10,0)+IF(N1129&lt;&gt;"",10,0)</x:f>
        <x:v>20</x:v>
      </x:c>
      <x:c r="D1129" s="43" t="str">
        <x:f>IF(C1129&gt;=85,"A",IF(C1129&gt;=65,"B","C"))</x:f>
        <x:v>C</x:v>
      </x:c>
      <x:c r="E1129" s="43" t="str">
        <x:v>Wellesley Haddon Dene School</x:v>
      </x:c>
      <x:c r="F1129" s="43" t="str"/>
      <x:c r="G1129" s="43" t="str"/>
      <x:c r="H1129" s="43" t="str">
        <x:v>CT10 2DG</x:v>
      </x:c>
      <x:c r="I1129" s="43" t="n">
        <x:v>2</x:v>
      </x:c>
      <x:c r="J1129" s="43" t="n">
        <x:v>13</x:v>
      </x:c>
      <x:c r="K1129" s="43" t="str">
        <x:v>No boarders</x:v>
      </x:c>
      <x:c r="L1129" s="43" t="str">
        <x:v>Does not have a sixth form</x:v>
      </x:c>
      <x:c r="M1129" s="43" t="n">
        <x:v>156</x:v>
      </x:c>
      <x:c r="N1129" s="43" t="str">
        <x:v>https://www.wellesleyhaddondene.co.uk/</x:v>
      </x:c>
      <x:c r="O1129" s="43" t="str">
        <x:v>01843862991</x:v>
      </x:c>
      <x:c r="P1129" s="43" t="str"/>
      <x:c r="Q1129" s="43" t="str"/>
      <x:c r="R1129" s="43" t="str">
        <x:v>Queued for contact research</x:v>
      </x:c>
      <x:c r="S1129" s="43" t="str">
        <x:v>Not reviewed</x:v>
      </x:c>
      <x:c r="T1129" s="43" t="str">
        <x:v>Hold</x:v>
      </x:c>
      <x:c r="U1129" s="43" t="str">
        <x:v>No</x:v>
      </x:c>
      <x:c r="V1129" s="44"/>
      <x:c r="W1129" s="43" t="str"/>
      <x:c r="X1129" s="43" t="str"/>
      <x:c r="Y1129" s="43" t="str"/>
      <x:c r="Z1129" s="43" t="str">
        <x:v>https://www.get-information-schools.service.gov.uk/Downloads</x:v>
      </x:c>
    </x:row>
    <x:row r="1130">
      <x:c r="A1130" s="43" t="str">
        <x:v>UK independent</x:v>
      </x:c>
      <x:c r="B1130" s="43" t="str">
        <x:v>106386</x:v>
      </x:c>
      <x:c r="C1130" s="43" t="n">
        <x:f>IF(K1130="Boarding school",30,0)+IF(J1130&gt;=18,20,0)+IF(I1130&lt;=11,10,0)+IF(L1130="Has a sixth form",15,0)+IF(M1130&gt;=200,10,0)+IF(N1130&lt;&gt;"",10,0)</x:f>
        <x:v>20</x:v>
      </x:c>
      <x:c r="D1130" s="43" t="str">
        <x:f>IF(C1130&gt;=85,"A",IF(C1130&gt;=65,"B","C"))</x:f>
        <x:v>C</x:v>
      </x:c>
      <x:c r="E1130" s="43" t="str">
        <x:v>Abbotsford Preparatory School</x:v>
      </x:c>
      <x:c r="F1130" s="43" t="str">
        <x:v>Manchester</x:v>
      </x:c>
      <x:c r="G1130" s="43" t="str">
        <x:v>Lancashire</x:v>
      </x:c>
      <x:c r="H1130" s="43" t="str">
        <x:v>M41 5PR</x:v>
      </x:c>
      <x:c r="I1130" s="43" t="n">
        <x:v>0</x:v>
      </x:c>
      <x:c r="J1130" s="43" t="n">
        <x:v>11</x:v>
      </x:c>
      <x:c r="K1130" s="43" t="str">
        <x:v>No boarders</x:v>
      </x:c>
      <x:c r="L1130" s="43" t="str">
        <x:v>Does not have a sixth form</x:v>
      </x:c>
      <x:c r="M1130" s="43" t="n">
        <x:v>155</x:v>
      </x:c>
      <x:c r="N1130" s="43" t="str">
        <x:v>https://www.abbotsfordprepschool.co.uk</x:v>
      </x:c>
      <x:c r="O1130" s="43" t="str">
        <x:v>01617483261</x:v>
      </x:c>
      <x:c r="P1130" s="43" t="str"/>
      <x:c r="Q1130" s="43" t="str"/>
      <x:c r="R1130" s="43" t="str">
        <x:v>Queued for contact research</x:v>
      </x:c>
      <x:c r="S1130" s="43" t="str">
        <x:v>Not reviewed</x:v>
      </x:c>
      <x:c r="T1130" s="43" t="str">
        <x:v>Hold</x:v>
      </x:c>
      <x:c r="U1130" s="43" t="str">
        <x:v>No</x:v>
      </x:c>
      <x:c r="V1130" s="44"/>
      <x:c r="W1130" s="43" t="str"/>
      <x:c r="X1130" s="43" t="str"/>
      <x:c r="Y1130" s="43" t="str"/>
      <x:c r="Z1130" s="43" t="str">
        <x:v>https://www.get-information-schools.service.gov.uk/Downloads</x:v>
      </x:c>
    </x:row>
    <x:row r="1131">
      <x:c r="A1131" s="43" t="str">
        <x:v>UK independent</x:v>
      </x:c>
      <x:c r="B1131" s="43" t="str">
        <x:v>133603</x:v>
      </x:c>
      <x:c r="C1131" s="43" t="n">
        <x:f>IF(K1131="Boarding school",30,0)+IF(J1131&gt;=18,20,0)+IF(I1131&lt;=11,10,0)+IF(L1131="Has a sixth form",15,0)+IF(M1131&gt;=200,10,0)+IF(N1131&lt;&gt;"",10,0)</x:f>
        <x:v>20</x:v>
      </x:c>
      <x:c r="D1131" s="43" t="str">
        <x:f>IF(C1131&gt;=85,"A",IF(C1131&gt;=65,"B","C"))</x:f>
        <x:v>C</x:v>
      </x:c>
      <x:c r="E1131" s="43" t="str">
        <x:v>Greenfields Primary School</x:v>
      </x:c>
      <x:c r="F1131" s="43" t="str">
        <x:v>Birmingham</x:v>
      </x:c>
      <x:c r="G1131" s="43" t="str">
        <x:v>West Midlands</x:v>
      </x:c>
      <x:c r="H1131" s="43" t="str">
        <x:v>B10 0UG</x:v>
      </x:c>
      <x:c r="I1131" s="43" t="n">
        <x:v>5</x:v>
      </x:c>
      <x:c r="J1131" s="43" t="n">
        <x:v>11</x:v>
      </x:c>
      <x:c r="K1131" s="43" t="str">
        <x:v>No boarders</x:v>
      </x:c>
      <x:c r="L1131" s="43" t="str">
        <x:v>Does not have a sixth form</x:v>
      </x:c>
      <x:c r="M1131" s="43" t="n">
        <x:v>154</x:v>
      </x:c>
      <x:c r="N1131" s="43" t="str">
        <x:v>https://greenfieldsprimary.school</x:v>
      </x:c>
      <x:c r="O1131" s="43" t="str">
        <x:v>01217724567</x:v>
      </x:c>
      <x:c r="P1131" s="43" t="str"/>
      <x:c r="Q1131" s="43" t="str"/>
      <x:c r="R1131" s="43" t="str">
        <x:v>Queued for contact research</x:v>
      </x:c>
      <x:c r="S1131" s="43" t="str">
        <x:v>Not reviewed</x:v>
      </x:c>
      <x:c r="T1131" s="43" t="str">
        <x:v>Hold</x:v>
      </x:c>
      <x:c r="U1131" s="43" t="str">
        <x:v>No</x:v>
      </x:c>
      <x:c r="V1131" s="44"/>
      <x:c r="W1131" s="43" t="str"/>
      <x:c r="X1131" s="43" t="str"/>
      <x:c r="Y1131" s="43" t="str"/>
      <x:c r="Z1131" s="43" t="str">
        <x:v>https://www.get-information-schools.service.gov.uk/Downloads</x:v>
      </x:c>
    </x:row>
    <x:row r="1132">
      <x:c r="A1132" s="43" t="str">
        <x:v>UK independent</x:v>
      </x:c>
      <x:c r="B1132" s="43" t="str">
        <x:v>115416</x:v>
      </x:c>
      <x:c r="C1132" s="43" t="n">
        <x:f>IF(K1132="Boarding school",30,0)+IF(J1132&gt;=18,20,0)+IF(I1132&lt;=11,10,0)+IF(L1132="Has a sixth form",15,0)+IF(M1132&gt;=200,10,0)+IF(N1132&lt;&gt;"",10,0)</x:f>
        <x:v>20</x:v>
      </x:c>
      <x:c r="D1132" s="43" t="str">
        <x:f>IF(C1132&gt;=85,"A",IF(C1132&gt;=65,"B","C"))</x:f>
        <x:v>C</x:v>
      </x:c>
      <x:c r="E1132" s="43" t="str">
        <x:v>St Margaret's Preparatory School</x:v>
      </x:c>
      <x:c r="F1132" s="43" t="str">
        <x:v>Halstead</x:v>
      </x:c>
      <x:c r="G1132" s="43" t="str">
        <x:v>Essex</x:v>
      </x:c>
      <x:c r="H1132" s="43" t="str">
        <x:v>CO9 1SE</x:v>
      </x:c>
      <x:c r="I1132" s="43" t="n">
        <x:v>2</x:v>
      </x:c>
      <x:c r="J1132" s="43" t="n">
        <x:v>11</x:v>
      </x:c>
      <x:c r="K1132" s="43" t="str">
        <x:v>No boarders</x:v>
      </x:c>
      <x:c r="L1132" s="43" t="str">
        <x:v>Does not have a sixth form</x:v>
      </x:c>
      <x:c r="M1132" s="43" t="n">
        <x:v>154</x:v>
      </x:c>
      <x:c r="N1132" s="43" t="str">
        <x:v>https://www.stmargaretsprep.com</x:v>
      </x:c>
      <x:c r="O1132" s="43" t="str">
        <x:v>01787472134</x:v>
      </x:c>
      <x:c r="P1132" s="43" t="str"/>
      <x:c r="Q1132" s="43" t="str"/>
      <x:c r="R1132" s="43" t="str">
        <x:v>Queued for contact research</x:v>
      </x:c>
      <x:c r="S1132" s="43" t="str">
        <x:v>Not reviewed</x:v>
      </x:c>
      <x:c r="T1132" s="43" t="str">
        <x:v>Hold</x:v>
      </x:c>
      <x:c r="U1132" s="43" t="str">
        <x:v>No</x:v>
      </x:c>
      <x:c r="V1132" s="44"/>
      <x:c r="W1132" s="43" t="str"/>
      <x:c r="X1132" s="43" t="str"/>
      <x:c r="Y1132" s="43" t="str"/>
      <x:c r="Z1132" s="43" t="str">
        <x:v>https://www.get-information-schools.service.gov.uk/Downloads</x:v>
      </x:c>
    </x:row>
    <x:row r="1133">
      <x:c r="A1133" s="43" t="str">
        <x:v>UK independent</x:v>
      </x:c>
      <x:c r="B1133" s="43" t="str">
        <x:v>130244</x:v>
      </x:c>
      <x:c r="C1133" s="43" t="n">
        <x:f>IF(K1133="Boarding school",30,0)+IF(J1133&gt;=18,20,0)+IF(I1133&lt;=11,10,0)+IF(L1133="Has a sixth form",15,0)+IF(M1133&gt;=200,10,0)+IF(N1133&lt;&gt;"",10,0)</x:f>
        <x:v>20</x:v>
      </x:c>
      <x:c r="D1133" s="43" t="str">
        <x:f>IF(C1133&gt;=85,"A",IF(C1133&gt;=65,"B","C"))</x:f>
        <x:v>C</x:v>
      </x:c>
      <x:c r="E1133" s="43" t="str">
        <x:v>Al-Ameen Primary School</x:v>
      </x:c>
      <x:c r="F1133" s="43" t="str">
        <x:v>Birmingham</x:v>
      </x:c>
      <x:c r="G1133" s="43" t="str">
        <x:v>West Midlands</x:v>
      </x:c>
      <x:c r="H1133" s="43" t="str">
        <x:v>B11 2JR</x:v>
      </x:c>
      <x:c r="I1133" s="43" t="n">
        <x:v>3</x:v>
      </x:c>
      <x:c r="J1133" s="43" t="n">
        <x:v>11</x:v>
      </x:c>
      <x:c r="K1133" s="43" t="str">
        <x:v>No boarders</x:v>
      </x:c>
      <x:c r="L1133" s="43" t="str">
        <x:v>Does not have a sixth form</x:v>
      </x:c>
      <x:c r="M1133" s="43" t="n">
        <x:v>153</x:v>
      </x:c>
      <x:c r="N1133" s="43" t="str">
        <x:v>https://www.alameen.bham.sch.uk</x:v>
      </x:c>
      <x:c r="O1133" s="43" t="str">
        <x:v>01217063322</x:v>
      </x:c>
      <x:c r="P1133" s="43" t="str"/>
      <x:c r="Q1133" s="43" t="str"/>
      <x:c r="R1133" s="43" t="str">
        <x:v>Queued for contact research</x:v>
      </x:c>
      <x:c r="S1133" s="43" t="str">
        <x:v>Not reviewed</x:v>
      </x:c>
      <x:c r="T1133" s="43" t="str">
        <x:v>Hold</x:v>
      </x:c>
      <x:c r="U1133" s="43" t="str">
        <x:v>No</x:v>
      </x:c>
      <x:c r="V1133" s="44"/>
      <x:c r="W1133" s="43" t="str"/>
      <x:c r="X1133" s="43" t="str"/>
      <x:c r="Y1133" s="43" t="str"/>
      <x:c r="Z1133" s="43" t="str">
        <x:v>https://www.get-information-schools.service.gov.uk/Downloads</x:v>
      </x:c>
    </x:row>
    <x:row r="1134">
      <x:c r="A1134" s="43" t="str">
        <x:v>UK independent</x:v>
      </x:c>
      <x:c r="B1134" s="43" t="str">
        <x:v>131131</x:v>
      </x:c>
      <x:c r="C1134" s="43" t="n">
        <x:f>IF(K1134="Boarding school",30,0)+IF(J1134&gt;=18,20,0)+IF(I1134&lt;=11,10,0)+IF(L1134="Has a sixth form",15,0)+IF(M1134&gt;=200,10,0)+IF(N1134&lt;&gt;"",10,0)</x:f>
        <x:v>20</x:v>
      </x:c>
      <x:c r="D1134" s="43" t="str">
        <x:f>IF(C1134&gt;=85,"A",IF(C1134&gt;=65,"B","C"))</x:f>
        <x:v>C</x:v>
      </x:c>
      <x:c r="E1134" s="43" t="str">
        <x:v>Al-Furqaan Preparatory School</x:v>
      </x:c>
      <x:c r="F1134" s="43" t="str">
        <x:v>Dewsbury</x:v>
      </x:c>
      <x:c r="G1134" s="43" t="str">
        <x:v>West Yorkshire</x:v>
      </x:c>
      <x:c r="H1134" s="43" t="str">
        <x:v>WF13 2JR</x:v>
      </x:c>
      <x:c r="I1134" s="43" t="n">
        <x:v>2</x:v>
      </x:c>
      <x:c r="J1134" s="43" t="n">
        <x:v>11</x:v>
      </x:c>
      <x:c r="K1134" s="43" t="str">
        <x:v>No boarders</x:v>
      </x:c>
      <x:c r="L1134" s="43" t="str">
        <x:v>Does not have a sixth form</x:v>
      </x:c>
      <x:c r="M1134" s="43" t="n">
        <x:v>153</x:v>
      </x:c>
      <x:c r="N1134" s="43" t="str">
        <x:v>https://www.alfurqaanschool.org</x:v>
      </x:c>
      <x:c r="O1134" s="43" t="str">
        <x:v>01924453661</x:v>
      </x:c>
      <x:c r="P1134" s="43" t="str"/>
      <x:c r="Q1134" s="43" t="str"/>
      <x:c r="R1134" s="43" t="str">
        <x:v>Queued for contact research</x:v>
      </x:c>
      <x:c r="S1134" s="43" t="str">
        <x:v>Not reviewed</x:v>
      </x:c>
      <x:c r="T1134" s="43" t="str">
        <x:v>Hold</x:v>
      </x:c>
      <x:c r="U1134" s="43" t="str">
        <x:v>No</x:v>
      </x:c>
      <x:c r="V1134" s="44"/>
      <x:c r="W1134" s="43" t="str"/>
      <x:c r="X1134" s="43" t="str"/>
      <x:c r="Y1134" s="43" t="str"/>
      <x:c r="Z1134" s="43" t="str">
        <x:v>https://www.get-information-schools.service.gov.uk/Downloads</x:v>
      </x:c>
    </x:row>
    <x:row r="1135">
      <x:c r="A1135" s="43" t="str">
        <x:v>UK independent</x:v>
      </x:c>
      <x:c r="B1135" s="43" t="str">
        <x:v>103586</x:v>
      </x:c>
      <x:c r="C1135" s="43" t="n">
        <x:f>IF(K1135="Boarding school",30,0)+IF(J1135&gt;=18,20,0)+IF(I1135&lt;=11,10,0)+IF(L1135="Has a sixth form",15,0)+IF(M1135&gt;=200,10,0)+IF(N1135&lt;&gt;"",10,0)</x:f>
        <x:v>20</x:v>
      </x:c>
      <x:c r="D1135" s="43" t="str">
        <x:f>IF(C1135&gt;=85,"A",IF(C1135&gt;=65,"B","C"))</x:f>
        <x:v>C</x:v>
      </x:c>
      <x:c r="E1135" s="43" t="str">
        <x:v>Darul Uloom Islamic High School</x:v>
      </x:c>
      <x:c r="F1135" s="43" t="str">
        <x:v>Birmingham</x:v>
      </x:c>
      <x:c r="G1135" s="43" t="str">
        <x:v>West Midlands</x:v>
      </x:c>
      <x:c r="H1135" s="43" t="str">
        <x:v>B10 0LL</x:v>
      </x:c>
      <x:c r="I1135" s="43" t="n">
        <x:v>11</x:v>
      </x:c>
      <x:c r="J1135" s="43" t="n">
        <x:v>16</x:v>
      </x:c>
      <x:c r="K1135" s="43" t="str">
        <x:v>No boarders</x:v>
      </x:c>
      <x:c r="L1135" s="43" t="str">
        <x:v>Does not have a sixth form</x:v>
      </x:c>
      <x:c r="M1135" s="43" t="n">
        <x:v>153</x:v>
      </x:c>
      <x:c r="N1135" s="43" t="str">
        <x:v>https://www.darululoom.org.uk</x:v>
      </x:c>
      <x:c r="O1135" s="43" t="str">
        <x:v>01216886507</x:v>
      </x:c>
      <x:c r="P1135" s="43" t="str"/>
      <x:c r="Q1135" s="43" t="str"/>
      <x:c r="R1135" s="43" t="str">
        <x:v>Queued for contact research</x:v>
      </x:c>
      <x:c r="S1135" s="43" t="str">
        <x:v>Not reviewed</x:v>
      </x:c>
      <x:c r="T1135" s="43" t="str">
        <x:v>Hold</x:v>
      </x:c>
      <x:c r="U1135" s="43" t="str">
        <x:v>No</x:v>
      </x:c>
      <x:c r="V1135" s="44"/>
      <x:c r="W1135" s="43" t="str"/>
      <x:c r="X1135" s="43" t="str"/>
      <x:c r="Y1135" s="43" t="str"/>
      <x:c r="Z1135" s="43" t="str">
        <x:v>https://www.get-information-schools.service.gov.uk/Downloads</x:v>
      </x:c>
    </x:row>
    <x:row r="1136">
      <x:c r="A1136" s="43" t="str">
        <x:v>UK independent</x:v>
      </x:c>
      <x:c r="B1136" s="43" t="str">
        <x:v>132749</x:v>
      </x:c>
      <x:c r="C1136" s="43" t="n">
        <x:f>IF(K1136="Boarding school",30,0)+IF(J1136&gt;=18,20,0)+IF(I1136&lt;=11,10,0)+IF(L1136="Has a sixth form",15,0)+IF(M1136&gt;=200,10,0)+IF(N1136&lt;&gt;"",10,0)</x:f>
        <x:v>20</x:v>
      </x:c>
      <x:c r="D1136" s="43" t="str">
        <x:f>IF(C1136&gt;=85,"A",IF(C1136&gt;=65,"B","C"))</x:f>
        <x:v>C</x:v>
      </x:c>
      <x:c r="E1136" s="43" t="str">
        <x:v>Islamiyah School</x:v>
      </x:c>
      <x:c r="F1136" s="43" t="str">
        <x:v>Blackburn</x:v>
      </x:c>
      <x:c r="G1136" s="43" t="str">
        <x:v>Lancashire</x:v>
      </x:c>
      <x:c r="H1136" s="43" t="str">
        <x:v>BB1 5NQ</x:v>
      </x:c>
      <x:c r="I1136" s="43" t="n">
        <x:v>11</x:v>
      </x:c>
      <x:c r="J1136" s="43" t="n">
        <x:v>16</x:v>
      </x:c>
      <x:c r="K1136" s="43" t="str">
        <x:v>No boarders</x:v>
      </x:c>
      <x:c r="L1136" s="43" t="str">
        <x:v>Does not have a sixth form</x:v>
      </x:c>
      <x:c r="M1136" s="43" t="n">
        <x:v>153</x:v>
      </x:c>
      <x:c r="N1136" s="43" t="str">
        <x:v>https://islamiyahschoolblackburn.com</x:v>
      </x:c>
      <x:c r="O1136" s="43" t="str">
        <x:v>01254661259</x:v>
      </x:c>
      <x:c r="P1136" s="43" t="str"/>
      <x:c r="Q1136" s="43" t="str"/>
      <x:c r="R1136" s="43" t="str">
        <x:v>Queued for contact research</x:v>
      </x:c>
      <x:c r="S1136" s="43" t="str">
        <x:v>Not reviewed</x:v>
      </x:c>
      <x:c r="T1136" s="43" t="str">
        <x:v>Hold</x:v>
      </x:c>
      <x:c r="U1136" s="43" t="str">
        <x:v>No</x:v>
      </x:c>
      <x:c r="V1136" s="44"/>
      <x:c r="W1136" s="43" t="str"/>
      <x:c r="X1136" s="43" t="str"/>
      <x:c r="Y1136" s="43" t="str"/>
      <x:c r="Z1136" s="43" t="str">
        <x:v>https://www.get-information-schools.service.gov.uk/Downloads</x:v>
      </x:c>
    </x:row>
    <x:row r="1137">
      <x:c r="A1137" s="43" t="str">
        <x:v>UK independent</x:v>
      </x:c>
      <x:c r="B1137" s="43" t="str">
        <x:v>118125</x:v>
      </x:c>
      <x:c r="C1137" s="43" t="n">
        <x:f>IF(K1137="Boarding school",30,0)+IF(J1137&gt;=18,20,0)+IF(I1137&lt;=11,10,0)+IF(L1137="Has a sixth form",15,0)+IF(M1137&gt;=200,10,0)+IF(N1137&lt;&gt;"",10,0)</x:f>
        <x:v>20</x:v>
      </x:c>
      <x:c r="D1137" s="43" t="str">
        <x:f>IF(C1137&gt;=85,"A",IF(C1137&gt;=65,"B","C"))</x:f>
        <x:v>C</x:v>
      </x:c>
      <x:c r="E1137" s="43" t="str">
        <x:v>St Martin's Preparatory School</x:v>
      </x:c>
      <x:c r="F1137" s="43" t="str">
        <x:v>Grimsby</x:v>
      </x:c>
      <x:c r="G1137" s="43" t="str">
        <x:v>North East Lincolnshire</x:v>
      </x:c>
      <x:c r="H1137" s="43" t="str">
        <x:v>DN34 5AA</x:v>
      </x:c>
      <x:c r="I1137" s="43" t="n">
        <x:v>2</x:v>
      </x:c>
      <x:c r="J1137" s="43" t="n">
        <x:v>11</x:v>
      </x:c>
      <x:c r="K1137" s="43" t="str">
        <x:v>No boarders</x:v>
      </x:c>
      <x:c r="L1137" s="43" t="str">
        <x:v>Does not have a sixth form</x:v>
      </x:c>
      <x:c r="M1137" s="43" t="n">
        <x:v>153</x:v>
      </x:c>
      <x:c r="N1137" s="43" t="str">
        <x:v>https://www.stmartinsprep.co.uk</x:v>
      </x:c>
      <x:c r="O1137" s="43" t="str">
        <x:v>01472878907</x:v>
      </x:c>
      <x:c r="P1137" s="43" t="str"/>
      <x:c r="Q1137" s="43" t="str"/>
      <x:c r="R1137" s="43" t="str">
        <x:v>Queued for contact research</x:v>
      </x:c>
      <x:c r="S1137" s="43" t="str">
        <x:v>Not reviewed</x:v>
      </x:c>
      <x:c r="T1137" s="43" t="str">
        <x:v>Hold</x:v>
      </x:c>
      <x:c r="U1137" s="43" t="str">
        <x:v>No</x:v>
      </x:c>
      <x:c r="V1137" s="44"/>
      <x:c r="W1137" s="43" t="str"/>
      <x:c r="X1137" s="43" t="str"/>
      <x:c r="Y1137" s="43" t="str"/>
      <x:c r="Z1137" s="43" t="str">
        <x:v>https://www.get-information-schools.service.gov.uk/Downloads</x:v>
      </x:c>
    </x:row>
    <x:row r="1138">
      <x:c r="A1138" s="43" t="str">
        <x:v>UK independent</x:v>
      </x:c>
      <x:c r="B1138" s="43" t="str">
        <x:v>113561</x:v>
      </x:c>
      <x:c r="C1138" s="43" t="n">
        <x:f>IF(K1138="Boarding school",30,0)+IF(J1138&gt;=18,20,0)+IF(I1138&lt;=11,10,0)+IF(L1138="Has a sixth form",15,0)+IF(M1138&gt;=200,10,0)+IF(N1138&lt;&gt;"",10,0)</x:f>
        <x:v>20</x:v>
      </x:c>
      <x:c r="D1138" s="43" t="str">
        <x:f>IF(C1138&gt;=85,"A",IF(C1138&gt;=65,"B","C"))</x:f>
        <x:v>C</x:v>
      </x:c>
      <x:c r="E1138" s="43" t="str">
        <x:v>Exeter Cathedral School</x:v>
      </x:c>
      <x:c r="F1138" s="43" t="str">
        <x:v>Exeter</x:v>
      </x:c>
      <x:c r="G1138" s="43" t="str">
        <x:v>Devon</x:v>
      </x:c>
      <x:c r="H1138" s="43" t="str">
        <x:v>EX1 1HX</x:v>
      </x:c>
      <x:c r="I1138" s="43" t="n">
        <x:v>3</x:v>
      </x:c>
      <x:c r="J1138" s="43" t="n">
        <x:v>13</x:v>
      </x:c>
      <x:c r="K1138" s="43" t="str">
        <x:v>No boarders</x:v>
      </x:c>
      <x:c r="L1138" s="43" t="str">
        <x:v>Not applicable</x:v>
      </x:c>
      <x:c r="M1138" s="43" t="n">
        <x:v>152</x:v>
      </x:c>
      <x:c r="N1138" s="43" t="str">
        <x:v>http://www.exetercathedralschool.co.uk</x:v>
      </x:c>
      <x:c r="O1138" s="43" t="str">
        <x:v>01392255298</x:v>
      </x:c>
      <x:c r="P1138" s="43" t="str"/>
      <x:c r="Q1138" s="43" t="str"/>
      <x:c r="R1138" s="43" t="str">
        <x:v>Queued for contact research</x:v>
      </x:c>
      <x:c r="S1138" s="43" t="str">
        <x:v>Not reviewed</x:v>
      </x:c>
      <x:c r="T1138" s="43" t="str">
        <x:v>Hold</x:v>
      </x:c>
      <x:c r="U1138" s="43" t="str">
        <x:v>No</x:v>
      </x:c>
      <x:c r="V1138" s="44"/>
      <x:c r="W1138" s="43" t="str"/>
      <x:c r="X1138" s="43" t="str"/>
      <x:c r="Y1138" s="43" t="str"/>
      <x:c r="Z1138" s="43" t="str">
        <x:v>https://www.get-information-schools.service.gov.uk/Downloads</x:v>
      </x:c>
    </x:row>
    <x:row r="1139">
      <x:c r="A1139" s="43" t="str">
        <x:v>UK independent</x:v>
      </x:c>
      <x:c r="B1139" s="43" t="str">
        <x:v>100062</x:v>
      </x:c>
      <x:c r="C1139" s="43" t="n">
        <x:f>IF(K1139="Boarding school",30,0)+IF(J1139&gt;=18,20,0)+IF(I1139&lt;=11,10,0)+IF(L1139="Has a sixth form",15,0)+IF(M1139&gt;=200,10,0)+IF(N1139&lt;&gt;"",10,0)</x:f>
        <x:v>20</x:v>
      </x:c>
      <x:c r="D1139" s="43" t="str">
        <x:f>IF(C1139&gt;=85,"A",IF(C1139&gt;=65,"B","C"))</x:f>
        <x:v>C</x:v>
      </x:c>
      <x:c r="E1139" s="43" t="str">
        <x:v>St Margaret's School</x:v>
      </x:c>
      <x:c r="F1139" s="43" t="str">
        <x:v>London</x:v>
      </x:c>
      <x:c r="G1139" s="43" t="str"/>
      <x:c r="H1139" s="43" t="str">
        <x:v>NW3 7SR</x:v>
      </x:c>
      <x:c r="I1139" s="43" t="n">
        <x:v>4</x:v>
      </x:c>
      <x:c r="J1139" s="43" t="n">
        <x:v>16</x:v>
      </x:c>
      <x:c r="K1139" s="43" t="str">
        <x:v>No boarders</x:v>
      </x:c>
      <x:c r="L1139" s="43" t="str">
        <x:v>Does not have a sixth form</x:v>
      </x:c>
      <x:c r="M1139" s="43" t="n">
        <x:v>152</x:v>
      </x:c>
      <x:c r="N1139" s="43" t="str">
        <x:v>http://www.st-margarets.co.uk/</x:v>
      </x:c>
      <x:c r="O1139" s="43" t="str">
        <x:v>02074352439</x:v>
      </x:c>
      <x:c r="P1139" s="43" t="str"/>
      <x:c r="Q1139" s="43" t="str"/>
      <x:c r="R1139" s="43" t="str">
        <x:v>Queued for contact research</x:v>
      </x:c>
      <x:c r="S1139" s="43" t="str">
        <x:v>Not reviewed</x:v>
      </x:c>
      <x:c r="T1139" s="43" t="str">
        <x:v>Hold</x:v>
      </x:c>
      <x:c r="U1139" s="43" t="str">
        <x:v>No</x:v>
      </x:c>
      <x:c r="V1139" s="44"/>
      <x:c r="W1139" s="43" t="str"/>
      <x:c r="X1139" s="43" t="str"/>
      <x:c r="Y1139" s="43" t="str"/>
      <x:c r="Z1139" s="43" t="str">
        <x:v>https://www.get-information-schools.service.gov.uk/Downloads</x:v>
      </x:c>
    </x:row>
    <x:row r="1140">
      <x:c r="A1140" s="43" t="str">
        <x:v>UK independent</x:v>
      </x:c>
      <x:c r="B1140" s="43" t="str">
        <x:v>110539</x:v>
      </x:c>
      <x:c r="C1140" s="43" t="n">
        <x:f>IF(K1140="Boarding school",30,0)+IF(J1140&gt;=18,20,0)+IF(I1140&lt;=11,10,0)+IF(L1140="Has a sixth form",15,0)+IF(M1140&gt;=200,10,0)+IF(N1140&lt;&gt;"",10,0)</x:f>
        <x:v>20</x:v>
      </x:c>
      <x:c r="D1140" s="43" t="str">
        <x:f>IF(C1140&gt;=85,"A",IF(C1140&gt;=65,"B","C"))</x:f>
        <x:v>C</x:v>
      </x:c>
      <x:c r="E1140" s="43" t="str">
        <x:v>Heatherton School</x:v>
      </x:c>
      <x:c r="F1140" s="43" t="str">
        <x:v>Amersham</x:v>
      </x:c>
      <x:c r="G1140" s="43" t="str">
        <x:v>Buckinghamshire</x:v>
      </x:c>
      <x:c r="H1140" s="43" t="str">
        <x:v>HP6 5QB</x:v>
      </x:c>
      <x:c r="I1140" s="43" t="n">
        <x:v>2</x:v>
      </x:c>
      <x:c r="J1140" s="43" t="n">
        <x:v>11</x:v>
      </x:c>
      <x:c r="K1140" s="43" t="str">
        <x:v>No boarders</x:v>
      </x:c>
      <x:c r="L1140" s="43" t="str">
        <x:v>Does not have a sixth form</x:v>
      </x:c>
      <x:c r="M1140" s="43" t="n">
        <x:v>149</x:v>
      </x:c>
      <x:c r="N1140" s="43" t="str">
        <x:v>http://www.berkhamsted.com/heatherton</x:v>
      </x:c>
      <x:c r="O1140" s="43" t="str">
        <x:v>01494726433</x:v>
      </x:c>
      <x:c r="P1140" s="43" t="str"/>
      <x:c r="Q1140" s="43" t="str"/>
      <x:c r="R1140" s="43" t="str">
        <x:v>Queued for contact research</x:v>
      </x:c>
      <x:c r="S1140" s="43" t="str">
        <x:v>Not reviewed</x:v>
      </x:c>
      <x:c r="T1140" s="43" t="str">
        <x:v>Hold</x:v>
      </x:c>
      <x:c r="U1140" s="43" t="str">
        <x:v>No</x:v>
      </x:c>
      <x:c r="V1140" s="44"/>
      <x:c r="W1140" s="43" t="str"/>
      <x:c r="X1140" s="43" t="str"/>
      <x:c r="Y1140" s="43" t="str"/>
      <x:c r="Z1140" s="43" t="str">
        <x:v>https://www.get-information-schools.service.gov.uk/Downloads</x:v>
      </x:c>
    </x:row>
    <x:row r="1141">
      <x:c r="A1141" s="43" t="str">
        <x:v>UK independent</x:v>
      </x:c>
      <x:c r="B1141" s="43" t="str">
        <x:v>135539</x:v>
      </x:c>
      <x:c r="C1141" s="43" t="n">
        <x:f>IF(K1141="Boarding school",30,0)+IF(J1141&gt;=18,20,0)+IF(I1141&lt;=11,10,0)+IF(L1141="Has a sixth form",15,0)+IF(M1141&gt;=200,10,0)+IF(N1141&lt;&gt;"",10,0)</x:f>
        <x:v>20</x:v>
      </x:c>
      <x:c r="D1141" s="43" t="str">
        <x:f>IF(C1141&gt;=85,"A",IF(C1141&gt;=65,"B","C"))</x:f>
        <x:v>C</x:v>
      </x:c>
      <x:c r="E1141" s="43" t="str">
        <x:v>Oakwood Primary School</x:v>
      </x:c>
      <x:c r="F1141" s="43" t="str">
        <x:v>Luton</x:v>
      </x:c>
      <x:c r="G1141" s="43" t="str">
        <x:v>Bedfordshire</x:v>
      </x:c>
      <x:c r="H1141" s="43" t="str">
        <x:v>LU1 3RR</x:v>
      </x:c>
      <x:c r="I1141" s="43" t="n">
        <x:v>3</x:v>
      </x:c>
      <x:c r="J1141" s="43" t="n">
        <x:v>11</x:v>
      </x:c>
      <x:c r="K1141" s="43" t="str">
        <x:v>No boarders</x:v>
      </x:c>
      <x:c r="L1141" s="43" t="str">
        <x:v>Does not have a sixth form</x:v>
      </x:c>
      <x:c r="M1141" s="43" t="n">
        <x:v>149</x:v>
      </x:c>
      <x:c r="N1141" s="43" t="str">
        <x:v>https://www.oakwoodprimary.co.uk</x:v>
      </x:c>
      <x:c r="O1141" s="43" t="str">
        <x:v>01582518800</x:v>
      </x:c>
      <x:c r="P1141" s="43" t="str"/>
      <x:c r="Q1141" s="43" t="str"/>
      <x:c r="R1141" s="43" t="str">
        <x:v>Queued for contact research</x:v>
      </x:c>
      <x:c r="S1141" s="43" t="str">
        <x:v>Not reviewed</x:v>
      </x:c>
      <x:c r="T1141" s="43" t="str">
        <x:v>Hold</x:v>
      </x:c>
      <x:c r="U1141" s="43" t="str">
        <x:v>No</x:v>
      </x:c>
      <x:c r="V1141" s="44"/>
      <x:c r="W1141" s="43" t="str"/>
      <x:c r="X1141" s="43" t="str"/>
      <x:c r="Y1141" s="43" t="str"/>
      <x:c r="Z1141" s="43" t="str">
        <x:v>https://www.get-information-schools.service.gov.uk/Downloads</x:v>
      </x:c>
    </x:row>
    <x:row r="1142">
      <x:c r="A1142" s="43" t="str">
        <x:v>UK independent</x:v>
      </x:c>
      <x:c r="B1142" s="43" t="str">
        <x:v>118967</x:v>
      </x:c>
      <x:c r="C1142" s="43" t="n">
        <x:f>IF(K1142="Boarding school",30,0)+IF(J1142&gt;=18,20,0)+IF(I1142&lt;=11,10,0)+IF(L1142="Has a sixth form",15,0)+IF(M1142&gt;=200,10,0)+IF(N1142&lt;&gt;"",10,0)</x:f>
        <x:v>20</x:v>
      </x:c>
      <x:c r="D1142" s="43" t="str">
        <x:f>IF(C1142&gt;=85,"A",IF(C1142&gt;=65,"B","C"))</x:f>
        <x:v>C</x:v>
      </x:c>
      <x:c r="E1142" s="43" t="str">
        <x:v>Bronte School</x:v>
      </x:c>
      <x:c r="F1142" s="43" t="str">
        <x:v>Gravesend</x:v>
      </x:c>
      <x:c r="G1142" s="43" t="str">
        <x:v>Kent</x:v>
      </x:c>
      <x:c r="H1142" s="43" t="str">
        <x:v>DA11 0HN</x:v>
      </x:c>
      <x:c r="I1142" s="43" t="n">
        <x:v>3</x:v>
      </x:c>
      <x:c r="J1142" s="43" t="n">
        <x:v>11</x:v>
      </x:c>
      <x:c r="K1142" s="43" t="str">
        <x:v>No boarders</x:v>
      </x:c>
      <x:c r="L1142" s="43" t="str">
        <x:v>Does not have a sixth form</x:v>
      </x:c>
      <x:c r="M1142" s="43" t="n">
        <x:v>147</x:v>
      </x:c>
      <x:c r="N1142" s="43" t="str">
        <x:v>https://www.bronteschool.co.uk/</x:v>
      </x:c>
      <x:c r="O1142" s="43" t="str">
        <x:v>01474533805</x:v>
      </x:c>
      <x:c r="P1142" s="43" t="str"/>
      <x:c r="Q1142" s="43" t="str"/>
      <x:c r="R1142" s="43" t="str">
        <x:v>Queued for contact research</x:v>
      </x:c>
      <x:c r="S1142" s="43" t="str">
        <x:v>Not reviewed</x:v>
      </x:c>
      <x:c r="T1142" s="43" t="str">
        <x:v>Hold</x:v>
      </x:c>
      <x:c r="U1142" s="43" t="str">
        <x:v>No</x:v>
      </x:c>
      <x:c r="V1142" s="44"/>
      <x:c r="W1142" s="43" t="str"/>
      <x:c r="X1142" s="43" t="str"/>
      <x:c r="Y1142" s="43" t="str"/>
      <x:c r="Z1142" s="43" t="str">
        <x:v>https://www.get-information-schools.service.gov.uk/Downloads</x:v>
      </x:c>
    </x:row>
    <x:row r="1143">
      <x:c r="A1143" s="43" t="str">
        <x:v>UK independent</x:v>
      </x:c>
      <x:c r="B1143" s="43" t="str">
        <x:v>110114</x:v>
      </x:c>
      <x:c r="C1143" s="43" t="n">
        <x:f>IF(K1143="Boarding school",30,0)+IF(J1143&gt;=18,20,0)+IF(I1143&lt;=11,10,0)+IF(L1143="Has a sixth form",15,0)+IF(M1143&gt;=200,10,0)+IF(N1143&lt;&gt;"",10,0)</x:f>
        <x:v>20</x:v>
      </x:c>
      <x:c r="D1143" s="43" t="str">
        <x:f>IF(C1143&gt;=85,"A",IF(C1143&gt;=65,"B","C"))</x:f>
        <x:v>C</x:v>
      </x:c>
      <x:c r="E1143" s="43" t="str">
        <x:v>St Edward's Prep</x:v>
      </x:c>
      <x:c r="F1143" s="43" t="str">
        <x:v>Reading</x:v>
      </x:c>
      <x:c r="G1143" s="43" t="str">
        <x:v>Berkshire</x:v>
      </x:c>
      <x:c r="H1143" s="43" t="str">
        <x:v>RG30 2JH</x:v>
      </x:c>
      <x:c r="I1143" s="43" t="n">
        <x:v>2</x:v>
      </x:c>
      <x:c r="J1143" s="43" t="n">
        <x:v>11</x:v>
      </x:c>
      <x:c r="K1143" s="43" t="str">
        <x:v>No boarders</x:v>
      </x:c>
      <x:c r="L1143" s="43" t="str">
        <x:v>Does not have a sixth form</x:v>
      </x:c>
      <x:c r="M1143" s="43" t="n">
        <x:v>147</x:v>
      </x:c>
      <x:c r="N1143" s="43" t="str">
        <x:v>https://www.stedwardsprep.com</x:v>
      </x:c>
      <x:c r="O1143" s="43" t="str">
        <x:v>01189574342</x:v>
      </x:c>
      <x:c r="P1143" s="43" t="str"/>
      <x:c r="Q1143" s="43" t="str"/>
      <x:c r="R1143" s="43" t="str">
        <x:v>Queued for contact research</x:v>
      </x:c>
      <x:c r="S1143" s="43" t="str">
        <x:v>Not reviewed</x:v>
      </x:c>
      <x:c r="T1143" s="43" t="str">
        <x:v>Hold</x:v>
      </x:c>
      <x:c r="U1143" s="43" t="str">
        <x:v>No</x:v>
      </x:c>
      <x:c r="V1143" s="44"/>
      <x:c r="W1143" s="43" t="str"/>
      <x:c r="X1143" s="43" t="str"/>
      <x:c r="Y1143" s="43" t="str"/>
      <x:c r="Z1143" s="43" t="str">
        <x:v>https://www.get-information-schools.service.gov.uk/Downloads</x:v>
      </x:c>
    </x:row>
    <x:row r="1144">
      <x:c r="A1144" s="43" t="str">
        <x:v>UK independent</x:v>
      </x:c>
      <x:c r="B1144" s="43" t="str">
        <x:v>123291</x:v>
      </x:c>
      <x:c r="C1144" s="43" t="n">
        <x:f>IF(K1144="Boarding school",30,0)+IF(J1144&gt;=18,20,0)+IF(I1144&lt;=11,10,0)+IF(L1144="Has a sixth form",15,0)+IF(M1144&gt;=200,10,0)+IF(N1144&lt;&gt;"",10,0)</x:f>
        <x:v>20</x:v>
      </x:c>
      <x:c r="D1144" s="43" t="str">
        <x:f>IF(C1144&gt;=85,"A",IF(C1144&gt;=65,"B","C"))</x:f>
        <x:v>C</x:v>
      </x:c>
      <x:c r="E1144" s="43" t="str">
        <x:v>New College School</x:v>
      </x:c>
      <x:c r="F1144" s="43" t="str">
        <x:v>Oxford</x:v>
      </x:c>
      <x:c r="G1144" s="43" t="str">
        <x:v>Oxfordshire</x:v>
      </x:c>
      <x:c r="H1144" s="43" t="str">
        <x:v>OX1 3UA</x:v>
      </x:c>
      <x:c r="I1144" s="43" t="n">
        <x:v>4</x:v>
      </x:c>
      <x:c r="J1144" s="43" t="n">
        <x:v>13</x:v>
      </x:c>
      <x:c r="K1144" s="43" t="str">
        <x:v>No boarders</x:v>
      </x:c>
      <x:c r="L1144" s="43" t="str">
        <x:v>Does not have a sixth form</x:v>
      </x:c>
      <x:c r="M1144" s="43" t="n">
        <x:v>146</x:v>
      </x:c>
      <x:c r="N1144" s="43" t="str">
        <x:v>https://www.newcollegeschool.org</x:v>
      </x:c>
      <x:c r="O1144" s="43" t="str">
        <x:v>01865285560</x:v>
      </x:c>
      <x:c r="P1144" s="43" t="str"/>
      <x:c r="Q1144" s="43" t="str"/>
      <x:c r="R1144" s="43" t="str">
        <x:v>Queued for contact research</x:v>
      </x:c>
      <x:c r="S1144" s="43" t="str">
        <x:v>Not reviewed</x:v>
      </x:c>
      <x:c r="T1144" s="43" t="str">
        <x:v>Hold</x:v>
      </x:c>
      <x:c r="U1144" s="43" t="str">
        <x:v>No</x:v>
      </x:c>
      <x:c r="V1144" s="44"/>
      <x:c r="W1144" s="43" t="str"/>
      <x:c r="X1144" s="43" t="str"/>
      <x:c r="Y1144" s="43" t="str"/>
      <x:c r="Z1144" s="43" t="str">
        <x:v>https://www.get-information-schools.service.gov.uk/Downloads</x:v>
      </x:c>
    </x:row>
    <x:row r="1145">
      <x:c r="A1145" s="43" t="str">
        <x:v>UK independent</x:v>
      </x:c>
      <x:c r="B1145" s="43" t="str">
        <x:v>131979</x:v>
      </x:c>
      <x:c r="C1145" s="43" t="n">
        <x:f>IF(K1145="Boarding school",30,0)+IF(J1145&gt;=18,20,0)+IF(I1145&lt;=11,10,0)+IF(L1145="Has a sixth form",15,0)+IF(M1145&gt;=200,10,0)+IF(N1145&lt;&gt;"",10,0)</x:f>
        <x:v>20</x:v>
      </x:c>
      <x:c r="D1145" s="43" t="str">
        <x:f>IF(C1145&gt;=85,"A",IF(C1145&gt;=65,"B","C"))</x:f>
        <x:v>C</x:v>
      </x:c>
      <x:c r="E1145" s="43" t="str">
        <x:v>Kassim Darwish Grammar School for Boys</x:v>
      </x:c>
      <x:c r="F1145" s="43" t="str">
        <x:v>Manchester</x:v>
      </x:c>
      <x:c r="G1145" s="43" t="str">
        <x:v>Lancashire</x:v>
      </x:c>
      <x:c r="H1145" s="43" t="str">
        <x:v>M16 8NH</x:v>
      </x:c>
      <x:c r="I1145" s="43" t="n">
        <x:v>11</x:v>
      </x:c>
      <x:c r="J1145" s="43" t="n">
        <x:v>16</x:v>
      </x:c>
      <x:c r="K1145" s="43" t="str">
        <x:v>No boarders</x:v>
      </x:c>
      <x:c r="L1145" s="43" t="str">
        <x:v>Does not have a sixth form</x:v>
      </x:c>
      <x:c r="M1145" s="43" t="n">
        <x:v>145</x:v>
      </x:c>
      <x:c r="N1145" s="43" t="str">
        <x:v>https://www.kdgb.miet.uk</x:v>
      </x:c>
      <x:c r="O1145" s="43" t="str">
        <x:v>01618607676</x:v>
      </x:c>
      <x:c r="P1145" s="43" t="str"/>
      <x:c r="Q1145" s="43" t="str"/>
      <x:c r="R1145" s="43" t="str">
        <x:v>Queued for contact research</x:v>
      </x:c>
      <x:c r="S1145" s="43" t="str">
        <x:v>Not reviewed</x:v>
      </x:c>
      <x:c r="T1145" s="43" t="str">
        <x:v>Hold</x:v>
      </x:c>
      <x:c r="U1145" s="43" t="str">
        <x:v>No</x:v>
      </x:c>
      <x:c r="V1145" s="44"/>
      <x:c r="W1145" s="43" t="str"/>
      <x:c r="X1145" s="43" t="str"/>
      <x:c r="Y1145" s="43" t="str"/>
      <x:c r="Z1145" s="43" t="str">
        <x:v>https://www.get-information-schools.service.gov.uk/Downloads</x:v>
      </x:c>
    </x:row>
    <x:row r="1146">
      <x:c r="A1146" s="43" t="str">
        <x:v>UK independent</x:v>
      </x:c>
      <x:c r="B1146" s="43" t="str">
        <x:v>133517</x:v>
      </x:c>
      <x:c r="C1146" s="43" t="n">
        <x:f>IF(K1146="Boarding school",30,0)+IF(J1146&gt;=18,20,0)+IF(I1146&lt;=11,10,0)+IF(L1146="Has a sixth form",15,0)+IF(M1146&gt;=200,10,0)+IF(N1146&lt;&gt;"",10,0)</x:f>
        <x:v>20</x:v>
      </x:c>
      <x:c r="D1146" s="43" t="str">
        <x:f>IF(C1146&gt;=85,"A",IF(C1146&gt;=65,"B","C"))</x:f>
        <x:v>C</x:v>
      </x:c>
      <x:c r="E1146" s="43" t="str">
        <x:v>Noor Ul Islam Primary School</x:v>
      </x:c>
      <x:c r="F1146" s="43" t="str">
        <x:v>London</x:v>
      </x:c>
      <x:c r="G1146" s="43" t="str"/>
      <x:c r="H1146" s="43" t="str">
        <x:v>E10 6QW</x:v>
      </x:c>
      <x:c r="I1146" s="43" t="n">
        <x:v>4</x:v>
      </x:c>
      <x:c r="J1146" s="43" t="n">
        <x:v>11</x:v>
      </x:c>
      <x:c r="K1146" s="43" t="str">
        <x:v>No boarders</x:v>
      </x:c>
      <x:c r="L1146" s="43" t="str">
        <x:v>Does not have a sixth form</x:v>
      </x:c>
      <x:c r="M1146" s="43" t="n">
        <x:v>145</x:v>
      </x:c>
      <x:c r="N1146" s="43" t="str">
        <x:v>https://www.noorulislamprimaryschool.org.uk</x:v>
      </x:c>
      <x:c r="O1146" s="43" t="str">
        <x:v>02085588765</x:v>
      </x:c>
      <x:c r="P1146" s="43" t="str"/>
      <x:c r="Q1146" s="43" t="str"/>
      <x:c r="R1146" s="43" t="str">
        <x:v>Queued for contact research</x:v>
      </x:c>
      <x:c r="S1146" s="43" t="str">
        <x:v>Not reviewed</x:v>
      </x:c>
      <x:c r="T1146" s="43" t="str">
        <x:v>Hold</x:v>
      </x:c>
      <x:c r="U1146" s="43" t="str">
        <x:v>No</x:v>
      </x:c>
      <x:c r="V1146" s="44"/>
      <x:c r="W1146" s="43" t="str"/>
      <x:c r="X1146" s="43" t="str"/>
      <x:c r="Y1146" s="43" t="str"/>
      <x:c r="Z1146" s="43" t="str">
        <x:v>https://www.get-information-schools.service.gov.uk/Downloads</x:v>
      </x:c>
    </x:row>
    <x:row r="1147">
      <x:c r="A1147" s="43" t="str">
        <x:v>UK independent</x:v>
      </x:c>
      <x:c r="B1147" s="43" t="str">
        <x:v>107461</x:v>
      </x:c>
      <x:c r="C1147" s="43" t="n">
        <x:f>IF(K1147="Boarding school",30,0)+IF(J1147&gt;=18,20,0)+IF(I1147&lt;=11,10,0)+IF(L1147="Has a sixth form",15,0)+IF(M1147&gt;=200,10,0)+IF(N1147&lt;&gt;"",10,0)</x:f>
        <x:v>20</x:v>
      </x:c>
      <x:c r="D1147" s="43" t="str">
        <x:f>IF(C1147&gt;=85,"A",IF(C1147&gt;=65,"B","C"))</x:f>
        <x:v>C</x:v>
      </x:c>
      <x:c r="E1147" s="43" t="str">
        <x:v>Bradford Christian School</x:v>
      </x:c>
      <x:c r="F1147" s="43" t="str">
        <x:v>Bradford</x:v>
      </x:c>
      <x:c r="G1147" s="43" t="str"/>
      <x:c r="H1147" s="43" t="str">
        <x:v>BD2 1BT</x:v>
      </x:c>
      <x:c r="I1147" s="43" t="n">
        <x:v>3</x:v>
      </x:c>
      <x:c r="J1147" s="43" t="n">
        <x:v>16</x:v>
      </x:c>
      <x:c r="K1147" s="43" t="str">
        <x:v>No boarders</x:v>
      </x:c>
      <x:c r="L1147" s="43" t="str">
        <x:v>Does not have a sixth form</x:v>
      </x:c>
      <x:c r="M1147" s="43" t="n">
        <x:v>144</x:v>
      </x:c>
      <x:c r="N1147" s="43" t="str">
        <x:v>http://bradfordchristianschool.com</x:v>
      </x:c>
      <x:c r="O1147" s="43" t="str">
        <x:v>01274532649</x:v>
      </x:c>
      <x:c r="P1147" s="43" t="str"/>
      <x:c r="Q1147" s="43" t="str"/>
      <x:c r="R1147" s="43" t="str">
        <x:v>Queued for contact research</x:v>
      </x:c>
      <x:c r="S1147" s="43" t="str">
        <x:v>Not reviewed</x:v>
      </x:c>
      <x:c r="T1147" s="43" t="str">
        <x:v>Hold</x:v>
      </x:c>
      <x:c r="U1147" s="43" t="str">
        <x:v>No</x:v>
      </x:c>
      <x:c r="V1147" s="44"/>
      <x:c r="W1147" s="43" t="str"/>
      <x:c r="X1147" s="43" t="str"/>
      <x:c r="Y1147" s="43" t="str"/>
      <x:c r="Z1147" s="43" t="str">
        <x:v>https://www.get-information-schools.service.gov.uk/Downloads</x:v>
      </x:c>
    </x:row>
    <x:row r="1148">
      <x:c r="A1148" s="43" t="str">
        <x:v>UK independent</x:v>
      </x:c>
      <x:c r="B1148" s="43" t="str">
        <x:v>100542</x:v>
      </x:c>
      <x:c r="C1148" s="43" t="n">
        <x:f>IF(K1148="Boarding school",30,0)+IF(J1148&gt;=18,20,0)+IF(I1148&lt;=11,10,0)+IF(L1148="Has a sixth form",15,0)+IF(M1148&gt;=200,10,0)+IF(N1148&lt;&gt;"",10,0)</x:f>
        <x:v>20</x:v>
      </x:c>
      <x:c r="D1148" s="43" t="str">
        <x:f>IF(C1148&gt;=85,"A",IF(C1148&gt;=65,"B","C"))</x:f>
        <x:v>C</x:v>
      </x:c>
      <x:c r="E1148" s="43" t="str">
        <x:v>Southbank International School Kensington</x:v>
      </x:c>
      <x:c r="F1148" s="43" t="str">
        <x:v>London</x:v>
      </x:c>
      <x:c r="G1148" s="43" t="str"/>
      <x:c r="H1148" s="43" t="str">
        <x:v>W11 3BU</x:v>
      </x:c>
      <x:c r="I1148" s="43" t="n">
        <x:v>2</x:v>
      </x:c>
      <x:c r="J1148" s="43" t="n">
        <x:v>11</x:v>
      </x:c>
      <x:c r="K1148" s="43" t="str">
        <x:v>No boarders</x:v>
      </x:c>
      <x:c r="L1148" s="43" t="str">
        <x:v>Does not have a sixth form</x:v>
      </x:c>
      <x:c r="M1148" s="43" t="n">
        <x:v>144</x:v>
      </x:c>
      <x:c r="N1148" s="43" t="str">
        <x:v>https://www.southbank.org</x:v>
      </x:c>
      <x:c r="O1148" s="43" t="str">
        <x:v>02072298230</x:v>
      </x:c>
      <x:c r="P1148" s="43" t="str"/>
      <x:c r="Q1148" s="43" t="str"/>
      <x:c r="R1148" s="43" t="str">
        <x:v>Queued for contact research</x:v>
      </x:c>
      <x:c r="S1148" s="43" t="str">
        <x:v>Not reviewed</x:v>
      </x:c>
      <x:c r="T1148" s="43" t="str">
        <x:v>Hold</x:v>
      </x:c>
      <x:c r="U1148" s="43" t="str">
        <x:v>No</x:v>
      </x:c>
      <x:c r="V1148" s="44"/>
      <x:c r="W1148" s="43" t="str"/>
      <x:c r="X1148" s="43" t="str"/>
      <x:c r="Y1148" s="43" t="str"/>
      <x:c r="Z1148" s="43" t="str">
        <x:v>https://www.get-information-schools.service.gov.uk/Downloads</x:v>
      </x:c>
    </x:row>
    <x:row r="1149">
      <x:c r="A1149" s="43" t="str">
        <x:v>UK independent</x:v>
      </x:c>
      <x:c r="B1149" s="43" t="str">
        <x:v>102357</x:v>
      </x:c>
      <x:c r="C1149" s="43" t="n">
        <x:f>IF(K1149="Boarding school",30,0)+IF(J1149&gt;=18,20,0)+IF(I1149&lt;=11,10,0)+IF(L1149="Has a sixth form",15,0)+IF(M1149&gt;=200,10,0)+IF(N1149&lt;&gt;"",10,0)</x:f>
        <x:v>20</x:v>
      </x:c>
      <x:c r="D1149" s="43" t="str">
        <x:f>IF(C1149&gt;=85,"A",IF(C1149&gt;=65,"B","C"))</x:f>
        <x:v>C</x:v>
      </x:c>
      <x:c r="E1149" s="43" t="str">
        <x:v>St Mary's Hare Park School</x:v>
      </x:c>
      <x:c r="F1149" s="43" t="str">
        <x:v>Romford</x:v>
      </x:c>
      <x:c r="G1149" s="43" t="str">
        <x:v>Essex</x:v>
      </x:c>
      <x:c r="H1149" s="43" t="str">
        <x:v>RM2 6HH</x:v>
      </x:c>
      <x:c r="I1149" s="43" t="n">
        <x:v>2</x:v>
      </x:c>
      <x:c r="J1149" s="43" t="n">
        <x:v>11</x:v>
      </x:c>
      <x:c r="K1149" s="43" t="str">
        <x:v>No boarders</x:v>
      </x:c>
      <x:c r="L1149" s="43" t="str">
        <x:v>Does not have a sixth form</x:v>
      </x:c>
      <x:c r="M1149" s="43" t="n">
        <x:v>144</x:v>
      </x:c>
      <x:c r="N1149" s="43" t="str">
        <x:v>http://www.stmarysharepark.co.uk</x:v>
      </x:c>
      <x:c r="O1149" s="43" t="str">
        <x:v>01708761220</x:v>
      </x:c>
      <x:c r="P1149" s="43" t="str"/>
      <x:c r="Q1149" s="43" t="str"/>
      <x:c r="R1149" s="43" t="str">
        <x:v>Queued for contact research</x:v>
      </x:c>
      <x:c r="S1149" s="43" t="str">
        <x:v>Not reviewed</x:v>
      </x:c>
      <x:c r="T1149" s="43" t="str">
        <x:v>Hold</x:v>
      </x:c>
      <x:c r="U1149" s="43" t="str">
        <x:v>No</x:v>
      </x:c>
      <x:c r="V1149" s="44"/>
      <x:c r="W1149" s="43" t="str"/>
      <x:c r="X1149" s="43" t="str"/>
      <x:c r="Y1149" s="43" t="str"/>
      <x:c r="Z1149" s="43" t="str">
        <x:v>https://www.get-information-schools.service.gov.uk/Downloads</x:v>
      </x:c>
    </x:row>
    <x:row r="1150">
      <x:c r="A1150" s="43" t="str">
        <x:v>UK independent</x:v>
      </x:c>
      <x:c r="B1150" s="43" t="str">
        <x:v>111470</x:v>
      </x:c>
      <x:c r="C1150" s="43" t="n">
        <x:f>IF(K1150="Boarding school",30,0)+IF(J1150&gt;=18,20,0)+IF(I1150&lt;=11,10,0)+IF(L1150="Has a sixth form",15,0)+IF(M1150&gt;=200,10,0)+IF(N1150&lt;&gt;"",10,0)</x:f>
        <x:v>20</x:v>
      </x:c>
      <x:c r="D1150" s="43" t="str">
        <x:f>IF(C1150&gt;=85,"A",IF(C1150&gt;=65,"B","C"))</x:f>
        <x:v>C</x:v>
      </x:c>
      <x:c r="E1150" s="43" t="str">
        <x:v>The Firs School</x:v>
      </x:c>
      <x:c r="F1150" s="43" t="str"/>
      <x:c r="G1150" s="43" t="str"/>
      <x:c r="H1150" s="43" t="str">
        <x:v>CH2 2HJ</x:v>
      </x:c>
      <x:c r="I1150" s="43" t="n">
        <x:v>3</x:v>
      </x:c>
      <x:c r="J1150" s="43" t="n">
        <x:v>11</x:v>
      </x:c>
      <x:c r="K1150" s="43" t="str">
        <x:v>No boarders</x:v>
      </x:c>
      <x:c r="L1150" s="43" t="str">
        <x:v>Does not have a sixth form</x:v>
      </x:c>
      <x:c r="M1150" s="43" t="n">
        <x:v>144</x:v>
      </x:c>
      <x:c r="N1150" s="43" t="str">
        <x:v>https://www.firsschool.net</x:v>
      </x:c>
      <x:c r="O1150" s="43" t="str">
        <x:v>01244322443</x:v>
      </x:c>
      <x:c r="P1150" s="43" t="str"/>
      <x:c r="Q1150" s="43" t="str"/>
      <x:c r="R1150" s="43" t="str">
        <x:v>Queued for contact research</x:v>
      </x:c>
      <x:c r="S1150" s="43" t="str">
        <x:v>Not reviewed</x:v>
      </x:c>
      <x:c r="T1150" s="43" t="str">
        <x:v>Hold</x:v>
      </x:c>
      <x:c r="U1150" s="43" t="str">
        <x:v>No</x:v>
      </x:c>
      <x:c r="V1150" s="44"/>
      <x:c r="W1150" s="43" t="str"/>
      <x:c r="X1150" s="43" t="str"/>
      <x:c r="Y1150" s="43" t="str"/>
      <x:c r="Z1150" s="43" t="str">
        <x:v>https://www.get-information-schools.service.gov.uk/Downloads</x:v>
      </x:c>
    </x:row>
    <x:row r="1151">
      <x:c r="A1151" s="43" t="str">
        <x:v>UK independent</x:v>
      </x:c>
      <x:c r="B1151" s="43" t="str">
        <x:v>134810</x:v>
      </x:c>
      <x:c r="C1151" s="43" t="n">
        <x:f>IF(K1151="Boarding school",30,0)+IF(J1151&gt;=18,20,0)+IF(I1151&lt;=11,10,0)+IF(L1151="Has a sixth form",15,0)+IF(M1151&gt;=200,10,0)+IF(N1151&lt;&gt;"",10,0)</x:f>
        <x:v>20</x:v>
      </x:c>
      <x:c r="D1151" s="43" t="str">
        <x:f>IF(C1151&gt;=85,"A",IF(C1151&gt;=65,"B","C"))</x:f>
        <x:v>C</x:v>
      </x:c>
      <x:c r="E1151" s="43" t="str">
        <x:v>London East Academy</x:v>
      </x:c>
      <x:c r="F1151" s="43" t="str">
        <x:v>London</x:v>
      </x:c>
      <x:c r="G1151" s="43" t="str"/>
      <x:c r="H1151" s="43" t="str">
        <x:v>E1 1JX</x:v>
      </x:c>
      <x:c r="I1151" s="43" t="n">
        <x:v>11</x:v>
      </x:c>
      <x:c r="J1151" s="43" t="n">
        <x:v>16</x:v>
      </x:c>
      <x:c r="K1151" s="43" t="str">
        <x:v>No boarders</x:v>
      </x:c>
      <x:c r="L1151" s="43" t="str">
        <x:v>Does not have a sixth form</x:v>
      </x:c>
      <x:c r="M1151" s="43" t="n">
        <x:v>143</x:v>
      </x:c>
      <x:c r="N1151" s="43" t="str">
        <x:v>https://www.londoneastacademy.co.uk</x:v>
      </x:c>
      <x:c r="O1151" s="43" t="str">
        <x:v>02076503070</x:v>
      </x:c>
      <x:c r="P1151" s="43" t="str"/>
      <x:c r="Q1151" s="43" t="str"/>
      <x:c r="R1151" s="43" t="str">
        <x:v>Queued for contact research</x:v>
      </x:c>
      <x:c r="S1151" s="43" t="str">
        <x:v>Not reviewed</x:v>
      </x:c>
      <x:c r="T1151" s="43" t="str">
        <x:v>Hold</x:v>
      </x:c>
      <x:c r="U1151" s="43" t="str">
        <x:v>No</x:v>
      </x:c>
      <x:c r="V1151" s="44"/>
      <x:c r="W1151" s="43" t="str"/>
      <x:c r="X1151" s="43" t="str"/>
      <x:c r="Y1151" s="43" t="str"/>
      <x:c r="Z1151" s="43" t="str">
        <x:v>https://www.get-information-schools.service.gov.uk/Downloads</x:v>
      </x:c>
    </x:row>
    <x:row r="1152">
      <x:c r="A1152" s="43" t="str">
        <x:v>UK independent</x:v>
      </x:c>
      <x:c r="B1152" s="43" t="str">
        <x:v>133628</x:v>
      </x:c>
      <x:c r="C1152" s="43" t="n">
        <x:f>IF(K1152="Boarding school",30,0)+IF(J1152&gt;=18,20,0)+IF(I1152&lt;=11,10,0)+IF(L1152="Has a sixth form",15,0)+IF(M1152&gt;=200,10,0)+IF(N1152&lt;&gt;"",10,0)</x:f>
        <x:v>20</x:v>
      </x:c>
      <x:c r="D1152" s="43" t="str">
        <x:f>IF(C1152&gt;=85,"A",IF(C1152&gt;=65,"B","C"))</x:f>
        <x:v>C</x:v>
      </x:c>
      <x:c r="E1152" s="43" t="str">
        <x:v>Woodlands School Hutton Manor</x:v>
      </x:c>
      <x:c r="F1152" s="43" t="str">
        <x:v>Brentwood</x:v>
      </x:c>
      <x:c r="G1152" s="43" t="str">
        <x:v>Essex</x:v>
      </x:c>
      <x:c r="H1152" s="43" t="str">
        <x:v>CM13 1SD</x:v>
      </x:c>
      <x:c r="I1152" s="43" t="n">
        <x:v>0</x:v>
      </x:c>
      <x:c r="J1152" s="43" t="n">
        <x:v>11</x:v>
      </x:c>
      <x:c r="K1152" s="43" t="str">
        <x:v>No boarders</x:v>
      </x:c>
      <x:c r="L1152" s="43" t="str">
        <x:v>Does not have a sixth form</x:v>
      </x:c>
      <x:c r="M1152" s="43" t="n">
        <x:v>143</x:v>
      </x:c>
      <x:c r="N1152" s="43" t="str">
        <x:v>https://www.woodlandsschools.co.uk</x:v>
      </x:c>
      <x:c r="O1152" s="43" t="str">
        <x:v>01277245585</x:v>
      </x:c>
      <x:c r="P1152" s="43" t="str"/>
      <x:c r="Q1152" s="43" t="str"/>
      <x:c r="R1152" s="43" t="str">
        <x:v>Queued for contact research</x:v>
      </x:c>
      <x:c r="S1152" s="43" t="str">
        <x:v>Not reviewed</x:v>
      </x:c>
      <x:c r="T1152" s="43" t="str">
        <x:v>Hold</x:v>
      </x:c>
      <x:c r="U1152" s="43" t="str">
        <x:v>No</x:v>
      </x:c>
      <x:c r="V1152" s="44"/>
      <x:c r="W1152" s="43" t="str"/>
      <x:c r="X1152" s="43" t="str"/>
      <x:c r="Y1152" s="43" t="str"/>
      <x:c r="Z1152" s="43" t="str">
        <x:v>https://www.get-information-schools.service.gov.uk/Downloads</x:v>
      </x:c>
    </x:row>
    <x:row r="1153">
      <x:c r="A1153" s="43" t="str">
        <x:v>UK independent</x:v>
      </x:c>
      <x:c r="B1153" s="43" t="str">
        <x:v>115421</x:v>
      </x:c>
      <x:c r="C1153" s="43" t="n">
        <x:f>IF(K1153="Boarding school",30,0)+IF(J1153&gt;=18,20,0)+IF(I1153&lt;=11,10,0)+IF(L1153="Has a sixth form",15,0)+IF(M1153&gt;=200,10,0)+IF(N1153&lt;&gt;"",10,0)</x:f>
        <x:v>20</x:v>
      </x:c>
      <x:c r="D1153" s="43" t="str">
        <x:f>IF(C1153&gt;=85,"A",IF(C1153&gt;=65,"B","C"))</x:f>
        <x:v>C</x:v>
      </x:c>
      <x:c r="E1153" s="43" t="str">
        <x:v>Maldon Court Preparatory School</x:v>
      </x:c>
      <x:c r="F1153" s="43" t="str">
        <x:v>Maldon</x:v>
      </x:c>
      <x:c r="G1153" s="43" t="str">
        <x:v>Essex</x:v>
      </x:c>
      <x:c r="H1153" s="43" t="str">
        <x:v>CM9 4QE</x:v>
      </x:c>
      <x:c r="I1153" s="43" t="n">
        <x:v>1</x:v>
      </x:c>
      <x:c r="J1153" s="43" t="n">
        <x:v>11</x:v>
      </x:c>
      <x:c r="K1153" s="43" t="str">
        <x:v>No boarders</x:v>
      </x:c>
      <x:c r="L1153" s="43" t="str">
        <x:v>Does not have a sixth form</x:v>
      </x:c>
      <x:c r="M1153" s="43" t="n">
        <x:v>142</x:v>
      </x:c>
      <x:c r="N1153" s="43" t="str">
        <x:v>https://www.maldoncourtschool.org</x:v>
      </x:c>
      <x:c r="O1153" s="43" t="str">
        <x:v>01621853529</x:v>
      </x:c>
      <x:c r="P1153" s="43" t="str"/>
      <x:c r="Q1153" s="43" t="str"/>
      <x:c r="R1153" s="43" t="str">
        <x:v>Queued for contact research</x:v>
      </x:c>
      <x:c r="S1153" s="43" t="str">
        <x:v>Not reviewed</x:v>
      </x:c>
      <x:c r="T1153" s="43" t="str">
        <x:v>Hold</x:v>
      </x:c>
      <x:c r="U1153" s="43" t="str">
        <x:v>No</x:v>
      </x:c>
      <x:c r="V1153" s="44"/>
      <x:c r="W1153" s="43" t="str"/>
      <x:c r="X1153" s="43" t="str"/>
      <x:c r="Y1153" s="43" t="str"/>
      <x:c r="Z1153" s="43" t="str">
        <x:v>https://www.get-information-schools.service.gov.uk/Downloads</x:v>
      </x:c>
    </x:row>
    <x:row r="1154">
      <x:c r="A1154" s="43" t="str">
        <x:v>UK independent</x:v>
      </x:c>
      <x:c r="B1154" s="43" t="str">
        <x:v>147690</x:v>
      </x:c>
      <x:c r="C1154" s="43" t="n">
        <x:f>IF(K1154="Boarding school",30,0)+IF(J1154&gt;=18,20,0)+IF(I1154&lt;=11,10,0)+IF(L1154="Has a sixth form",15,0)+IF(M1154&gt;=200,10,0)+IF(N1154&lt;&gt;"",10,0)</x:f>
        <x:v>20</x:v>
      </x:c>
      <x:c r="D1154" s="43" t="str">
        <x:f>IF(C1154&gt;=85,"A",IF(C1154&gt;=65,"B","C"))</x:f>
        <x:v>C</x:v>
      </x:c>
      <x:c r="E1154" s="43" t="str">
        <x:v>Al Hikmah Boys School</x:v>
      </x:c>
      <x:c r="F1154" s="43" t="str"/>
      <x:c r="G1154" s="43" t="str"/>
      <x:c r="H1154" s="43" t="str">
        <x:v>LU4 9LE</x:v>
      </x:c>
      <x:c r="I1154" s="43" t="n">
        <x:v>11</x:v>
      </x:c>
      <x:c r="J1154" s="43" t="n">
        <x:v>16</x:v>
      </x:c>
      <x:c r="K1154" s="43" t="str">
        <x:v>No boarders</x:v>
      </x:c>
      <x:c r="L1154" s="43" t="str">
        <x:v>Does not have a sixth form</x:v>
      </x:c>
      <x:c r="M1154" s="43" t="n">
        <x:v>141</x:v>
      </x:c>
      <x:c r="N1154" s="43" t="str">
        <x:v>https://www.alhikmahschool.com</x:v>
      </x:c>
      <x:c r="O1154" s="43" t="str">
        <x:v>01582510630</x:v>
      </x:c>
      <x:c r="P1154" s="43" t="str"/>
      <x:c r="Q1154" s="43" t="str"/>
      <x:c r="R1154" s="43" t="str">
        <x:v>Queued for contact research</x:v>
      </x:c>
      <x:c r="S1154" s="43" t="str">
        <x:v>Not reviewed</x:v>
      </x:c>
      <x:c r="T1154" s="43" t="str">
        <x:v>Hold</x:v>
      </x:c>
      <x:c r="U1154" s="43" t="str">
        <x:v>No</x:v>
      </x:c>
      <x:c r="V1154" s="44"/>
      <x:c r="W1154" s="43" t="str"/>
      <x:c r="X1154" s="43" t="str"/>
      <x:c r="Y1154" s="43" t="str"/>
      <x:c r="Z1154" s="43" t="str">
        <x:v>https://www.get-information-schools.service.gov.uk/Downloads</x:v>
      </x:c>
    </x:row>
    <x:row r="1155">
      <x:c r="A1155" s="43" t="str">
        <x:v>UK independent</x:v>
      </x:c>
      <x:c r="B1155" s="43" t="str">
        <x:v>110557</x:v>
      </x:c>
      <x:c r="C1155" s="43" t="n">
        <x:f>IF(K1155="Boarding school",30,0)+IF(J1155&gt;=18,20,0)+IF(I1155&lt;=11,10,0)+IF(L1155="Has a sixth form",15,0)+IF(M1155&gt;=200,10,0)+IF(N1155&lt;&gt;"",10,0)</x:f>
        <x:v>20</x:v>
      </x:c>
      <x:c r="D1155" s="43" t="str">
        <x:f>IF(C1155&gt;=85,"A",IF(C1155&gt;=65,"B","C"))</x:f>
        <x:v>C</x:v>
      </x:c>
      <x:c r="E1155" s="43" t="str">
        <x:v>Crown House School</x:v>
      </x:c>
      <x:c r="F1155" s="43" t="str">
        <x:v>High Wycombe</x:v>
      </x:c>
      <x:c r="G1155" s="43" t="str">
        <x:v>Buckinghamshire</x:v>
      </x:c>
      <x:c r="H1155" s="43" t="str">
        <x:v>HP11 1QX</x:v>
      </x:c>
      <x:c r="I1155" s="43" t="n">
        <x:v>3</x:v>
      </x:c>
      <x:c r="J1155" s="43" t="n">
        <x:v>11</x:v>
      </x:c>
      <x:c r="K1155" s="43" t="str">
        <x:v>No boarders</x:v>
      </x:c>
      <x:c r="L1155" s="43" t="str">
        <x:v>Does not have a sixth form</x:v>
      </x:c>
      <x:c r="M1155" s="43" t="n">
        <x:v>141</x:v>
      </x:c>
      <x:c r="N1155" s="43" t="str">
        <x:v>https://crownhouseschool.co.uk</x:v>
      </x:c>
      <x:c r="O1155" s="43" t="str">
        <x:v>01494529927</x:v>
      </x:c>
      <x:c r="P1155" s="43" t="str"/>
      <x:c r="Q1155" s="43" t="str"/>
      <x:c r="R1155" s="43" t="str">
        <x:v>Queued for contact research</x:v>
      </x:c>
      <x:c r="S1155" s="43" t="str">
        <x:v>Not reviewed</x:v>
      </x:c>
      <x:c r="T1155" s="43" t="str">
        <x:v>Hold</x:v>
      </x:c>
      <x:c r="U1155" s="43" t="str">
        <x:v>No</x:v>
      </x:c>
      <x:c r="V1155" s="44"/>
      <x:c r="W1155" s="43" t="str"/>
      <x:c r="X1155" s="43" t="str"/>
      <x:c r="Y1155" s="43" t="str"/>
      <x:c r="Z1155" s="43" t="str">
        <x:v>https://www.get-information-schools.service.gov.uk/Downloads</x:v>
      </x:c>
    </x:row>
    <x:row r="1156">
      <x:c r="A1156" s="43" t="str">
        <x:v>UK independent</x:v>
      </x:c>
      <x:c r="B1156" s="43" t="str">
        <x:v>101091</x:v>
      </x:c>
      <x:c r="C1156" s="43" t="n">
        <x:f>IF(K1156="Boarding school",30,0)+IF(J1156&gt;=18,20,0)+IF(I1156&lt;=11,10,0)+IF(L1156="Has a sixth form",15,0)+IF(M1156&gt;=200,10,0)+IF(N1156&lt;&gt;"",10,0)</x:f>
        <x:v>20</x:v>
      </x:c>
      <x:c r="D1156" s="43" t="str">
        <x:f>IF(C1156&gt;=85,"A",IF(C1156&gt;=65,"B","C"))</x:f>
        <x:v>C</x:v>
      </x:c>
      <x:c r="E1156" s="43" t="str">
        <x:v>Parkgate House School</x:v>
      </x:c>
      <x:c r="F1156" s="43" t="str">
        <x:v>London</x:v>
      </x:c>
      <x:c r="G1156" s="43" t="str"/>
      <x:c r="H1156" s="43" t="str">
        <x:v>SW4 9SD</x:v>
      </x:c>
      <x:c r="I1156" s="43" t="n">
        <x:v>2</x:v>
      </x:c>
      <x:c r="J1156" s="43" t="n">
        <x:v>11</x:v>
      </x:c>
      <x:c r="K1156" s="43" t="str">
        <x:v>No boarders</x:v>
      </x:c>
      <x:c r="L1156" s="43" t="str">
        <x:v>Does not have a sixth form</x:v>
      </x:c>
      <x:c r="M1156" s="43" t="n">
        <x:v>141</x:v>
      </x:c>
      <x:c r="N1156" s="43" t="str">
        <x:v>https://www.parkgate-school.co.uk</x:v>
      </x:c>
      <x:c r="O1156" s="43" t="str">
        <x:v>02073502452</x:v>
      </x:c>
      <x:c r="P1156" s="43" t="str"/>
      <x:c r="Q1156" s="43" t="str"/>
      <x:c r="R1156" s="43" t="str">
        <x:v>Queued for contact research</x:v>
      </x:c>
      <x:c r="S1156" s="43" t="str">
        <x:v>Not reviewed</x:v>
      </x:c>
      <x:c r="T1156" s="43" t="str">
        <x:v>Hold</x:v>
      </x:c>
      <x:c r="U1156" s="43" t="str">
        <x:v>No</x:v>
      </x:c>
      <x:c r="V1156" s="44"/>
      <x:c r="W1156" s="43" t="str"/>
      <x:c r="X1156" s="43" t="str"/>
      <x:c r="Y1156" s="43" t="str"/>
      <x:c r="Z1156" s="43" t="str">
        <x:v>https://www.get-information-schools.service.gov.uk/Downloads</x:v>
      </x:c>
    </x:row>
    <x:row r="1157">
      <x:c r="A1157" s="43" t="str">
        <x:v>UK independent</x:v>
      </x:c>
      <x:c r="B1157" s="43" t="str">
        <x:v>101084</x:v>
      </x:c>
      <x:c r="C1157" s="43" t="n">
        <x:f>IF(K1157="Boarding school",30,0)+IF(J1157&gt;=18,20,0)+IF(I1157&lt;=11,10,0)+IF(L1157="Has a sixth form",15,0)+IF(M1157&gt;=200,10,0)+IF(N1157&lt;&gt;"",10,0)</x:f>
        <x:v>20</x:v>
      </x:c>
      <x:c r="D1157" s="43" t="str">
        <x:f>IF(C1157&gt;=85,"A",IF(C1157&gt;=65,"B","C"))</x:f>
        <x:v>C</x:v>
      </x:c>
      <x:c r="E1157" s="43" t="str">
        <x:v>Dolphin School (Incorporating Noahs Ark Nursery Schools)</x:v>
      </x:c>
      <x:c r="F1157" s="43" t="str">
        <x:v>London</x:v>
      </x:c>
      <x:c r="G1157" s="43" t="str"/>
      <x:c r="H1157" s="43" t="str">
        <x:v>SW11 6QW</x:v>
      </x:c>
      <x:c r="I1157" s="43" t="n">
        <x:v>2</x:v>
      </x:c>
      <x:c r="J1157" s="43" t="n">
        <x:v>11</x:v>
      </x:c>
      <x:c r="K1157" s="43" t="str">
        <x:v>No boarders</x:v>
      </x:c>
      <x:c r="L1157" s="43" t="str">
        <x:v>Does not have a sixth form</x:v>
      </x:c>
      <x:c r="M1157" s="43" t="n">
        <x:v>140</x:v>
      </x:c>
      <x:c r="N1157" s="43" t="str">
        <x:v>https://www.dolphinschool.org.uk</x:v>
      </x:c>
      <x:c r="O1157" s="43" t="str">
        <x:v>02079243472</x:v>
      </x:c>
      <x:c r="P1157" s="43" t="str"/>
      <x:c r="Q1157" s="43" t="str"/>
      <x:c r="R1157" s="43" t="str">
        <x:v>Queued for contact research</x:v>
      </x:c>
      <x:c r="S1157" s="43" t="str">
        <x:v>Not reviewed</x:v>
      </x:c>
      <x:c r="T1157" s="43" t="str">
        <x:v>Hold</x:v>
      </x:c>
      <x:c r="U1157" s="43" t="str">
        <x:v>No</x:v>
      </x:c>
      <x:c r="V1157" s="44"/>
      <x:c r="W1157" s="43" t="str"/>
      <x:c r="X1157" s="43" t="str"/>
      <x:c r="Y1157" s="43" t="str"/>
      <x:c r="Z1157" s="43" t="str">
        <x:v>https://www.get-information-schools.service.gov.uk/Downloads</x:v>
      </x:c>
    </x:row>
    <x:row r="1158">
      <x:c r="A1158" s="43" t="str">
        <x:v>UK independent</x:v>
      </x:c>
      <x:c r="B1158" s="43" t="str">
        <x:v>101378</x:v>
      </x:c>
      <x:c r="C1158" s="43" t="n">
        <x:f>IF(K1158="Boarding school",30,0)+IF(J1158&gt;=18,20,0)+IF(I1158&lt;=11,10,0)+IF(L1158="Has a sixth form",15,0)+IF(M1158&gt;=200,10,0)+IF(N1158&lt;&gt;"",10,0)</x:f>
        <x:v>20</x:v>
      </x:c>
      <x:c r="D1158" s="43" t="str">
        <x:f>IF(C1158&gt;=85,"A",IF(C1158&gt;=65,"B","C"))</x:f>
        <x:v>C</x:v>
      </x:c>
      <x:c r="E1158" s="43" t="str">
        <x:v>Goodwyn School</x:v>
      </x:c>
      <x:c r="F1158" s="43" t="str">
        <x:v>London</x:v>
      </x:c>
      <x:c r="G1158" s="43" t="str"/>
      <x:c r="H1158" s="43" t="str">
        <x:v>NW7 4DB</x:v>
      </x:c>
      <x:c r="I1158" s="43" t="n">
        <x:v>3</x:v>
      </x:c>
      <x:c r="J1158" s="43" t="n">
        <x:v>11</x:v>
      </x:c>
      <x:c r="K1158" s="43" t="str">
        <x:v>No boarders</x:v>
      </x:c>
      <x:c r="L1158" s="43" t="str">
        <x:v>Does not have a sixth form</x:v>
      </x:c>
      <x:c r="M1158" s="43" t="n">
        <x:v>140</x:v>
      </x:c>
      <x:c r="N1158" s="43" t="str">
        <x:v>https://www.goodwyn-school.co.uk/</x:v>
      </x:c>
      <x:c r="O1158" s="43" t="str">
        <x:v>02089593756</x:v>
      </x:c>
      <x:c r="P1158" s="43" t="str"/>
      <x:c r="Q1158" s="43" t="str"/>
      <x:c r="R1158" s="43" t="str">
        <x:v>Queued for contact research</x:v>
      </x:c>
      <x:c r="S1158" s="43" t="str">
        <x:v>Not reviewed</x:v>
      </x:c>
      <x:c r="T1158" s="43" t="str">
        <x:v>Hold</x:v>
      </x:c>
      <x:c r="U1158" s="43" t="str">
        <x:v>No</x:v>
      </x:c>
      <x:c r="V1158" s="44"/>
      <x:c r="W1158" s="43" t="str"/>
      <x:c r="X1158" s="43" t="str"/>
      <x:c r="Y1158" s="43" t="str"/>
      <x:c r="Z1158" s="43" t="str">
        <x:v>https://www.get-information-schools.service.gov.uk/Downloads</x:v>
      </x:c>
    </x:row>
    <x:row r="1159">
      <x:c r="A1159" s="43" t="str">
        <x:v>UK independent</x:v>
      </x:c>
      <x:c r="B1159" s="43" t="str">
        <x:v>132797</x:v>
      </x:c>
      <x:c r="C1159" s="43" t="n">
        <x:f>IF(K1159="Boarding school",30,0)+IF(J1159&gt;=18,20,0)+IF(I1159&lt;=11,10,0)+IF(L1159="Has a sixth form",15,0)+IF(M1159&gt;=200,10,0)+IF(N1159&lt;&gt;"",10,0)</x:f>
        <x:v>20</x:v>
      </x:c>
      <x:c r="D1159" s="43" t="str">
        <x:f>IF(C1159&gt;=85,"A",IF(C1159&gt;=65,"B","C"))</x:f>
        <x:v>C</x:v>
      </x:c>
      <x:c r="E1159" s="43" t="str">
        <x:v>London Islamic School</x:v>
      </x:c>
      <x:c r="F1159" s="43" t="str">
        <x:v>London</x:v>
      </x:c>
      <x:c r="G1159" s="43" t="str"/>
      <x:c r="H1159" s="43" t="str">
        <x:v>E1 2HX</x:v>
      </x:c>
      <x:c r="I1159" s="43" t="n">
        <x:v>11</x:v>
      </x:c>
      <x:c r="J1159" s="43" t="n">
        <x:v>16</x:v>
      </x:c>
      <x:c r="K1159" s="43" t="str">
        <x:v>No boarders</x:v>
      </x:c>
      <x:c r="L1159" s="43" t="str">
        <x:v>Does not have a sixth form</x:v>
      </x:c>
      <x:c r="M1159" s="43" t="n">
        <x:v>140</x:v>
      </x:c>
      <x:c r="N1159" s="43" t="str">
        <x:v>https://www.londonislamicschool.org</x:v>
      </x:c>
      <x:c r="O1159" s="43" t="str">
        <x:v>02072659667</x:v>
      </x:c>
      <x:c r="P1159" s="43" t="str"/>
      <x:c r="Q1159" s="43" t="str"/>
      <x:c r="R1159" s="43" t="str">
        <x:v>Queued for contact research</x:v>
      </x:c>
      <x:c r="S1159" s="43" t="str">
        <x:v>Not reviewed</x:v>
      </x:c>
      <x:c r="T1159" s="43" t="str">
        <x:v>Hold</x:v>
      </x:c>
      <x:c r="U1159" s="43" t="str">
        <x:v>No</x:v>
      </x:c>
      <x:c r="V1159" s="44"/>
      <x:c r="W1159" s="43" t="str"/>
      <x:c r="X1159" s="43" t="str"/>
      <x:c r="Y1159" s="43" t="str"/>
      <x:c r="Z1159" s="43" t="str">
        <x:v>https://www.get-information-schools.service.gov.uk/Downloads</x:v>
      </x:c>
    </x:row>
    <x:row r="1160">
      <x:c r="A1160" s="43" t="str">
        <x:v>UK independent</x:v>
      </x:c>
      <x:c r="B1160" s="43" t="str">
        <x:v>119848</x:v>
      </x:c>
      <x:c r="C1160" s="43" t="n">
        <x:f>IF(K1160="Boarding school",30,0)+IF(J1160&gt;=18,20,0)+IF(I1160&lt;=11,10,0)+IF(L1160="Has a sixth form",15,0)+IF(M1160&gt;=200,10,0)+IF(N1160&lt;&gt;"",10,0)</x:f>
        <x:v>20</x:v>
      </x:c>
      <x:c r="D1160" s="43" t="str">
        <x:f>IF(C1160&gt;=85,"A",IF(C1160&gt;=65,"B","C"))</x:f>
        <x:v>C</x:v>
      </x:c>
      <x:c r="E1160" s="43" t="str">
        <x:v>Rawdhatul Uloom Islamic Primary School</x:v>
      </x:c>
      <x:c r="F1160" s="43" t="str">
        <x:v>Blackburn</x:v>
      </x:c>
      <x:c r="G1160" s="43" t="str">
        <x:v>Lancashire</x:v>
      </x:c>
      <x:c r="H1160" s="43" t="str">
        <x:v>BB1 5NZ</x:v>
      </x:c>
      <x:c r="I1160" s="43" t="n">
        <x:v>4</x:v>
      </x:c>
      <x:c r="J1160" s="43" t="n">
        <x:v>11</x:v>
      </x:c>
      <x:c r="K1160" s="43" t="str">
        <x:v>No boarders</x:v>
      </x:c>
      <x:c r="L1160" s="43" t="str">
        <x:v>Does not have a sixth form</x:v>
      </x:c>
      <x:c r="M1160" s="43" t="n">
        <x:v>140</x:v>
      </x:c>
      <x:c r="N1160" s="43" t="str">
        <x:v>https://gardenofknowledge.co.uk</x:v>
      </x:c>
      <x:c r="O1160" s="43" t="str">
        <x:v>01254670017</x:v>
      </x:c>
      <x:c r="P1160" s="43" t="str"/>
      <x:c r="Q1160" s="43" t="str"/>
      <x:c r="R1160" s="43" t="str">
        <x:v>Queued for contact research</x:v>
      </x:c>
      <x:c r="S1160" s="43" t="str">
        <x:v>Not reviewed</x:v>
      </x:c>
      <x:c r="T1160" s="43" t="str">
        <x:v>Hold</x:v>
      </x:c>
      <x:c r="U1160" s="43" t="str">
        <x:v>No</x:v>
      </x:c>
      <x:c r="V1160" s="44"/>
      <x:c r="W1160" s="43" t="str"/>
      <x:c r="X1160" s="43" t="str"/>
      <x:c r="Y1160" s="43" t="str"/>
      <x:c r="Z1160" s="43" t="str">
        <x:v>https://www.get-information-schools.service.gov.uk/Downloads</x:v>
      </x:c>
    </x:row>
    <x:row r="1161">
      <x:c r="A1161" s="43" t="str">
        <x:v>UK independent</x:v>
      </x:c>
      <x:c r="B1161" s="43" t="str">
        <x:v>123611</x:v>
      </x:c>
      <x:c r="C1161" s="43" t="n">
        <x:f>IF(K1161="Boarding school",30,0)+IF(J1161&gt;=18,20,0)+IF(I1161&lt;=11,10,0)+IF(L1161="Has a sixth form",15,0)+IF(M1161&gt;=200,10,0)+IF(N1161&lt;&gt;"",10,0)</x:f>
        <x:v>20</x:v>
      </x:c>
      <x:c r="D1161" s="43" t="str">
        <x:f>IF(C1161&gt;=85,"A",IF(C1161&gt;=65,"B","C"))</x:f>
        <x:v>C</x:v>
      </x:c>
      <x:c r="E1161" s="43" t="str">
        <x:v>Haberdashers' Castle House School</x:v>
      </x:c>
      <x:c r="F1161" s="43" t="str">
        <x:v>Newport</x:v>
      </x:c>
      <x:c r="G1161" s="43" t="str">
        <x:v>Shropshire</x:v>
      </x:c>
      <x:c r="H1161" s="43" t="str">
        <x:v>TF10 7JE</x:v>
      </x:c>
      <x:c r="I1161" s="43" t="n">
        <x:v>0</x:v>
      </x:c>
      <x:c r="J1161" s="43" t="n">
        <x:v>11</x:v>
      </x:c>
      <x:c r="K1161" s="43" t="str">
        <x:v>No boarders</x:v>
      </x:c>
      <x:c r="L1161" s="43" t="str">
        <x:v>Does not have a sixth form</x:v>
      </x:c>
      <x:c r="M1161" s="43" t="n">
        <x:v>139</x:v>
      </x:c>
      <x:c r="N1161" s="43" t="str">
        <x:v>https://www.castlehouseschool.co.uk</x:v>
      </x:c>
      <x:c r="O1161" s="43" t="str">
        <x:v>01952567600</x:v>
      </x:c>
      <x:c r="P1161" s="43" t="str"/>
      <x:c r="Q1161" s="43" t="str"/>
      <x:c r="R1161" s="43" t="str">
        <x:v>Queued for contact research</x:v>
      </x:c>
      <x:c r="S1161" s="43" t="str">
        <x:v>Not reviewed</x:v>
      </x:c>
      <x:c r="T1161" s="43" t="str">
        <x:v>Hold</x:v>
      </x:c>
      <x:c r="U1161" s="43" t="str">
        <x:v>No</x:v>
      </x:c>
      <x:c r="V1161" s="44"/>
      <x:c r="W1161" s="43" t="str"/>
      <x:c r="X1161" s="43" t="str"/>
      <x:c r="Y1161" s="43" t="str"/>
      <x:c r="Z1161" s="43" t="str">
        <x:v>https://www.get-information-schools.service.gov.uk/Downloads</x:v>
      </x:c>
    </x:row>
    <x:row r="1162">
      <x:c r="A1162" s="43" t="str">
        <x:v>UK independent</x:v>
      </x:c>
      <x:c r="B1162" s="43" t="str">
        <x:v>101370</x:v>
      </x:c>
      <x:c r="C1162" s="43" t="n">
        <x:f>IF(K1162="Boarding school",30,0)+IF(J1162&gt;=18,20,0)+IF(I1162&lt;=11,10,0)+IF(L1162="Has a sixth form",15,0)+IF(M1162&gt;=200,10,0)+IF(N1162&lt;&gt;"",10,0)</x:f>
        <x:v>20</x:v>
      </x:c>
      <x:c r="D1162" s="43" t="str">
        <x:f>IF(C1162&gt;=85,"A",IF(C1162&gt;=65,"B","C"))</x:f>
        <x:v>C</x:v>
      </x:c>
      <x:c r="E1162" s="43" t="str">
        <x:v>Lyonsdown School</x:v>
      </x:c>
      <x:c r="F1162" s="43" t="str"/>
      <x:c r="G1162" s="43" t="str"/>
      <x:c r="H1162" s="43" t="str">
        <x:v>EN5 1SA</x:v>
      </x:c>
      <x:c r="I1162" s="43" t="n">
        <x:v>3</x:v>
      </x:c>
      <x:c r="J1162" s="43" t="n">
        <x:v>11</x:v>
      </x:c>
      <x:c r="K1162" s="43" t="str">
        <x:v>No boarders</x:v>
      </x:c>
      <x:c r="L1162" s="43" t="str">
        <x:v>Does not have a sixth form</x:v>
      </x:c>
      <x:c r="M1162" s="43" t="n">
        <x:v>139</x:v>
      </x:c>
      <x:c r="N1162" s="43" t="str">
        <x:v>https://www.lyonsdownschool.co.uk</x:v>
      </x:c>
      <x:c r="O1162" s="43" t="str">
        <x:v>02084490225</x:v>
      </x:c>
      <x:c r="P1162" s="43" t="str"/>
      <x:c r="Q1162" s="43" t="str"/>
      <x:c r="R1162" s="43" t="str">
        <x:v>Queued for contact research</x:v>
      </x:c>
      <x:c r="S1162" s="43" t="str">
        <x:v>Not reviewed</x:v>
      </x:c>
      <x:c r="T1162" s="43" t="str">
        <x:v>Hold</x:v>
      </x:c>
      <x:c r="U1162" s="43" t="str">
        <x:v>No</x:v>
      </x:c>
      <x:c r="V1162" s="44"/>
      <x:c r="W1162" s="43" t="str"/>
      <x:c r="X1162" s="43" t="str"/>
      <x:c r="Y1162" s="43" t="str"/>
      <x:c r="Z1162" s="43" t="str">
        <x:v>https://www.get-information-schools.service.gov.uk/Downloads</x:v>
      </x:c>
    </x:row>
    <x:row r="1163">
      <x:c r="A1163" s="43" t="str">
        <x:v>UK independent</x:v>
      </x:c>
      <x:c r="B1163" s="43" t="str">
        <x:v>125372</x:v>
      </x:c>
      <x:c r="C1163" s="43" t="n">
        <x:f>IF(K1163="Boarding school",30,0)+IF(J1163&gt;=18,20,0)+IF(I1163&lt;=11,10,0)+IF(L1163="Has a sixth form",15,0)+IF(M1163&gt;=200,10,0)+IF(N1163&lt;&gt;"",10,0)</x:f>
        <x:v>20</x:v>
      </x:c>
      <x:c r="D1163" s="43" t="str">
        <x:f>IF(C1163&gt;=85,"A",IF(C1163&gt;=65,"B","C"))</x:f>
        <x:v>C</x:v>
      </x:c>
      <x:c r="E1163" s="43" t="str">
        <x:v>Oakhyrst Grange School</x:v>
      </x:c>
      <x:c r="F1163" s="43" t="str">
        <x:v>Caterham</x:v>
      </x:c>
      <x:c r="G1163" s="43" t="str">
        <x:v>Surrey</x:v>
      </x:c>
      <x:c r="H1163" s="43" t="str">
        <x:v>CR3 6AF</x:v>
      </x:c>
      <x:c r="I1163" s="43" t="n">
        <x:v>3</x:v>
      </x:c>
      <x:c r="J1163" s="43" t="n">
        <x:v>11</x:v>
      </x:c>
      <x:c r="K1163" s="43" t="str">
        <x:v>No boarders</x:v>
      </x:c>
      <x:c r="L1163" s="43" t="str">
        <x:v>Does not have a sixth form</x:v>
      </x:c>
      <x:c r="M1163" s="43" t="n">
        <x:v>139</x:v>
      </x:c>
      <x:c r="N1163" s="43" t="str">
        <x:v>http://www.oakhyrstgrangeschool.co.uk</x:v>
      </x:c>
      <x:c r="O1163" s="43" t="str">
        <x:v>01883343344</x:v>
      </x:c>
      <x:c r="P1163" s="43" t="str"/>
      <x:c r="Q1163" s="43" t="str"/>
      <x:c r="R1163" s="43" t="str">
        <x:v>Queued for contact research</x:v>
      </x:c>
      <x:c r="S1163" s="43" t="str">
        <x:v>Not reviewed</x:v>
      </x:c>
      <x:c r="T1163" s="43" t="str">
        <x:v>Hold</x:v>
      </x:c>
      <x:c r="U1163" s="43" t="str">
        <x:v>No</x:v>
      </x:c>
      <x:c r="V1163" s="44"/>
      <x:c r="W1163" s="43" t="str"/>
      <x:c r="X1163" s="43" t="str"/>
      <x:c r="Y1163" s="43" t="str"/>
      <x:c r="Z1163" s="43" t="str">
        <x:v>https://www.get-information-schools.service.gov.uk/Downloads</x:v>
      </x:c>
    </x:row>
    <x:row r="1164">
      <x:c r="A1164" s="43" t="str">
        <x:v>UK independent</x:v>
      </x:c>
      <x:c r="B1164" s="43" t="str">
        <x:v>101839</x:v>
      </x:c>
      <x:c r="C1164" s="43" t="n">
        <x:f>IF(K1164="Boarding school",30,0)+IF(J1164&gt;=18,20,0)+IF(I1164&lt;=11,10,0)+IF(L1164="Has a sixth form",15,0)+IF(M1164&gt;=200,10,0)+IF(N1164&lt;&gt;"",10,0)</x:f>
        <x:v>20</x:v>
      </x:c>
      <x:c r="D1164" s="43" t="str">
        <x:f>IF(C1164&gt;=85,"A",IF(C1164&gt;=65,"B","C"))</x:f>
        <x:v>C</x:v>
      </x:c>
      <x:c r="E1164" s="43" t="str">
        <x:v>St David's School</x:v>
      </x:c>
      <x:c r="F1164" s="43" t="str">
        <x:v>Purley</x:v>
      </x:c>
      <x:c r="G1164" s="43" t="str">
        <x:v>Surrey</x:v>
      </x:c>
      <x:c r="H1164" s="43" t="str">
        <x:v>CR8 3AL</x:v>
      </x:c>
      <x:c r="I1164" s="43" t="n">
        <x:v>3</x:v>
      </x:c>
      <x:c r="J1164" s="43" t="n">
        <x:v>11</x:v>
      </x:c>
      <x:c r="K1164" s="43" t="str">
        <x:v>No boarders</x:v>
      </x:c>
      <x:c r="L1164" s="43" t="str">
        <x:v>Does not have a sixth form</x:v>
      </x:c>
      <x:c r="M1164" s="43" t="n">
        <x:v>139</x:v>
      </x:c>
      <x:c r="N1164" s="43" t="str">
        <x:v>https://www.stdavidsschool.co.uk</x:v>
      </x:c>
      <x:c r="O1164" s="43" t="str">
        <x:v>02086600723</x:v>
      </x:c>
      <x:c r="P1164" s="43" t="str"/>
      <x:c r="Q1164" s="43" t="str"/>
      <x:c r="R1164" s="43" t="str">
        <x:v>Queued for contact research</x:v>
      </x:c>
      <x:c r="S1164" s="43" t="str">
        <x:v>Not reviewed</x:v>
      </x:c>
      <x:c r="T1164" s="43" t="str">
        <x:v>Hold</x:v>
      </x:c>
      <x:c r="U1164" s="43" t="str">
        <x:v>No</x:v>
      </x:c>
      <x:c r="V1164" s="44"/>
      <x:c r="W1164" s="43" t="str"/>
      <x:c r="X1164" s="43" t="str"/>
      <x:c r="Y1164" s="43" t="str"/>
      <x:c r="Z1164" s="43" t="str">
        <x:v>https://www.get-information-schools.service.gov.uk/Downloads</x:v>
      </x:c>
    </x:row>
    <x:row r="1165">
      <x:c r="A1165" s="43" t="str">
        <x:v>UK independent</x:v>
      </x:c>
      <x:c r="B1165" s="43" t="str">
        <x:v>101380</x:v>
      </x:c>
      <x:c r="C1165" s="43" t="n">
        <x:f>IF(K1165="Boarding school",30,0)+IF(J1165&gt;=18,20,0)+IF(I1165&lt;=11,10,0)+IF(L1165="Has a sixth form",15,0)+IF(M1165&gt;=200,10,0)+IF(N1165&lt;&gt;"",10,0)</x:f>
        <x:v>20</x:v>
      </x:c>
      <x:c r="D1165" s="43" t="str">
        <x:f>IF(C1165&gt;=85,"A",IF(C1165&gt;=65,"B","C"))</x:f>
        <x:v>C</x:v>
      </x:c>
      <x:c r="E1165" s="43" t="str">
        <x:v>Holland House School</x:v>
      </x:c>
      <x:c r="F1165" s="43" t="str">
        <x:v>Edgware</x:v>
      </x:c>
      <x:c r="G1165" s="43" t="str">
        <x:v>Middlesex</x:v>
      </x:c>
      <x:c r="H1165" s="43" t="str">
        <x:v>HA8 8TP</x:v>
      </x:c>
      <x:c r="I1165" s="43" t="n">
        <x:v>4</x:v>
      </x:c>
      <x:c r="J1165" s="43" t="n">
        <x:v>11</x:v>
      </x:c>
      <x:c r="K1165" s="43" t="str">
        <x:v>No boarders</x:v>
      </x:c>
      <x:c r="L1165" s="43" t="str">
        <x:v>Does not have a sixth form</x:v>
      </x:c>
      <x:c r="M1165" s="43" t="n">
        <x:v>138</x:v>
      </x:c>
      <x:c r="N1165" s="43" t="str">
        <x:v>https://www.hollandhouse.org.uk</x:v>
      </x:c>
      <x:c r="O1165" s="43" t="str">
        <x:v>02089586979</x:v>
      </x:c>
      <x:c r="P1165" s="43" t="str"/>
      <x:c r="Q1165" s="43" t="str"/>
      <x:c r="R1165" s="43" t="str">
        <x:v>Queued for contact research</x:v>
      </x:c>
      <x:c r="S1165" s="43" t="str">
        <x:v>Not reviewed</x:v>
      </x:c>
      <x:c r="T1165" s="43" t="str">
        <x:v>Hold</x:v>
      </x:c>
      <x:c r="U1165" s="43" t="str">
        <x:v>No</x:v>
      </x:c>
      <x:c r="V1165" s="44"/>
      <x:c r="W1165" s="43" t="str"/>
      <x:c r="X1165" s="43" t="str"/>
      <x:c r="Y1165" s="43" t="str"/>
      <x:c r="Z1165" s="43" t="str">
        <x:v>https://www.get-information-schools.service.gov.uk/Downloads</x:v>
      </x:c>
    </x:row>
    <x:row r="1166">
      <x:c r="A1166" s="43" t="str">
        <x:v>UK independent</x:v>
      </x:c>
      <x:c r="B1166" s="43" t="str">
        <x:v>107458</x:v>
      </x:c>
      <x:c r="C1166" s="43" t="n">
        <x:f>IF(K1166="Boarding school",30,0)+IF(J1166&gt;=18,20,0)+IF(I1166&lt;=11,10,0)+IF(L1166="Has a sixth form",15,0)+IF(M1166&gt;=200,10,0)+IF(N1166&lt;&gt;"",10,0)</x:f>
        <x:v>20</x:v>
      </x:c>
      <x:c r="D1166" s="43" t="str">
        <x:f>IF(C1166&gt;=85,"A",IF(C1166&gt;=65,"B","C"))</x:f>
        <x:v>C</x:v>
      </x:c>
      <x:c r="E1166" s="43" t="str">
        <x:v>Lady Lane Park School &amp; Nursery</x:v>
      </x:c>
      <x:c r="F1166" s="43" t="str">
        <x:v>Bingley</x:v>
      </x:c>
      <x:c r="G1166" s="43" t="str">
        <x:v>West Yorkshire</x:v>
      </x:c>
      <x:c r="H1166" s="43" t="str">
        <x:v>BD16 4AP</x:v>
      </x:c>
      <x:c r="I1166" s="43" t="n">
        <x:v>1</x:v>
      </x:c>
      <x:c r="J1166" s="43" t="n">
        <x:v>12</x:v>
      </x:c>
      <x:c r="K1166" s="43" t="str">
        <x:v>No boarders</x:v>
      </x:c>
      <x:c r="L1166" s="43" t="str">
        <x:v>Does not have a sixth form</x:v>
      </x:c>
      <x:c r="M1166" s="43" t="n">
        <x:v>138</x:v>
      </x:c>
      <x:c r="N1166" s="43" t="str">
        <x:v>https://www.ladylaneparkschool.co.uk</x:v>
      </x:c>
      <x:c r="O1166" s="43" t="str">
        <x:v>01274551168</x:v>
      </x:c>
      <x:c r="P1166" s="43" t="str"/>
      <x:c r="Q1166" s="43" t="str"/>
      <x:c r="R1166" s="43" t="str">
        <x:v>Queued for contact research</x:v>
      </x:c>
      <x:c r="S1166" s="43" t="str">
        <x:v>Not reviewed</x:v>
      </x:c>
      <x:c r="T1166" s="43" t="str">
        <x:v>Hold</x:v>
      </x:c>
      <x:c r="U1166" s="43" t="str">
        <x:v>No</x:v>
      </x:c>
      <x:c r="V1166" s="44"/>
      <x:c r="W1166" s="43" t="str"/>
      <x:c r="X1166" s="43" t="str"/>
      <x:c r="Y1166" s="43" t="str"/>
      <x:c r="Z1166" s="43" t="str">
        <x:v>https://www.get-information-schools.service.gov.uk/Downloads</x:v>
      </x:c>
    </x:row>
    <x:row r="1167">
      <x:c r="A1167" s="43" t="str">
        <x:v>UK independent</x:v>
      </x:c>
      <x:c r="B1167" s="43" t="str">
        <x:v>115393</x:v>
      </x:c>
      <x:c r="C1167" s="43" t="n">
        <x:f>IF(K1167="Boarding school",30,0)+IF(J1167&gt;=18,20,0)+IF(I1167&lt;=11,10,0)+IF(L1167="Has a sixth form",15,0)+IF(M1167&gt;=200,10,0)+IF(N1167&lt;&gt;"",10,0)</x:f>
        <x:v>20</x:v>
      </x:c>
      <x:c r="D1167" s="43" t="str">
        <x:f>IF(C1167&gt;=85,"A",IF(C1167&gt;=65,"B","C"))</x:f>
        <x:v>C</x:v>
      </x:c>
      <x:c r="E1167" s="43" t="str">
        <x:v>Loyola Preparatory School</x:v>
      </x:c>
      <x:c r="F1167" s="43" t="str">
        <x:v>BUCKHURST HILL</x:v>
      </x:c>
      <x:c r="G1167" s="43" t="str">
        <x:v>Essex</x:v>
      </x:c>
      <x:c r="H1167" s="43" t="str">
        <x:v>IG9 5NH</x:v>
      </x:c>
      <x:c r="I1167" s="43" t="n">
        <x:v>3</x:v>
      </x:c>
      <x:c r="J1167" s="43" t="n">
        <x:v>11</x:v>
      </x:c>
      <x:c r="K1167" s="43" t="str">
        <x:v>No boarders</x:v>
      </x:c>
      <x:c r="L1167" s="43" t="str">
        <x:v>Does not have a sixth form</x:v>
      </x:c>
      <x:c r="M1167" s="43" t="n">
        <x:v>138</x:v>
      </x:c>
      <x:c r="N1167" s="43" t="str">
        <x:v>https://www.loyolaprepschool.co.uk</x:v>
      </x:c>
      <x:c r="O1167" s="43" t="str">
        <x:v>02085047372</x:v>
      </x:c>
      <x:c r="P1167" s="43" t="str"/>
      <x:c r="Q1167" s="43" t="str"/>
      <x:c r="R1167" s="43" t="str">
        <x:v>Queued for contact research</x:v>
      </x:c>
      <x:c r="S1167" s="43" t="str">
        <x:v>Not reviewed</x:v>
      </x:c>
      <x:c r="T1167" s="43" t="str">
        <x:v>Hold</x:v>
      </x:c>
      <x:c r="U1167" s="43" t="str">
        <x:v>No</x:v>
      </x:c>
      <x:c r="V1167" s="44"/>
      <x:c r="W1167" s="43" t="str"/>
      <x:c r="X1167" s="43" t="str"/>
      <x:c r="Y1167" s="43" t="str"/>
      <x:c r="Z1167" s="43" t="str">
        <x:v>https://www.get-information-schools.service.gov.uk/Downloads</x:v>
      </x:c>
    </x:row>
    <x:row r="1168">
      <x:c r="A1168" s="43" t="str">
        <x:v>UK independent</x:v>
      </x:c>
      <x:c r="B1168" s="43" t="str">
        <x:v>114636</x:v>
      </x:c>
      <x:c r="C1168" s="43" t="n">
        <x:f>IF(K1168="Boarding school",30,0)+IF(J1168&gt;=18,20,0)+IF(I1168&lt;=11,10,0)+IF(L1168="Has a sixth form",15,0)+IF(M1168&gt;=200,10,0)+IF(N1168&lt;&gt;"",10,0)</x:f>
        <x:v>20</x:v>
      </x:c>
      <x:c r="D1168" s="43" t="str">
        <x:f>IF(C1168&gt;=85,"A",IF(C1168&gt;=65,"B","C"))</x:f>
        <x:v>C</x:v>
      </x:c>
      <x:c r="E1168" s="43" t="str">
        <x:v>Sacred Heart School</x:v>
      </x:c>
      <x:c r="F1168" s="43" t="str"/>
      <x:c r="G1168" s="43" t="str"/>
      <x:c r="H1168" s="43" t="str">
        <x:v>TN5 6DQ</x:v>
      </x:c>
      <x:c r="I1168" s="43" t="n">
        <x:v>2</x:v>
      </x:c>
      <x:c r="J1168" s="43" t="n">
        <x:v>11</x:v>
      </x:c>
      <x:c r="K1168" s="43" t="str">
        <x:v>No boarders</x:v>
      </x:c>
      <x:c r="L1168" s="43" t="str">
        <x:v>Does not have a sixth form</x:v>
      </x:c>
      <x:c r="M1168" s="43" t="n">
        <x:v>138</x:v>
      </x:c>
      <x:c r="N1168" s="43" t="str">
        <x:v>https://www.sacredheartwadhurst.org.uk</x:v>
      </x:c>
      <x:c r="O1168" s="43" t="str">
        <x:v>01892783414</x:v>
      </x:c>
      <x:c r="P1168" s="43" t="str"/>
      <x:c r="Q1168" s="43" t="str"/>
      <x:c r="R1168" s="43" t="str">
        <x:v>Queued for contact research</x:v>
      </x:c>
      <x:c r="S1168" s="43" t="str">
        <x:v>Not reviewed</x:v>
      </x:c>
      <x:c r="T1168" s="43" t="str">
        <x:v>Hold</x:v>
      </x:c>
      <x:c r="U1168" s="43" t="str">
        <x:v>No</x:v>
      </x:c>
      <x:c r="V1168" s="44"/>
      <x:c r="W1168" s="43" t="str"/>
      <x:c r="X1168" s="43" t="str"/>
      <x:c r="Y1168" s="43" t="str"/>
      <x:c r="Z1168" s="43" t="str">
        <x:v>https://www.get-information-schools.service.gov.uk/Downloads</x:v>
      </x:c>
    </x:row>
    <x:row r="1169">
      <x:c r="A1169" s="43" t="str">
        <x:v>UK independent</x:v>
      </x:c>
      <x:c r="B1169" s="43" t="str">
        <x:v>147911</x:v>
      </x:c>
      <x:c r="C1169" s="43" t="n">
        <x:f>IF(K1169="Boarding school",30,0)+IF(J1169&gt;=18,20,0)+IF(I1169&lt;=11,10,0)+IF(L1169="Has a sixth form",15,0)+IF(M1169&gt;=200,10,0)+IF(N1169&lt;&gt;"",10,0)</x:f>
        <x:v>20</x:v>
      </x:c>
      <x:c r="D1169" s="43" t="str">
        <x:f>IF(C1169&gt;=85,"A",IF(C1169&gt;=65,"B","C"))</x:f>
        <x:v>C</x:v>
      </x:c>
      <x:c r="E1169" s="43" t="str">
        <x:v>Atelier21 Future School</x:v>
      </x:c>
      <x:c r="F1169" s="43" t="str">
        <x:v>Crawley</x:v>
      </x:c>
      <x:c r="G1169" s="43" t="str">
        <x:v>West Sussex</x:v>
      </x:c>
      <x:c r="H1169" s="43" t="str">
        <x:v>RH11 9RZ</x:v>
      </x:c>
      <x:c r="I1169" s="43" t="n">
        <x:v>4</x:v>
      </x:c>
      <x:c r="J1169" s="43" t="n">
        <x:v>16</x:v>
      </x:c>
      <x:c r="K1169" s="43" t="str">
        <x:v>No boarders</x:v>
      </x:c>
      <x:c r="L1169" s="43" t="str">
        <x:v>Does not have a sixth form</x:v>
      </x:c>
      <x:c r="M1169" s="43" t="n">
        <x:v>137</x:v>
      </x:c>
      <x:c r="N1169" s="43" t="str">
        <x:v>https://atelier21schools.co.uk/</x:v>
      </x:c>
      <x:c r="O1169" s="43" t="str">
        <x:v>01293265417</x:v>
      </x:c>
      <x:c r="P1169" s="43" t="str"/>
      <x:c r="Q1169" s="43" t="str"/>
      <x:c r="R1169" s="43" t="str">
        <x:v>Queued for contact research</x:v>
      </x:c>
      <x:c r="S1169" s="43" t="str">
        <x:v>Not reviewed</x:v>
      </x:c>
      <x:c r="T1169" s="43" t="str">
        <x:v>Hold</x:v>
      </x:c>
      <x:c r="U1169" s="43" t="str">
        <x:v>No</x:v>
      </x:c>
      <x:c r="V1169" s="44"/>
      <x:c r="W1169" s="43" t="str"/>
      <x:c r="X1169" s="43" t="str"/>
      <x:c r="Y1169" s="43" t="str"/>
      <x:c r="Z1169" s="43" t="str">
        <x:v>https://www.get-information-schools.service.gov.uk/Downloads</x:v>
      </x:c>
    </x:row>
    <x:row r="1170">
      <x:c r="A1170" s="43" t="str">
        <x:v>UK independent</x:v>
      </x:c>
      <x:c r="B1170" s="43" t="str">
        <x:v>135097</x:v>
      </x:c>
      <x:c r="C1170" s="43" t="n">
        <x:f>IF(K1170="Boarding school",30,0)+IF(J1170&gt;=18,20,0)+IF(I1170&lt;=11,10,0)+IF(L1170="Has a sixth form",15,0)+IF(M1170&gt;=200,10,0)+IF(N1170&lt;&gt;"",10,0)</x:f>
        <x:v>20</x:v>
      </x:c>
      <x:c r="D1170" s="43" t="str">
        <x:f>IF(C1170&gt;=85,"A",IF(C1170&gt;=65,"B","C"))</x:f>
        <x:v>C</x:v>
      </x:c>
      <x:c r="E1170" s="43" t="str">
        <x:v>Al Ashraf Primary School</x:v>
      </x:c>
      <x:c r="F1170" s="43" t="str">
        <x:v>Gloucestershire</x:v>
      </x:c>
      <x:c r="G1170" s="43" t="str">
        <x:v>Gloucestershire</x:v>
      </x:c>
      <x:c r="H1170" s="43" t="str">
        <x:v>GL1 4HB</x:v>
      </x:c>
      <x:c r="I1170" s="43" t="n">
        <x:v>2</x:v>
      </x:c>
      <x:c r="J1170" s="43" t="n">
        <x:v>11</x:v>
      </x:c>
      <x:c r="K1170" s="43" t="str">
        <x:v>No boarders</x:v>
      </x:c>
      <x:c r="L1170" s="43" t="str">
        <x:v>Does not have a sixth form</x:v>
      </x:c>
      <x:c r="M1170" s="43" t="n">
        <x:v>136</x:v>
      </x:c>
      <x:c r="N1170" s="43" t="str">
        <x:v>http://primary.al-ashraf.org.uk/</x:v>
      </x:c>
      <x:c r="O1170" s="43" t="str">
        <x:v>01452503533</x:v>
      </x:c>
      <x:c r="P1170" s="43" t="str"/>
      <x:c r="Q1170" s="43" t="str"/>
      <x:c r="R1170" s="43" t="str">
        <x:v>Queued for contact research</x:v>
      </x:c>
      <x:c r="S1170" s="43" t="str">
        <x:v>Not reviewed</x:v>
      </x:c>
      <x:c r="T1170" s="43" t="str">
        <x:v>Hold</x:v>
      </x:c>
      <x:c r="U1170" s="43" t="str">
        <x:v>No</x:v>
      </x:c>
      <x:c r="V1170" s="44"/>
      <x:c r="W1170" s="43" t="str"/>
      <x:c r="X1170" s="43" t="str"/>
      <x:c r="Y1170" s="43" t="str"/>
      <x:c r="Z1170" s="43" t="str">
        <x:v>https://www.get-information-schools.service.gov.uk/Downloads</x:v>
      </x:c>
    </x:row>
    <x:row r="1171">
      <x:c r="A1171" s="43" t="str">
        <x:v>UK independent</x:v>
      </x:c>
      <x:c r="B1171" s="43" t="str">
        <x:v>125429</x:v>
      </x:c>
      <x:c r="C1171" s="43" t="n">
        <x:f>IF(K1171="Boarding school",30,0)+IF(J1171&gt;=18,20,0)+IF(I1171&lt;=11,10,0)+IF(L1171="Has a sixth form",15,0)+IF(M1171&gt;=200,10,0)+IF(N1171&lt;&gt;"",10,0)</x:f>
        <x:v>20</x:v>
      </x:c>
      <x:c r="D1171" s="43" t="str">
        <x:f>IF(C1171&gt;=85,"A",IF(C1171&gt;=65,"B","C"))</x:f>
        <x:v>C</x:v>
      </x:c>
      <x:c r="E1171" s="43" t="str">
        <x:v>Coworth-Flexlands School</x:v>
      </x:c>
      <x:c r="F1171" s="43" t="str">
        <x:v>Woking</x:v>
      </x:c>
      <x:c r="G1171" s="43" t="str">
        <x:v>Surrey</x:v>
      </x:c>
      <x:c r="H1171" s="43" t="str">
        <x:v>GU24 8TE</x:v>
      </x:c>
      <x:c r="I1171" s="43" t="n">
        <x:v>2</x:v>
      </x:c>
      <x:c r="J1171" s="43" t="n">
        <x:v>11</x:v>
      </x:c>
      <x:c r="K1171" s="43" t="str">
        <x:v>No boarders</x:v>
      </x:c>
      <x:c r="L1171" s="43" t="str">
        <x:v>Does not have a sixth form</x:v>
      </x:c>
      <x:c r="M1171" s="43" t="n">
        <x:v>136</x:v>
      </x:c>
      <x:c r="N1171" s="43" t="str">
        <x:v>https://www.coworthflexlands.co.uk</x:v>
      </x:c>
      <x:c r="O1171" s="43" t="str">
        <x:v>01276855707</x:v>
      </x:c>
      <x:c r="P1171" s="43" t="str"/>
      <x:c r="Q1171" s="43" t="str"/>
      <x:c r="R1171" s="43" t="str">
        <x:v>Queued for contact research</x:v>
      </x:c>
      <x:c r="S1171" s="43" t="str">
        <x:v>Not reviewed</x:v>
      </x:c>
      <x:c r="T1171" s="43" t="str">
        <x:v>Hold</x:v>
      </x:c>
      <x:c r="U1171" s="43" t="str">
        <x:v>No</x:v>
      </x:c>
      <x:c r="V1171" s="44"/>
      <x:c r="W1171" s="43" t="str"/>
      <x:c r="X1171" s="43" t="str"/>
      <x:c r="Y1171" s="43" t="str"/>
      <x:c r="Z1171" s="43" t="str">
        <x:v>https://www.get-information-schools.service.gov.uk/Downloads</x:v>
      </x:c>
    </x:row>
    <x:row r="1172">
      <x:c r="A1172" s="43" t="str">
        <x:v>UK independent</x:v>
      </x:c>
      <x:c r="B1172" s="43" t="str">
        <x:v>134294</x:v>
      </x:c>
      <x:c r="C1172" s="43" t="n">
        <x:f>IF(K1172="Boarding school",30,0)+IF(J1172&gt;=18,20,0)+IF(I1172&lt;=11,10,0)+IF(L1172="Has a sixth form",15,0)+IF(M1172&gt;=200,10,0)+IF(N1172&lt;&gt;"",10,0)</x:f>
        <x:v>20</x:v>
      </x:c>
      <x:c r="D1172" s="43" t="str">
        <x:f>IF(C1172&gt;=85,"A",IF(C1172&gt;=65,"B","C"))</x:f>
        <x:v>C</x:v>
      </x:c>
      <x:c r="E1172" s="43" t="str">
        <x:v>Normanton House School</x:v>
      </x:c>
      <x:c r="F1172" s="43" t="str">
        <x:v>Derby</x:v>
      </x:c>
      <x:c r="G1172" s="43" t="str">
        <x:v>Derbyshire</x:v>
      </x:c>
      <x:c r="H1172" s="43" t="str">
        <x:v>DE23 8DF</x:v>
      </x:c>
      <x:c r="I1172" s="43" t="n">
        <x:v>5</x:v>
      </x:c>
      <x:c r="J1172" s="43" t="n">
        <x:v>16</x:v>
      </x:c>
      <x:c r="K1172" s="43" t="str">
        <x:v>No boarders</x:v>
      </x:c>
      <x:c r="L1172" s="43" t="str">
        <x:v>Does not have a sixth form</x:v>
      </x:c>
      <x:c r="M1172" s="43" t="n">
        <x:v>136</x:v>
      </x:c>
      <x:c r="N1172" s="43" t="str">
        <x:v>https://alakramtrust.org.uk/normantonhouseschool/</x:v>
      </x:c>
      <x:c r="O1172" s="43" t="str">
        <x:v>01332769333</x:v>
      </x:c>
      <x:c r="P1172" s="43" t="str"/>
      <x:c r="Q1172" s="43" t="str"/>
      <x:c r="R1172" s="43" t="str">
        <x:v>Queued for contact research</x:v>
      </x:c>
      <x:c r="S1172" s="43" t="str">
        <x:v>Not reviewed</x:v>
      </x:c>
      <x:c r="T1172" s="43" t="str">
        <x:v>Hold</x:v>
      </x:c>
      <x:c r="U1172" s="43" t="str">
        <x:v>No</x:v>
      </x:c>
      <x:c r="V1172" s="44"/>
      <x:c r="W1172" s="43" t="str"/>
      <x:c r="X1172" s="43" t="str"/>
      <x:c r="Y1172" s="43" t="str"/>
      <x:c r="Z1172" s="43" t="str">
        <x:v>https://www.get-information-schools.service.gov.uk/Downloads</x:v>
      </x:c>
    </x:row>
    <x:row r="1173">
      <x:c r="A1173" s="43" t="str">
        <x:v>UK independent</x:v>
      </x:c>
      <x:c r="B1173" s="43" t="str">
        <x:v>102944</x:v>
      </x:c>
      <x:c r="C1173" s="43" t="n">
        <x:f>IF(K1173="Boarding school",30,0)+IF(J1173&gt;=18,20,0)+IF(I1173&lt;=11,10,0)+IF(L1173="Has a sixth form",15,0)+IF(M1173&gt;=200,10,0)+IF(N1173&lt;&gt;"",10,0)</x:f>
        <x:v>20</x:v>
      </x:c>
      <x:c r="D1173" s="43" t="str">
        <x:f>IF(C1173&gt;=85,"A",IF(C1173&gt;=65,"B","C"))</x:f>
        <x:v>C</x:v>
      </x:c>
      <x:c r="E1173" s="43" t="str">
        <x:v>Unicorn School</x:v>
      </x:c>
      <x:c r="F1173" s="43" t="str">
        <x:v>Richmond</x:v>
      </x:c>
      <x:c r="G1173" s="43" t="str">
        <x:v>Surrey</x:v>
      </x:c>
      <x:c r="H1173" s="43" t="str">
        <x:v>TW9 3JX</x:v>
      </x:c>
      <x:c r="I1173" s="43" t="n">
        <x:v>3</x:v>
      </x:c>
      <x:c r="J1173" s="43" t="n">
        <x:v>11</x:v>
      </x:c>
      <x:c r="K1173" s="43" t="str">
        <x:v>No boarders</x:v>
      </x:c>
      <x:c r="L1173" s="43" t="str">
        <x:v>Does not have a sixth form</x:v>
      </x:c>
      <x:c r="M1173" s="43" t="n">
        <x:v>136</x:v>
      </x:c>
      <x:c r="N1173" s="43" t="str">
        <x:v>https://www.unicornschool.org.uk</x:v>
      </x:c>
      <x:c r="O1173" s="43" t="str">
        <x:v>02089483926</x:v>
      </x:c>
      <x:c r="P1173" s="43" t="str"/>
      <x:c r="Q1173" s="43" t="str"/>
      <x:c r="R1173" s="43" t="str">
        <x:v>Queued for contact research</x:v>
      </x:c>
      <x:c r="S1173" s="43" t="str">
        <x:v>Not reviewed</x:v>
      </x:c>
      <x:c r="T1173" s="43" t="str">
        <x:v>Hold</x:v>
      </x:c>
      <x:c r="U1173" s="43" t="str">
        <x:v>No</x:v>
      </x:c>
      <x:c r="V1173" s="44"/>
      <x:c r="W1173" s="43" t="str"/>
      <x:c r="X1173" s="43" t="str"/>
      <x:c r="Y1173" s="43" t="str"/>
      <x:c r="Z1173" s="43" t="str">
        <x:v>https://www.get-information-schools.service.gov.uk/Downloads</x:v>
      </x:c>
    </x:row>
    <x:row r="1174">
      <x:c r="A1174" s="43" t="str">
        <x:v>UK independent</x:v>
      </x:c>
      <x:c r="B1174" s="43" t="str">
        <x:v>120731</x:v>
      </x:c>
      <x:c r="C1174" s="43" t="n">
        <x:f>IF(K1174="Boarding school",30,0)+IF(J1174&gt;=18,20,0)+IF(I1174&lt;=11,10,0)+IF(L1174="Has a sixth form",15,0)+IF(M1174&gt;=200,10,0)+IF(N1174&lt;&gt;"",10,0)</x:f>
        <x:v>20</x:v>
      </x:c>
      <x:c r="D1174" s="43" t="str">
        <x:f>IF(C1174&gt;=85,"A",IF(C1174&gt;=65,"B","C"))</x:f>
        <x:v>C</x:v>
      </x:c>
      <x:c r="E1174" s="43" t="str">
        <x:v>Ayscoughfee Hall School</x:v>
      </x:c>
      <x:c r="F1174" s="43" t="str">
        <x:v>Spalding</x:v>
      </x:c>
      <x:c r="G1174" s="43" t="str">
        <x:v>Lincolnshire</x:v>
      </x:c>
      <x:c r="H1174" s="43" t="str">
        <x:v>PE11 2TE</x:v>
      </x:c>
      <x:c r="I1174" s="43" t="n">
        <x:v>3</x:v>
      </x:c>
      <x:c r="J1174" s="43" t="n">
        <x:v>11</x:v>
      </x:c>
      <x:c r="K1174" s="43" t="str">
        <x:v>No boarders</x:v>
      </x:c>
      <x:c r="L1174" s="43" t="str">
        <x:v>Does not have a sixth form</x:v>
      </x:c>
      <x:c r="M1174" s="43" t="n">
        <x:v>135</x:v>
      </x:c>
      <x:c r="N1174" s="43" t="str">
        <x:v>http://www.ahs.me.uk</x:v>
      </x:c>
      <x:c r="O1174" s="43" t="str">
        <x:v>01775724733</x:v>
      </x:c>
      <x:c r="P1174" s="43" t="str"/>
      <x:c r="Q1174" s="43" t="str"/>
      <x:c r="R1174" s="43" t="str">
        <x:v>Queued for contact research</x:v>
      </x:c>
      <x:c r="S1174" s="43" t="str">
        <x:v>Not reviewed</x:v>
      </x:c>
      <x:c r="T1174" s="43" t="str">
        <x:v>Hold</x:v>
      </x:c>
      <x:c r="U1174" s="43" t="str">
        <x:v>No</x:v>
      </x:c>
      <x:c r="V1174" s="44"/>
      <x:c r="W1174" s="43" t="str"/>
      <x:c r="X1174" s="43" t="str"/>
      <x:c r="Y1174" s="43" t="str"/>
      <x:c r="Z1174" s="43" t="str">
        <x:v>https://www.get-information-schools.service.gov.uk/Downloads</x:v>
      </x:c>
    </x:row>
    <x:row r="1175">
      <x:c r="A1175" s="43" t="str">
        <x:v>UK independent</x:v>
      </x:c>
      <x:c r="B1175" s="43" t="str">
        <x:v>105855</x:v>
      </x:c>
      <x:c r="C1175" s="43" t="n">
        <x:f>IF(K1175="Boarding school",30,0)+IF(J1175&gt;=18,20,0)+IF(I1175&lt;=11,10,0)+IF(L1175="Has a sixth form",15,0)+IF(M1175&gt;=200,10,0)+IF(N1175&lt;&gt;"",10,0)</x:f>
        <x:v>20</x:v>
      </x:c>
      <x:c r="D1175" s="43" t="str">
        <x:f>IF(C1175&gt;=85,"A",IF(C1175&gt;=65,"B","C"))</x:f>
        <x:v>C</x:v>
      </x:c>
      <x:c r="E1175" s="43" t="str">
        <x:v>Beech House School</x:v>
      </x:c>
      <x:c r="F1175" s="43" t="str">
        <x:v>Rochdale</x:v>
      </x:c>
      <x:c r="G1175" s="43" t="str">
        <x:v>Lancashire</x:v>
      </x:c>
      <x:c r="H1175" s="43" t="str">
        <x:v>OL11 4JQ</x:v>
      </x:c>
      <x:c r="I1175" s="43" t="n">
        <x:v>2</x:v>
      </x:c>
      <x:c r="J1175" s="43" t="n">
        <x:v>16</x:v>
      </x:c>
      <x:c r="K1175" s="43" t="str">
        <x:v>No boarders</x:v>
      </x:c>
      <x:c r="L1175" s="43" t="str">
        <x:v>Does not have a sixth form</x:v>
      </x:c>
      <x:c r="M1175" s="43" t="n">
        <x:v>135</x:v>
      </x:c>
      <x:c r="N1175" s="43" t="str">
        <x:v>https://www.beechhouseschool.co.uk</x:v>
      </x:c>
      <x:c r="O1175" s="43" t="str">
        <x:v>01706646309</x:v>
      </x:c>
      <x:c r="P1175" s="43" t="str"/>
      <x:c r="Q1175" s="43" t="str"/>
      <x:c r="R1175" s="43" t="str">
        <x:v>Queued for contact research</x:v>
      </x:c>
      <x:c r="S1175" s="43" t="str">
        <x:v>Not reviewed</x:v>
      </x:c>
      <x:c r="T1175" s="43" t="str">
        <x:v>Hold</x:v>
      </x:c>
      <x:c r="U1175" s="43" t="str">
        <x:v>No</x:v>
      </x:c>
      <x:c r="V1175" s="44"/>
      <x:c r="W1175" s="43" t="str"/>
      <x:c r="X1175" s="43" t="str"/>
      <x:c r="Y1175" s="43" t="str"/>
      <x:c r="Z1175" s="43" t="str">
        <x:v>https://www.get-information-schools.service.gov.uk/Downloads</x:v>
      </x:c>
    </x:row>
    <x:row r="1176">
      <x:c r="A1176" s="43" t="str">
        <x:v>UK independent</x:v>
      </x:c>
      <x:c r="B1176" s="43" t="str">
        <x:v>117627</x:v>
      </x:c>
      <x:c r="C1176" s="43" t="n">
        <x:f>IF(K1176="Boarding school",30,0)+IF(J1176&gt;=18,20,0)+IF(I1176&lt;=11,10,0)+IF(L1176="Has a sixth form",15,0)+IF(M1176&gt;=200,10,0)+IF(N1176&lt;&gt;"",10,0)</x:f>
        <x:v>20</x:v>
      </x:c>
      <x:c r="D1176" s="43" t="str">
        <x:f>IF(C1176&gt;=85,"A",IF(C1176&gt;=65,"B","C"))</x:f>
        <x:v>C</x:v>
      </x:c>
      <x:c r="E1176" s="43" t="str">
        <x:v>St Hilda's School</x:v>
      </x:c>
      <x:c r="F1176" s="43" t="str">
        <x:v>Harpenden</x:v>
      </x:c>
      <x:c r="G1176" s="43" t="str">
        <x:v>Hertfordshire</x:v>
      </x:c>
      <x:c r="H1176" s="43" t="str">
        <x:v>AL5 2ES</x:v>
      </x:c>
      <x:c r="I1176" s="43" t="n">
        <x:v>2</x:v>
      </x:c>
      <x:c r="J1176" s="43" t="n">
        <x:v>11</x:v>
      </x:c>
      <x:c r="K1176" s="43" t="str">
        <x:v>No boarders</x:v>
      </x:c>
      <x:c r="L1176" s="43" t="str">
        <x:v>Does not have a sixth form</x:v>
      </x:c>
      <x:c r="M1176" s="43" t="n">
        <x:v>134</x:v>
      </x:c>
      <x:c r="N1176" s="43" t="str">
        <x:v>https://www.sthildasharpenden.co.uk/</x:v>
      </x:c>
      <x:c r="O1176" s="43" t="str">
        <x:v>01582712307</x:v>
      </x:c>
      <x:c r="P1176" s="43" t="str"/>
      <x:c r="Q1176" s="43" t="str"/>
      <x:c r="R1176" s="43" t="str">
        <x:v>Queued for contact research</x:v>
      </x:c>
      <x:c r="S1176" s="43" t="str">
        <x:v>Not reviewed</x:v>
      </x:c>
      <x:c r="T1176" s="43" t="str">
        <x:v>Hold</x:v>
      </x:c>
      <x:c r="U1176" s="43" t="str">
        <x:v>No</x:v>
      </x:c>
      <x:c r="V1176" s="44"/>
      <x:c r="W1176" s="43" t="str"/>
      <x:c r="X1176" s="43" t="str"/>
      <x:c r="Y1176" s="43" t="str"/>
      <x:c r="Z1176" s="43" t="str">
        <x:v>https://www.get-information-schools.service.gov.uk/Downloads</x:v>
      </x:c>
    </x:row>
    <x:row r="1177">
      <x:c r="A1177" s="43" t="str">
        <x:v>UK independent</x:v>
      </x:c>
      <x:c r="B1177" s="43" t="str">
        <x:v>113016</x:v>
      </x:c>
      <x:c r="C1177" s="43" t="n">
        <x:f>IF(K1177="Boarding school",30,0)+IF(J1177&gt;=18,20,0)+IF(I1177&lt;=11,10,0)+IF(L1177="Has a sixth form",15,0)+IF(M1177&gt;=200,10,0)+IF(N1177&lt;&gt;"",10,0)</x:f>
        <x:v>20</x:v>
      </x:c>
      <x:c r="D1177" s="43" t="str">
        <x:f>IF(C1177&gt;=85,"A",IF(C1177&gt;=65,"B","C"))</x:f>
        <x:v>C</x:v>
      </x:c>
      <x:c r="E1177" s="43" t="str">
        <x:v>St Peter and St Paul School</x:v>
      </x:c>
      <x:c r="F1177" s="43" t="str">
        <x:v>Chesterfield</x:v>
      </x:c>
      <x:c r="G1177" s="43" t="str">
        <x:v>Derbyshire</x:v>
      </x:c>
      <x:c r="H1177" s="43" t="str">
        <x:v>S41 0EF</x:v>
      </x:c>
      <x:c r="I1177" s="43" t="n">
        <x:v>4</x:v>
      </x:c>
      <x:c r="J1177" s="43" t="n">
        <x:v>11</x:v>
      </x:c>
      <x:c r="K1177" s="43" t="str">
        <x:v>No boarders</x:v>
      </x:c>
      <x:c r="L1177" s="43" t="str">
        <x:v>Does not have a sixth form</x:v>
      </x:c>
      <x:c r="M1177" s="43" t="n">
        <x:v>134</x:v>
      </x:c>
      <x:c r="N1177" s="43" t="str">
        <x:v>http://www.stpeterpaul.co.uk</x:v>
      </x:c>
      <x:c r="O1177" s="43" t="str">
        <x:v>01246278522</x:v>
      </x:c>
      <x:c r="P1177" s="43" t="str"/>
      <x:c r="Q1177" s="43" t="str"/>
      <x:c r="R1177" s="43" t="str">
        <x:v>Queued for contact research</x:v>
      </x:c>
      <x:c r="S1177" s="43" t="str">
        <x:v>Not reviewed</x:v>
      </x:c>
      <x:c r="T1177" s="43" t="str">
        <x:v>Hold</x:v>
      </x:c>
      <x:c r="U1177" s="43" t="str">
        <x:v>No</x:v>
      </x:c>
      <x:c r="V1177" s="44"/>
      <x:c r="W1177" s="43" t="str"/>
      <x:c r="X1177" s="43" t="str"/>
      <x:c r="Y1177" s="43" t="str"/>
      <x:c r="Z1177" s="43" t="str">
        <x:v>https://www.get-information-schools.service.gov.uk/Downloads</x:v>
      </x:c>
    </x:row>
    <x:row r="1178">
      <x:c r="A1178" s="43" t="str">
        <x:v>UK independent</x:v>
      </x:c>
      <x:c r="B1178" s="43" t="str">
        <x:v>104408</x:v>
      </x:c>
      <x:c r="C1178" s="43" t="n">
        <x:f>IF(K1178="Boarding school",30,0)+IF(J1178&gt;=18,20,0)+IF(I1178&lt;=11,10,0)+IF(L1178="Has a sixth form",15,0)+IF(M1178&gt;=200,10,0)+IF(N1178&lt;&gt;"",10,0)</x:f>
        <x:v>20</x:v>
      </x:c>
      <x:c r="D1178" s="43" t="str">
        <x:f>IF(C1178&gt;=85,"A",IF(C1178&gt;=65,"B","C"))</x:f>
        <x:v>C</x:v>
      </x:c>
      <x:c r="E1178" s="43" t="str">
        <x:v>Newbridge Preparatory School</x:v>
      </x:c>
      <x:c r="F1178" s="43" t="str">
        <x:v>Wolverhampton</x:v>
      </x:c>
      <x:c r="G1178" s="43" t="str">
        <x:v>West Midlands</x:v>
      </x:c>
      <x:c r="H1178" s="43" t="str">
        <x:v>WV6 0LH</x:v>
      </x:c>
      <x:c r="I1178" s="43" t="n">
        <x:v>2</x:v>
      </x:c>
      <x:c r="J1178" s="43" t="n">
        <x:v>11</x:v>
      </x:c>
      <x:c r="K1178" s="43" t="str">
        <x:v>No boarders</x:v>
      </x:c>
      <x:c r="L1178" s="43" t="str">
        <x:v>Does not have a sixth form</x:v>
      </x:c>
      <x:c r="M1178" s="43" t="n">
        <x:v>133</x:v>
      </x:c>
      <x:c r="N1178" s="43" t="str">
        <x:v>https://www.newbridgeprepschool.org.uk</x:v>
      </x:c>
      <x:c r="O1178" s="43" t="str">
        <x:v>01902751088</x:v>
      </x:c>
      <x:c r="P1178" s="43" t="str"/>
      <x:c r="Q1178" s="43" t="str"/>
      <x:c r="R1178" s="43" t="str">
        <x:v>Queued for contact research</x:v>
      </x:c>
      <x:c r="S1178" s="43" t="str">
        <x:v>Not reviewed</x:v>
      </x:c>
      <x:c r="T1178" s="43" t="str">
        <x:v>Hold</x:v>
      </x:c>
      <x:c r="U1178" s="43" t="str">
        <x:v>No</x:v>
      </x:c>
      <x:c r="V1178" s="44"/>
      <x:c r="W1178" s="43" t="str"/>
      <x:c r="X1178" s="43" t="str"/>
      <x:c r="Y1178" s="43" t="str"/>
      <x:c r="Z1178" s="43" t="str">
        <x:v>https://www.get-information-schools.service.gov.uk/Downloads</x:v>
      </x:c>
    </x:row>
    <x:row r="1179">
      <x:c r="A1179" s="43" t="str">
        <x:v>UK independent</x:v>
      </x:c>
      <x:c r="B1179" s="43" t="str">
        <x:v>100090</x:v>
      </x:c>
      <x:c r="C1179" s="43" t="n">
        <x:f>IF(K1179="Boarding school",30,0)+IF(J1179&gt;=18,20,0)+IF(I1179&lt;=11,10,0)+IF(L1179="Has a sixth form",15,0)+IF(M1179&gt;=200,10,0)+IF(N1179&lt;&gt;"",10,0)</x:f>
        <x:v>20</x:v>
      </x:c>
      <x:c r="D1179" s="43" t="str">
        <x:f>IF(C1179&gt;=85,"A",IF(C1179&gt;=65,"B","C"))</x:f>
        <x:v>C</x:v>
      </x:c>
      <x:c r="E1179" s="43" t="str">
        <x:v>Southbank International School Hampstead</x:v>
      </x:c>
      <x:c r="F1179" s="43" t="str">
        <x:v>London</x:v>
      </x:c>
      <x:c r="G1179" s="43" t="str"/>
      <x:c r="H1179" s="43" t="str">
        <x:v>NW3 5TH</x:v>
      </x:c>
      <x:c r="I1179" s="43" t="n">
        <x:v>2</x:v>
      </x:c>
      <x:c r="J1179" s="43" t="n">
        <x:v>11</x:v>
      </x:c>
      <x:c r="K1179" s="43" t="str">
        <x:v>No boarders</x:v>
      </x:c>
      <x:c r="L1179" s="43" t="str">
        <x:v>Does not have a sixth form</x:v>
      </x:c>
      <x:c r="M1179" s="43" t="n">
        <x:v>133</x:v>
      </x:c>
      <x:c r="N1179" s="43" t="str">
        <x:v>http://www.southbank.org/</x:v>
      </x:c>
      <x:c r="O1179" s="43" t="str">
        <x:v>02074311200</x:v>
      </x:c>
      <x:c r="P1179" s="43" t="str"/>
      <x:c r="Q1179" s="43" t="str"/>
      <x:c r="R1179" s="43" t="str">
        <x:v>Queued for contact research</x:v>
      </x:c>
      <x:c r="S1179" s="43" t="str">
        <x:v>Not reviewed</x:v>
      </x:c>
      <x:c r="T1179" s="43" t="str">
        <x:v>Hold</x:v>
      </x:c>
      <x:c r="U1179" s="43" t="str">
        <x:v>No</x:v>
      </x:c>
      <x:c r="V1179" s="44"/>
      <x:c r="W1179" s="43" t="str"/>
      <x:c r="X1179" s="43" t="str"/>
      <x:c r="Y1179" s="43" t="str"/>
      <x:c r="Z1179" s="43" t="str">
        <x:v>https://www.get-information-schools.service.gov.uk/Downloads</x:v>
      </x:c>
    </x:row>
    <x:row r="1180">
      <x:c r="A1180" s="43" t="str">
        <x:v>UK independent</x:v>
      </x:c>
      <x:c r="B1180" s="43" t="str">
        <x:v>130243</x:v>
      </x:c>
      <x:c r="C1180" s="43" t="n">
        <x:f>IF(K1180="Boarding school",30,0)+IF(J1180&gt;=18,20,0)+IF(I1180&lt;=11,10,0)+IF(L1180="Has a sixth form",15,0)+IF(M1180&gt;=200,10,0)+IF(N1180&lt;&gt;"",10,0)</x:f>
        <x:v>20</x:v>
      </x:c>
      <x:c r="D1180" s="43" t="str">
        <x:f>IF(C1180&gt;=85,"A",IF(C1180&gt;=65,"B","C"))</x:f>
        <x:v>C</x:v>
      </x:c>
      <x:c r="E1180" s="43" t="str">
        <x:v>The Children's House School</x:v>
      </x:c>
      <x:c r="F1180" s="43" t="str">
        <x:v>London</x:v>
      </x:c>
      <x:c r="G1180" s="43" t="str"/>
      <x:c r="H1180" s="43" t="str">
        <x:v>N1 4PB</x:v>
      </x:c>
      <x:c r="I1180" s="43" t="n">
        <x:v>2</x:v>
      </x:c>
      <x:c r="J1180" s="43" t="n">
        <x:v>11</x:v>
      </x:c>
      <x:c r="K1180" s="43" t="str">
        <x:v>No boarders</x:v>
      </x:c>
      <x:c r="L1180" s="43" t="str">
        <x:v>Does not have a sixth form</x:v>
      </x:c>
      <x:c r="M1180" s="43" t="n">
        <x:v>133</x:v>
      </x:c>
      <x:c r="N1180" s="43" t="str">
        <x:v>https://www.childrenshouseschool.co.uk</x:v>
      </x:c>
      <x:c r="O1180" s="43" t="str">
        <x:v>02073542113</x:v>
      </x:c>
      <x:c r="P1180" s="43" t="str"/>
      <x:c r="Q1180" s="43" t="str"/>
      <x:c r="R1180" s="43" t="str">
        <x:v>Queued for contact research</x:v>
      </x:c>
      <x:c r="S1180" s="43" t="str">
        <x:v>Not reviewed</x:v>
      </x:c>
      <x:c r="T1180" s="43" t="str">
        <x:v>Hold</x:v>
      </x:c>
      <x:c r="U1180" s="43" t="str">
        <x:v>No</x:v>
      </x:c>
      <x:c r="V1180" s="44"/>
      <x:c r="W1180" s="43" t="str"/>
      <x:c r="X1180" s="43" t="str"/>
      <x:c r="Y1180" s="43" t="str"/>
      <x:c r="Z1180" s="43" t="str">
        <x:v>https://www.get-information-schools.service.gov.uk/Downloads</x:v>
      </x:c>
    </x:row>
    <x:row r="1181">
      <x:c r="A1181" s="43" t="str">
        <x:v>UK independent</x:v>
      </x:c>
      <x:c r="B1181" s="43" t="str">
        <x:v>110161</x:v>
      </x:c>
      <x:c r="C1181" s="43" t="n">
        <x:f>IF(K1181="Boarding school",30,0)+IF(J1181&gt;=18,20,0)+IF(I1181&lt;=11,10,0)+IF(L1181="Has a sixth form",15,0)+IF(M1181&gt;=200,10,0)+IF(N1181&lt;&gt;"",10,0)</x:f>
        <x:v>20</x:v>
      </x:c>
      <x:c r="D1181" s="43" t="str">
        <x:f>IF(C1181&gt;=85,"A",IF(C1181&gt;=65,"B","C"))</x:f>
        <x:v>C</x:v>
      </x:c>
      <x:c r="E1181" s="43" t="str">
        <x:v>Eton End School</x:v>
      </x:c>
      <x:c r="F1181" s="43" t="str">
        <x:v>Slough</x:v>
      </x:c>
      <x:c r="G1181" s="43" t="str">
        <x:v>Berkshire</x:v>
      </x:c>
      <x:c r="H1181" s="43" t="str">
        <x:v>SL3 9AX</x:v>
      </x:c>
      <x:c r="I1181" s="43" t="n">
        <x:v>2</x:v>
      </x:c>
      <x:c r="J1181" s="43" t="n">
        <x:v>11</x:v>
      </x:c>
      <x:c r="K1181" s="43" t="str">
        <x:v>No boarders</x:v>
      </x:c>
      <x:c r="L1181" s="43" t="str">
        <x:v>Does not have a sixth form</x:v>
      </x:c>
      <x:c r="M1181" s="43" t="n">
        <x:v>132</x:v>
      </x:c>
      <x:c r="N1181" s="43" t="str">
        <x:v>https://www.etonend.org</x:v>
      </x:c>
      <x:c r="O1181" s="43" t="str">
        <x:v>01753541075</x:v>
      </x:c>
      <x:c r="P1181" s="43" t="str"/>
      <x:c r="Q1181" s="43" t="str"/>
      <x:c r="R1181" s="43" t="str">
        <x:v>Queued for contact research</x:v>
      </x:c>
      <x:c r="S1181" s="43" t="str">
        <x:v>Not reviewed</x:v>
      </x:c>
      <x:c r="T1181" s="43" t="str">
        <x:v>Hold</x:v>
      </x:c>
      <x:c r="U1181" s="43" t="str">
        <x:v>No</x:v>
      </x:c>
      <x:c r="V1181" s="44"/>
      <x:c r="W1181" s="43" t="str"/>
      <x:c r="X1181" s="43" t="str"/>
      <x:c r="Y1181" s="43" t="str"/>
      <x:c r="Z1181" s="43" t="str">
        <x:v>https://www.get-information-schools.service.gov.uk/Downloads</x:v>
      </x:c>
    </x:row>
    <x:row r="1182">
      <x:c r="A1182" s="43" t="str">
        <x:v>UK independent</x:v>
      </x:c>
      <x:c r="B1182" s="43" t="str">
        <x:v>106381</x:v>
      </x:c>
      <x:c r="C1182" s="43" t="n">
        <x:f>IF(K1182="Boarding school",30,0)+IF(J1182&gt;=18,20,0)+IF(I1182&lt;=11,10,0)+IF(L1182="Has a sixth form",15,0)+IF(M1182&gt;=200,10,0)+IF(N1182&lt;&gt;"",10,0)</x:f>
        <x:v>20</x:v>
      </x:c>
      <x:c r="D1182" s="43" t="str">
        <x:f>IF(C1182&gt;=85,"A",IF(C1182&gt;=65,"B","C"))</x:f>
        <x:v>C</x:v>
      </x:c>
      <x:c r="E1182" s="43" t="str">
        <x:v>St Ambrose Prep School</x:v>
      </x:c>
      <x:c r="F1182" s="43" t="str">
        <x:v>Cheshire</x:v>
      </x:c>
      <x:c r="G1182" s="43" t="str"/>
      <x:c r="H1182" s="43" t="str">
        <x:v>WA15 0HF</x:v>
      </x:c>
      <x:c r="I1182" s="43" t="n">
        <x:v>3</x:v>
      </x:c>
      <x:c r="J1182" s="43" t="n">
        <x:v>11</x:v>
      </x:c>
      <x:c r="K1182" s="43" t="str">
        <x:v>No boarders</x:v>
      </x:c>
      <x:c r="L1182" s="43" t="str">
        <x:v>Does not have a sixth form</x:v>
      </x:c>
      <x:c r="M1182" s="43" t="n">
        <x:v>132</x:v>
      </x:c>
      <x:c r="N1182" s="43" t="str">
        <x:v>https://www.stambroseprep.co.uk</x:v>
      </x:c>
      <x:c r="O1182" s="43" t="str">
        <x:v>01619039193</x:v>
      </x:c>
      <x:c r="P1182" s="43" t="str"/>
      <x:c r="Q1182" s="43" t="str"/>
      <x:c r="R1182" s="43" t="str">
        <x:v>Queued for contact research</x:v>
      </x:c>
      <x:c r="S1182" s="43" t="str">
        <x:v>Not reviewed</x:v>
      </x:c>
      <x:c r="T1182" s="43" t="str">
        <x:v>Hold</x:v>
      </x:c>
      <x:c r="U1182" s="43" t="str">
        <x:v>No</x:v>
      </x:c>
      <x:c r="V1182" s="44"/>
      <x:c r="W1182" s="43" t="str"/>
      <x:c r="X1182" s="43" t="str"/>
      <x:c r="Y1182" s="43" t="str"/>
      <x:c r="Z1182" s="43" t="str">
        <x:v>https://www.get-information-schools.service.gov.uk/Downloads</x:v>
      </x:c>
    </x:row>
    <x:row r="1183">
      <x:c r="A1183" s="43" t="str">
        <x:v>UK independent</x:v>
      </x:c>
      <x:c r="B1183" s="43" t="str">
        <x:v>144804</x:v>
      </x:c>
      <x:c r="C1183" s="43" t="n">
        <x:f>IF(K1183="Boarding school",30,0)+IF(J1183&gt;=18,20,0)+IF(I1183&lt;=11,10,0)+IF(L1183="Has a sixth form",15,0)+IF(M1183&gt;=200,10,0)+IF(N1183&lt;&gt;"",10,0)</x:f>
        <x:v>20</x:v>
      </x:c>
      <x:c r="D1183" s="43" t="str">
        <x:f>IF(C1183&gt;=85,"A",IF(C1183&gt;=65,"B","C"))</x:f>
        <x:v>C</x:v>
      </x:c>
      <x:c r="E1183" s="43" t="str">
        <x:v>The Independent Grammar School:Durham</x:v>
      </x:c>
      <x:c r="F1183" s="43" t="str">
        <x:v>Esh Winning</x:v>
      </x:c>
      <x:c r="G1183" s="43" t="str">
        <x:v>County Durham</x:v>
      </x:c>
      <x:c r="H1183" s="43" t="str">
        <x:v>DH7 9QF</x:v>
      </x:c>
      <x:c r="I1183" s="43" t="n">
        <x:v>4</x:v>
      </x:c>
      <x:c r="J1183" s="43" t="n">
        <x:v>16</x:v>
      </x:c>
      <x:c r="K1183" s="43" t="str">
        <x:v>No boarders</x:v>
      </x:c>
      <x:c r="L1183" s="43" t="str">
        <x:v>Does not have a sixth form</x:v>
      </x:c>
      <x:c r="M1183" s="43" t="n">
        <x:v>132</x:v>
      </x:c>
      <x:c r="N1183" s="43" t="str">
        <x:v>https://www.igsdurham.com</x:v>
      </x:c>
      <x:c r="O1183" s="43" t="str">
        <x:v>01913230056</x:v>
      </x:c>
      <x:c r="P1183" s="43" t="str"/>
      <x:c r="Q1183" s="43" t="str"/>
      <x:c r="R1183" s="43" t="str">
        <x:v>Queued for contact research</x:v>
      </x:c>
      <x:c r="S1183" s="43" t="str">
        <x:v>Not reviewed</x:v>
      </x:c>
      <x:c r="T1183" s="43" t="str">
        <x:v>Hold</x:v>
      </x:c>
      <x:c r="U1183" s="43" t="str">
        <x:v>No</x:v>
      </x:c>
      <x:c r="V1183" s="44"/>
      <x:c r="W1183" s="43" t="str"/>
      <x:c r="X1183" s="43" t="str"/>
      <x:c r="Y1183" s="43" t="str"/>
      <x:c r="Z1183" s="43" t="str">
        <x:v>https://www.get-information-schools.service.gov.uk/Downloads</x:v>
      </x:c>
    </x:row>
    <x:row r="1184">
      <x:c r="A1184" s="43" t="str">
        <x:v>UK independent</x:v>
      </x:c>
      <x:c r="B1184" s="43" t="str">
        <x:v>119822</x:v>
      </x:c>
      <x:c r="C1184" s="43" t="n">
        <x:f>IF(K1184="Boarding school",30,0)+IF(J1184&gt;=18,20,0)+IF(I1184&lt;=11,10,0)+IF(L1184="Has a sixth form",15,0)+IF(M1184&gt;=200,10,0)+IF(N1184&lt;&gt;"",10,0)</x:f>
        <x:v>20</x:v>
      </x:c>
      <x:c r="D1184" s="43" t="str">
        <x:f>IF(C1184&gt;=85,"A",IF(C1184&gt;=65,"B","C"))</x:f>
        <x:v>C</x:v>
      </x:c>
      <x:c r="E1184" s="43" t="str">
        <x:v>St Pius X Preparatory School</x:v>
      </x:c>
      <x:c r="F1184" s="43" t="str">
        <x:v>Preston</x:v>
      </x:c>
      <x:c r="G1184" s="43" t="str">
        <x:v>Lancashire</x:v>
      </x:c>
      <x:c r="H1184" s="43" t="str">
        <x:v>PR2 8RD</x:v>
      </x:c>
      <x:c r="I1184" s="43" t="n">
        <x:v>2</x:v>
      </x:c>
      <x:c r="J1184" s="43" t="n">
        <x:v>11</x:v>
      </x:c>
      <x:c r="K1184" s="43" t="str">
        <x:v>No boarders</x:v>
      </x:c>
      <x:c r="L1184" s="43" t="str">
        <x:v>Does not have a sixth form</x:v>
      </x:c>
      <x:c r="M1184" s="43" t="n">
        <x:v>131</x:v>
      </x:c>
      <x:c r="N1184" s="43" t="str">
        <x:v>https://www.stpiusx.co.uk</x:v>
      </x:c>
      <x:c r="O1184" s="43" t="str">
        <x:v>01772719937</x:v>
      </x:c>
      <x:c r="P1184" s="43" t="str"/>
      <x:c r="Q1184" s="43" t="str"/>
      <x:c r="R1184" s="43" t="str">
        <x:v>Queued for contact research</x:v>
      </x:c>
      <x:c r="S1184" s="43" t="str">
        <x:v>Not reviewed</x:v>
      </x:c>
      <x:c r="T1184" s="43" t="str">
        <x:v>Hold</x:v>
      </x:c>
      <x:c r="U1184" s="43" t="str">
        <x:v>No</x:v>
      </x:c>
      <x:c r="V1184" s="44"/>
      <x:c r="W1184" s="43" t="str"/>
      <x:c r="X1184" s="43" t="str"/>
      <x:c r="Y1184" s="43" t="str"/>
      <x:c r="Z1184" s="43" t="str">
        <x:v>https://www.get-information-schools.service.gov.uk/Downloads</x:v>
      </x:c>
    </x:row>
    <x:row r="1185">
      <x:c r="A1185" s="43" t="str">
        <x:v>UK independent</x:v>
      </x:c>
      <x:c r="B1185" s="43" t="str">
        <x:v>138564</x:v>
      </x:c>
      <x:c r="C1185" s="43" t="n">
        <x:f>IF(K1185="Boarding school",30,0)+IF(J1185&gt;=18,20,0)+IF(I1185&lt;=11,10,0)+IF(L1185="Has a sixth form",15,0)+IF(M1185&gt;=200,10,0)+IF(N1185&lt;&gt;"",10,0)</x:f>
        <x:v>20</x:v>
      </x:c>
      <x:c r="D1185" s="43" t="str">
        <x:f>IF(C1185&gt;=85,"A",IF(C1185&gt;=65,"B","C"))</x:f>
        <x:v>C</x:v>
      </x:c>
      <x:c r="E1185" s="43" t="str">
        <x:v>Buttercup Primary School</x:v>
      </x:c>
      <x:c r="F1185" s="43" t="str">
        <x:v>London</x:v>
      </x:c>
      <x:c r="G1185" s="43" t="str"/>
      <x:c r="H1185" s="43" t="str">
        <x:v>E1 2LX</x:v>
      </x:c>
      <x:c r="I1185" s="43" t="n">
        <x:v>3</x:v>
      </x:c>
      <x:c r="J1185" s="43" t="n">
        <x:v>11</x:v>
      </x:c>
      <x:c r="K1185" s="43" t="str">
        <x:v>No boarders</x:v>
      </x:c>
      <x:c r="L1185" s="43" t="str">
        <x:v>Does not have a sixth form</x:v>
      </x:c>
      <x:c r="M1185" s="43" t="n">
        <x:v>130</x:v>
      </x:c>
      <x:c r="N1185" s="43" t="str">
        <x:v>https://www.buttercupprimary.co.uk</x:v>
      </x:c>
      <x:c r="O1185" s="43" t="str">
        <x:v>02037597408</x:v>
      </x:c>
      <x:c r="P1185" s="43" t="str"/>
      <x:c r="Q1185" s="43" t="str"/>
      <x:c r="R1185" s="43" t="str">
        <x:v>Queued for contact research</x:v>
      </x:c>
      <x:c r="S1185" s="43" t="str">
        <x:v>Not reviewed</x:v>
      </x:c>
      <x:c r="T1185" s="43" t="str">
        <x:v>Hold</x:v>
      </x:c>
      <x:c r="U1185" s="43" t="str">
        <x:v>No</x:v>
      </x:c>
      <x:c r="V1185" s="44"/>
      <x:c r="W1185" s="43" t="str"/>
      <x:c r="X1185" s="43" t="str"/>
      <x:c r="Y1185" s="43" t="str"/>
      <x:c r="Z1185" s="43" t="str">
        <x:v>https://www.get-information-schools.service.gov.uk/Downloads</x:v>
      </x:c>
    </x:row>
    <x:row r="1186">
      <x:c r="A1186" s="43" t="str">
        <x:v>UK independent</x:v>
      </x:c>
      <x:c r="B1186" s="43" t="str">
        <x:v>117629</x:v>
      </x:c>
      <x:c r="C1186" s="43" t="n">
        <x:f>IF(K1186="Boarding school",30,0)+IF(J1186&gt;=18,20,0)+IF(I1186&lt;=11,10,0)+IF(L1186="Has a sixth form",15,0)+IF(M1186&gt;=200,10,0)+IF(N1186&lt;&gt;"",10,0)</x:f>
        <x:v>20</x:v>
      </x:c>
      <x:c r="D1186" s="43" t="str">
        <x:f>IF(C1186&gt;=85,"A",IF(C1186&gt;=65,"B","C"))</x:f>
        <x:v>C</x:v>
      </x:c>
      <x:c r="E1186" s="43" t="str">
        <x:v>Hertford Prep</x:v>
      </x:c>
      <x:c r="F1186" s="43" t="str">
        <x:v>Hertford</x:v>
      </x:c>
      <x:c r="G1186" s="43" t="str">
        <x:v>Hertfordshire</x:v>
      </x:c>
      <x:c r="H1186" s="43" t="str">
        <x:v>SG14 2LX</x:v>
      </x:c>
      <x:c r="I1186" s="43" t="n">
        <x:v>2</x:v>
      </x:c>
      <x:c r="J1186" s="43" t="n">
        <x:v>11</x:v>
      </x:c>
      <x:c r="K1186" s="43" t="str">
        <x:v>No boarders</x:v>
      </x:c>
      <x:c r="L1186" s="43" t="str">
        <x:v>Does not have a sixth form</x:v>
      </x:c>
      <x:c r="M1186" s="43" t="n">
        <x:v>130</x:v>
      </x:c>
      <x:c r="N1186" s="43" t="str">
        <x:v>https://www.hertfordprep.org.uk</x:v>
      </x:c>
      <x:c r="O1186" s="43" t="str">
        <x:v>01992513810</x:v>
      </x:c>
      <x:c r="P1186" s="43" t="str"/>
      <x:c r="Q1186" s="43" t="str"/>
      <x:c r="R1186" s="43" t="str">
        <x:v>Queued for contact research</x:v>
      </x:c>
      <x:c r="S1186" s="43" t="str">
        <x:v>Not reviewed</x:v>
      </x:c>
      <x:c r="T1186" s="43" t="str">
        <x:v>Hold</x:v>
      </x:c>
      <x:c r="U1186" s="43" t="str">
        <x:v>No</x:v>
      </x:c>
      <x:c r="V1186" s="44"/>
      <x:c r="W1186" s="43" t="str"/>
      <x:c r="X1186" s="43" t="str"/>
      <x:c r="Y1186" s="43" t="str"/>
      <x:c r="Z1186" s="43" t="str">
        <x:v>https://www.get-information-schools.service.gov.uk/Downloads</x:v>
      </x:c>
    </x:row>
    <x:row r="1187">
      <x:c r="A1187" s="43" t="str">
        <x:v>UK independent</x:v>
      </x:c>
      <x:c r="B1187" s="43" t="str">
        <x:v>115433</x:v>
      </x:c>
      <x:c r="C1187" s="43" t="n">
        <x:f>IF(K1187="Boarding school",30,0)+IF(J1187&gt;=18,20,0)+IF(I1187&lt;=11,10,0)+IF(L1187="Has a sixth form",15,0)+IF(M1187&gt;=200,10,0)+IF(N1187&lt;&gt;"",10,0)</x:f>
        <x:v>20</x:v>
      </x:c>
      <x:c r="D1187" s="43" t="str">
        <x:f>IF(C1187&gt;=85,"A",IF(C1187&gt;=65,"B","C"))</x:f>
        <x:v>C</x:v>
      </x:c>
      <x:c r="E1187" s="43" t="str">
        <x:v>Howe Green House School</x:v>
      </x:c>
      <x:c r="F1187" s="43" t="str">
        <x:v>BISHOP'S STORTFORD</x:v>
      </x:c>
      <x:c r="G1187" s="43" t="str">
        <x:v>Hertfordshire</x:v>
      </x:c>
      <x:c r="H1187" s="43" t="str">
        <x:v>CM22 7UF</x:v>
      </x:c>
      <x:c r="I1187" s="43" t="n">
        <x:v>2</x:v>
      </x:c>
      <x:c r="J1187" s="43" t="n">
        <x:v>11</x:v>
      </x:c>
      <x:c r="K1187" s="43" t="str">
        <x:v>No boarders</x:v>
      </x:c>
      <x:c r="L1187" s="43" t="str">
        <x:v>Does not have a sixth form</x:v>
      </x:c>
      <x:c r="M1187" s="43" t="n">
        <x:v>130</x:v>
      </x:c>
      <x:c r="N1187" s="43" t="str">
        <x:v>https://www.howegreenhouse.org</x:v>
      </x:c>
      <x:c r="O1187" s="43" t="str">
        <x:v>01279657706</x:v>
      </x:c>
      <x:c r="P1187" s="43" t="str"/>
      <x:c r="Q1187" s="43" t="str"/>
      <x:c r="R1187" s="43" t="str">
        <x:v>Queued for contact research</x:v>
      </x:c>
      <x:c r="S1187" s="43" t="str">
        <x:v>Not reviewed</x:v>
      </x:c>
      <x:c r="T1187" s="43" t="str">
        <x:v>Hold</x:v>
      </x:c>
      <x:c r="U1187" s="43" t="str">
        <x:v>No</x:v>
      </x:c>
      <x:c r="V1187" s="44"/>
      <x:c r="W1187" s="43" t="str"/>
      <x:c r="X1187" s="43" t="str"/>
      <x:c r="Y1187" s="43" t="str"/>
      <x:c r="Z1187" s="43" t="str">
        <x:v>https://www.get-information-schools.service.gov.uk/Downloads</x:v>
      </x:c>
    </x:row>
    <x:row r="1188">
      <x:c r="A1188" s="43" t="str">
        <x:v>UK independent</x:v>
      </x:c>
      <x:c r="B1188" s="43" t="str">
        <x:v>113566</x:v>
      </x:c>
      <x:c r="C1188" s="43" t="n">
        <x:f>IF(K1188="Boarding school",30,0)+IF(J1188&gt;=18,20,0)+IF(I1188&lt;=11,10,0)+IF(L1188="Has a sixth form",15,0)+IF(M1188&gt;=200,10,0)+IF(N1188&lt;&gt;"",10,0)</x:f>
        <x:v>20</x:v>
      </x:c>
      <x:c r="D1188" s="43" t="str">
        <x:f>IF(C1188&gt;=85,"A",IF(C1188&gt;=65,"B","C"))</x:f>
        <x:v>C</x:v>
      </x:c>
      <x:c r="E1188" s="43" t="str">
        <x:v>Abbey School</x:v>
      </x:c>
      <x:c r="F1188" s="43" t="str">
        <x:v>Torquay</x:v>
      </x:c>
      <x:c r="G1188" s="43" t="str">
        <x:v>Devon</x:v>
      </x:c>
      <x:c r="H1188" s="43" t="str">
        <x:v>TQ1 4PR</x:v>
      </x:c>
      <x:c r="I1188" s="43" t="n">
        <x:v>2</x:v>
      </x:c>
      <x:c r="J1188" s="43" t="n">
        <x:v>11</x:v>
      </x:c>
      <x:c r="K1188" s="43" t="str">
        <x:v>No boarders</x:v>
      </x:c>
      <x:c r="L1188" s="43" t="str">
        <x:v>Does not have a sixth form</x:v>
      </x:c>
      <x:c r="M1188" s="43" t="n">
        <x:v>128</x:v>
      </x:c>
      <x:c r="N1188" s="43" t="str">
        <x:v>https://www.abbeyschool.co.uk</x:v>
      </x:c>
      <x:c r="O1188" s="43" t="str">
        <x:v>01803327868</x:v>
      </x:c>
      <x:c r="P1188" s="43" t="str"/>
      <x:c r="Q1188" s="43" t="str"/>
      <x:c r="R1188" s="43" t="str">
        <x:v>Queued for contact research</x:v>
      </x:c>
      <x:c r="S1188" s="43" t="str">
        <x:v>Not reviewed</x:v>
      </x:c>
      <x:c r="T1188" s="43" t="str">
        <x:v>Hold</x:v>
      </x:c>
      <x:c r="U1188" s="43" t="str">
        <x:v>No</x:v>
      </x:c>
      <x:c r="V1188" s="44"/>
      <x:c r="W1188" s="43" t="str"/>
      <x:c r="X1188" s="43" t="str"/>
      <x:c r="Y1188" s="43" t="str"/>
      <x:c r="Z1188" s="43" t="str">
        <x:v>https://www.get-information-schools.service.gov.uk/Downloads</x:v>
      </x:c>
    </x:row>
    <x:row r="1189">
      <x:c r="A1189" s="43" t="str">
        <x:v>UK independent</x:v>
      </x:c>
      <x:c r="B1189" s="43" t="str">
        <x:v>135988</x:v>
      </x:c>
      <x:c r="C1189" s="43" t="n">
        <x:f>IF(K1189="Boarding school",30,0)+IF(J1189&gt;=18,20,0)+IF(I1189&lt;=11,10,0)+IF(L1189="Has a sixth form",15,0)+IF(M1189&gt;=200,10,0)+IF(N1189&lt;&gt;"",10,0)</x:f>
        <x:v>20</x:v>
      </x:c>
      <x:c r="D1189" s="43" t="str">
        <x:f>IF(C1189&gt;=85,"A",IF(C1189&gt;=65,"B","C"))</x:f>
        <x:v>C</x:v>
      </x:c>
      <x:c r="E1189" s="43" t="str">
        <x:v>Assunnah Primary School</x:v>
      </x:c>
      <x:c r="F1189" s="43" t="str">
        <x:v>TOTTENHAM</x:v>
      </x:c>
      <x:c r="G1189" s="43" t="str"/>
      <x:c r="H1189" s="43" t="str">
        <x:v>N17 6SB</x:v>
      </x:c>
      <x:c r="I1189" s="43" t="n">
        <x:v>2</x:v>
      </x:c>
      <x:c r="J1189" s="43" t="n">
        <x:v>11</x:v>
      </x:c>
      <x:c r="K1189" s="43" t="str">
        <x:v>No boarders</x:v>
      </x:c>
      <x:c r="L1189" s="43" t="str">
        <x:v>Does not have a sixth form</x:v>
      </x:c>
      <x:c r="M1189" s="43" t="n">
        <x:v>128</x:v>
      </x:c>
      <x:c r="N1189" s="43" t="str">
        <x:v>https://www.assunnahschool.co.uk</x:v>
      </x:c>
      <x:c r="O1189" s="43" t="str">
        <x:v>02083500592</x:v>
      </x:c>
      <x:c r="P1189" s="43" t="str"/>
      <x:c r="Q1189" s="43" t="str"/>
      <x:c r="R1189" s="43" t="str">
        <x:v>Queued for contact research</x:v>
      </x:c>
      <x:c r="S1189" s="43" t="str">
        <x:v>Not reviewed</x:v>
      </x:c>
      <x:c r="T1189" s="43" t="str">
        <x:v>Hold</x:v>
      </x:c>
      <x:c r="U1189" s="43" t="str">
        <x:v>No</x:v>
      </x:c>
      <x:c r="V1189" s="44"/>
      <x:c r="W1189" s="43" t="str"/>
      <x:c r="X1189" s="43" t="str"/>
      <x:c r="Y1189" s="43" t="str"/>
      <x:c r="Z1189" s="43" t="str">
        <x:v>https://www.get-information-schools.service.gov.uk/Downloads</x:v>
      </x:c>
    </x:row>
    <x:row r="1190">
      <x:c r="A1190" s="43" t="str">
        <x:v>UK independent</x:v>
      </x:c>
      <x:c r="B1190" s="43" t="str">
        <x:v>144965</x:v>
      </x:c>
      <x:c r="C1190" s="43" t="n">
        <x:f>IF(K1190="Boarding school",30,0)+IF(J1190&gt;=18,20,0)+IF(I1190&lt;=11,10,0)+IF(L1190="Has a sixth form",15,0)+IF(M1190&gt;=200,10,0)+IF(N1190&lt;&gt;"",10,0)</x:f>
        <x:v>20</x:v>
      </x:c>
      <x:c r="D1190" s="43" t="str">
        <x:f>IF(C1190&gt;=85,"A",IF(C1190&gt;=65,"B","C"))</x:f>
        <x:v>C</x:v>
      </x:c>
      <x:c r="E1190" s="43" t="str">
        <x:v>Kensington Wade</x:v>
      </x:c>
      <x:c r="F1190" s="43" t="str"/>
      <x:c r="G1190" s="43" t="str"/>
      <x:c r="H1190" s="43" t="str">
        <x:v>W6 9ER</x:v>
      </x:c>
      <x:c r="I1190" s="43" t="n">
        <x:v>3</x:v>
      </x:c>
      <x:c r="J1190" s="43" t="n">
        <x:v>11</x:v>
      </x:c>
      <x:c r="K1190" s="43" t="str">
        <x:v>No boarders</x:v>
      </x:c>
      <x:c r="L1190" s="43" t="str">
        <x:v>Does not have a sixth form</x:v>
      </x:c>
      <x:c r="M1190" s="43" t="n">
        <x:v>128</x:v>
      </x:c>
      <x:c r="N1190" s="43" t="str">
        <x:v>https://www.kensingtonwade.com</x:v>
      </x:c>
      <x:c r="O1190" s="43" t="str">
        <x:v>02030962888</x:v>
      </x:c>
      <x:c r="P1190" s="43" t="str"/>
      <x:c r="Q1190" s="43" t="str"/>
      <x:c r="R1190" s="43" t="str">
        <x:v>Queued for contact research</x:v>
      </x:c>
      <x:c r="S1190" s="43" t="str">
        <x:v>Not reviewed</x:v>
      </x:c>
      <x:c r="T1190" s="43" t="str">
        <x:v>Hold</x:v>
      </x:c>
      <x:c r="U1190" s="43" t="str">
        <x:v>No</x:v>
      </x:c>
      <x:c r="V1190" s="44"/>
      <x:c r="W1190" s="43" t="str"/>
      <x:c r="X1190" s="43" t="str"/>
      <x:c r="Y1190" s="43" t="str"/>
      <x:c r="Z1190" s="43" t="str">
        <x:v>https://www.get-information-schools.service.gov.uk/Downloads</x:v>
      </x:c>
    </x:row>
    <x:row r="1191">
      <x:c r="A1191" s="43" t="str">
        <x:v>UK independent</x:v>
      </x:c>
      <x:c r="B1191" s="43" t="str">
        <x:v>125382</x:v>
      </x:c>
      <x:c r="C1191" s="43" t="n">
        <x:f>IF(K1191="Boarding school",30,0)+IF(J1191&gt;=18,20,0)+IF(I1191&lt;=11,10,0)+IF(L1191="Has a sixth form",15,0)+IF(M1191&gt;=200,10,0)+IF(N1191&lt;&gt;"",10,0)</x:f>
        <x:v>20</x:v>
      </x:c>
      <x:c r="D1191" s="43" t="str">
        <x:f>IF(C1191&gt;=85,"A",IF(C1191&gt;=65,"B","C"))</x:f>
        <x:v>C</x:v>
      </x:c>
      <x:c r="E1191" s="43" t="str">
        <x:v>St Ives School</x:v>
      </x:c>
      <x:c r="F1191" s="43" t="str">
        <x:v>Haslemere</x:v>
      </x:c>
      <x:c r="G1191" s="43" t="str">
        <x:v>Surrey</x:v>
      </x:c>
      <x:c r="H1191" s="43" t="str">
        <x:v>GU27 2ES</x:v>
      </x:c>
      <x:c r="I1191" s="43" t="n">
        <x:v>2</x:v>
      </x:c>
      <x:c r="J1191" s="43" t="n">
        <x:v>11</x:v>
      </x:c>
      <x:c r="K1191" s="43" t="str">
        <x:v>No boarders</x:v>
      </x:c>
      <x:c r="L1191" s="43" t="str">
        <x:v>Does not have a sixth form</x:v>
      </x:c>
      <x:c r="M1191" s="43" t="n">
        <x:v>128</x:v>
      </x:c>
      <x:c r="N1191" s="43" t="str">
        <x:v>https://www.stiveshaslemere.com</x:v>
      </x:c>
      <x:c r="O1191" s="43" t="str">
        <x:v>01428643734</x:v>
      </x:c>
      <x:c r="P1191" s="43" t="str"/>
      <x:c r="Q1191" s="43" t="str"/>
      <x:c r="R1191" s="43" t="str">
        <x:v>Queued for contact research</x:v>
      </x:c>
      <x:c r="S1191" s="43" t="str">
        <x:v>Not reviewed</x:v>
      </x:c>
      <x:c r="T1191" s="43" t="str">
        <x:v>Hold</x:v>
      </x:c>
      <x:c r="U1191" s="43" t="str">
        <x:v>No</x:v>
      </x:c>
      <x:c r="V1191" s="44"/>
      <x:c r="W1191" s="43" t="str"/>
      <x:c r="X1191" s="43" t="str"/>
      <x:c r="Y1191" s="43" t="str"/>
      <x:c r="Z1191" s="43" t="str">
        <x:v>https://www.get-information-schools.service.gov.uk/Downloads</x:v>
      </x:c>
    </x:row>
    <x:row r="1192">
      <x:c r="A1192" s="43" t="str">
        <x:v>UK independent</x:v>
      </x:c>
      <x:c r="B1192" s="43" t="str">
        <x:v>107787</x:v>
      </x:c>
      <x:c r="C1192" s="43" t="n">
        <x:f>IF(K1192="Boarding school",30,0)+IF(J1192&gt;=18,20,0)+IF(I1192&lt;=11,10,0)+IF(L1192="Has a sixth form",15,0)+IF(M1192&gt;=200,10,0)+IF(N1192&lt;&gt;"",10,0)</x:f>
        <x:v>20</x:v>
      </x:c>
      <x:c r="D1192" s="43" t="str">
        <x:f>IF(C1192&gt;=85,"A",IF(C1192&gt;=65,"B","C"))</x:f>
        <x:v>C</x:v>
      </x:c>
      <x:c r="E1192" s="43" t="str">
        <x:v>The Mount School</x:v>
      </x:c>
      <x:c r="F1192" s="43" t="str">
        <x:v>Huddersfield</x:v>
      </x:c>
      <x:c r="G1192" s="43" t="str">
        <x:v>West Yorkshire</x:v>
      </x:c>
      <x:c r="H1192" s="43" t="str">
        <x:v>HD2 2AP</x:v>
      </x:c>
      <x:c r="I1192" s="43" t="n">
        <x:v>3</x:v>
      </x:c>
      <x:c r="J1192" s="43" t="n">
        <x:v>11</x:v>
      </x:c>
      <x:c r="K1192" s="43" t="str">
        <x:v>No boarders</x:v>
      </x:c>
      <x:c r="L1192" s="43" t="str">
        <x:v>Does not have a sixth form</x:v>
      </x:c>
      <x:c r="M1192" s="43" t="n">
        <x:v>128</x:v>
      </x:c>
      <x:c r="N1192" s="43" t="str">
        <x:v>https://www.themount.org.uk</x:v>
      </x:c>
      <x:c r="O1192" s="43" t="str">
        <x:v>01484426432</x:v>
      </x:c>
      <x:c r="P1192" s="43" t="str"/>
      <x:c r="Q1192" s="43" t="str"/>
      <x:c r="R1192" s="43" t="str">
        <x:v>Queued for contact research</x:v>
      </x:c>
      <x:c r="S1192" s="43" t="str">
        <x:v>Not reviewed</x:v>
      </x:c>
      <x:c r="T1192" s="43" t="str">
        <x:v>Hold</x:v>
      </x:c>
      <x:c r="U1192" s="43" t="str">
        <x:v>No</x:v>
      </x:c>
      <x:c r="V1192" s="44"/>
      <x:c r="W1192" s="43" t="str"/>
      <x:c r="X1192" s="43" t="str"/>
      <x:c r="Y1192" s="43" t="str"/>
      <x:c r="Z1192" s="43" t="str">
        <x:v>https://www.get-information-schools.service.gov.uk/Downloads</x:v>
      </x:c>
    </x:row>
    <x:row r="1193">
      <x:c r="A1193" s="43" t="str">
        <x:v>UK independent</x:v>
      </x:c>
      <x:c r="B1193" s="43" t="str">
        <x:v>114618</x:v>
      </x:c>
      <x:c r="C1193" s="43" t="n">
        <x:f>IF(K1193="Boarding school",30,0)+IF(J1193&gt;=18,20,0)+IF(I1193&lt;=11,10,0)+IF(L1193="Has a sixth form",15,0)+IF(M1193&gt;=200,10,0)+IF(N1193&lt;&gt;"",10,0)</x:f>
        <x:v>20</x:v>
      </x:c>
      <x:c r="D1193" s="43" t="str">
        <x:f>IF(C1193&gt;=85,"A",IF(C1193&gt;=65,"B","C"))</x:f>
        <x:v>C</x:v>
      </x:c>
      <x:c r="E1193" s="43" t="str">
        <x:v>Windlesham School</x:v>
      </x:c>
      <x:c r="F1193" s="43" t="str"/>
      <x:c r="G1193" s="43" t="str"/>
      <x:c r="H1193" s="43" t="str">
        <x:v>BN1 5AA</x:v>
      </x:c>
      <x:c r="I1193" s="43" t="n">
        <x:v>2</x:v>
      </x:c>
      <x:c r="J1193" s="43" t="n">
        <x:v>11</x:v>
      </x:c>
      <x:c r="K1193" s="43" t="str">
        <x:v>No boarders</x:v>
      </x:c>
      <x:c r="L1193" s="43" t="str">
        <x:v>Does not have a sixth form</x:v>
      </x:c>
      <x:c r="M1193" s="43" t="n">
        <x:v>128</x:v>
      </x:c>
      <x:c r="N1193" s="43" t="str">
        <x:v>https://www.brightoncollegeprephove.com</x:v>
      </x:c>
      <x:c r="O1193" s="43" t="str">
        <x:v>01273553645</x:v>
      </x:c>
      <x:c r="P1193" s="43" t="str"/>
      <x:c r="Q1193" s="43" t="str"/>
      <x:c r="R1193" s="43" t="str">
        <x:v>Queued for contact research</x:v>
      </x:c>
      <x:c r="S1193" s="43" t="str">
        <x:v>Not reviewed</x:v>
      </x:c>
      <x:c r="T1193" s="43" t="str">
        <x:v>Hold</x:v>
      </x:c>
      <x:c r="U1193" s="43" t="str">
        <x:v>No</x:v>
      </x:c>
      <x:c r="V1193" s="44"/>
      <x:c r="W1193" s="43" t="str"/>
      <x:c r="X1193" s="43" t="str"/>
      <x:c r="Y1193" s="43" t="str"/>
      <x:c r="Z1193" s="43" t="str">
        <x:v>https://www.get-information-schools.service.gov.uk/Downloads</x:v>
      </x:c>
    </x:row>
    <x:row r="1194">
      <x:c r="A1194" s="43" t="str">
        <x:v>UK independent</x:v>
      </x:c>
      <x:c r="B1194" s="43" t="str">
        <x:v>119854</x:v>
      </x:c>
      <x:c r="C1194" s="43" t="n">
        <x:f>IF(K1194="Boarding school",30,0)+IF(J1194&gt;=18,20,0)+IF(I1194&lt;=11,10,0)+IF(L1194="Has a sixth form",15,0)+IF(M1194&gt;=200,10,0)+IF(N1194&lt;&gt;"",10,0)</x:f>
        <x:v>20</x:v>
      </x:c>
      <x:c r="D1194" s="43" t="str">
        <x:f>IF(C1194&gt;=85,"A",IF(C1194&gt;=65,"B","C"))</x:f>
        <x:v>C</x:v>
      </x:c>
      <x:c r="E1194" s="43" t="str">
        <x:v>Ashbridge Independent School</x:v>
      </x:c>
      <x:c r="F1194" s="43" t="str">
        <x:v>Preston</x:v>
      </x:c>
      <x:c r="G1194" s="43" t="str">
        <x:v>Lancashire</x:v>
      </x:c>
      <x:c r="H1194" s="43" t="str">
        <x:v>PR4 4AQ</x:v>
      </x:c>
      <x:c r="I1194" s="43" t="n">
        <x:v>4</x:v>
      </x:c>
      <x:c r="J1194" s="43" t="n">
        <x:v>11</x:v>
      </x:c>
      <x:c r="K1194" s="43" t="str">
        <x:v>No boarders</x:v>
      </x:c>
      <x:c r="L1194" s="43" t="str">
        <x:v>Does not have a sixth form</x:v>
      </x:c>
      <x:c r="M1194" s="43" t="n">
        <x:v>127</x:v>
      </x:c>
      <x:c r="N1194" s="43" t="str">
        <x:v>https://www.ashbridgeschool.co.uk</x:v>
      </x:c>
      <x:c r="O1194" s="43" t="str">
        <x:v>01772619900</x:v>
      </x:c>
      <x:c r="P1194" s="43" t="str"/>
      <x:c r="Q1194" s="43" t="str"/>
      <x:c r="R1194" s="43" t="str">
        <x:v>Queued for contact research</x:v>
      </x:c>
      <x:c r="S1194" s="43" t="str">
        <x:v>Not reviewed</x:v>
      </x:c>
      <x:c r="T1194" s="43" t="str">
        <x:v>Hold</x:v>
      </x:c>
      <x:c r="U1194" s="43" t="str">
        <x:v>No</x:v>
      </x:c>
      <x:c r="V1194" s="44"/>
      <x:c r="W1194" s="43" t="str"/>
      <x:c r="X1194" s="43" t="str"/>
      <x:c r="Y1194" s="43" t="str"/>
      <x:c r="Z1194" s="43" t="str">
        <x:v>https://www.get-information-schools.service.gov.uk/Downloads</x:v>
      </x:c>
    </x:row>
    <x:row r="1195">
      <x:c r="A1195" s="43" t="str">
        <x:v>UK independent</x:v>
      </x:c>
      <x:c r="B1195" s="43" t="str">
        <x:v>121757</x:v>
      </x:c>
      <x:c r="C1195" s="43" t="n">
        <x:f>IF(K1195="Boarding school",30,0)+IF(J1195&gt;=18,20,0)+IF(I1195&lt;=11,10,0)+IF(L1195="Has a sixth form",15,0)+IF(M1195&gt;=200,10,0)+IF(N1195&lt;&gt;"",10,0)</x:f>
        <x:v>20</x:v>
      </x:c>
      <x:c r="D1195" s="43" t="str">
        <x:f>IF(C1195&gt;=85,"A",IF(C1195&gt;=65,"B","C"))</x:f>
        <x:v>C</x:v>
      </x:c>
      <x:c r="E1195" s="43" t="str">
        <x:v>Brackenfield School</x:v>
      </x:c>
      <x:c r="F1195" s="43" t="str">
        <x:v>Harrogate</x:v>
      </x:c>
      <x:c r="G1195" s="43" t="str">
        <x:v>North Yorkshire</x:v>
      </x:c>
      <x:c r="H1195" s="43" t="str">
        <x:v>HG1 2HE</x:v>
      </x:c>
      <x:c r="I1195" s="43" t="n">
        <x:v>2</x:v>
      </x:c>
      <x:c r="J1195" s="43" t="n">
        <x:v>11</x:v>
      </x:c>
      <x:c r="K1195" s="43" t="str">
        <x:v>No boarders</x:v>
      </x:c>
      <x:c r="L1195" s="43" t="str">
        <x:v>Does not have a sixth form</x:v>
      </x:c>
      <x:c r="M1195" s="43" t="n">
        <x:v>127</x:v>
      </x:c>
      <x:c r="N1195" s="43" t="str">
        <x:v>https://www.brackenfieldschool.co.uk</x:v>
      </x:c>
      <x:c r="O1195" s="43" t="str">
        <x:v>01423508558</x:v>
      </x:c>
      <x:c r="P1195" s="43" t="str"/>
      <x:c r="Q1195" s="43" t="str"/>
      <x:c r="R1195" s="43" t="str">
        <x:v>Queued for contact research</x:v>
      </x:c>
      <x:c r="S1195" s="43" t="str">
        <x:v>Not reviewed</x:v>
      </x:c>
      <x:c r="T1195" s="43" t="str">
        <x:v>Hold</x:v>
      </x:c>
      <x:c r="U1195" s="43" t="str">
        <x:v>No</x:v>
      </x:c>
      <x:c r="V1195" s="44"/>
      <x:c r="W1195" s="43" t="str"/>
      <x:c r="X1195" s="43" t="str"/>
      <x:c r="Y1195" s="43" t="str"/>
      <x:c r="Z1195" s="43" t="str">
        <x:v>https://www.get-information-schools.service.gov.uk/Downloads</x:v>
      </x:c>
    </x:row>
    <x:row r="1196">
      <x:c r="A1196" s="43" t="str">
        <x:v>UK independent</x:v>
      </x:c>
      <x:c r="B1196" s="43" t="str">
        <x:v>143947</x:v>
      </x:c>
      <x:c r="C1196" s="43" t="n">
        <x:f>IF(K1196="Boarding school",30,0)+IF(J1196&gt;=18,20,0)+IF(I1196&lt;=11,10,0)+IF(L1196="Has a sixth form",15,0)+IF(M1196&gt;=200,10,0)+IF(N1196&lt;&gt;"",10,0)</x:f>
        <x:v>20</x:v>
      </x:c>
      <x:c r="D1196" s="43" t="str">
        <x:f>IF(C1196&gt;=85,"A",IF(C1196&gt;=65,"B","C"))</x:f>
        <x:v>C</x:v>
      </x:c>
      <x:c r="E1196" s="43" t="str">
        <x:v>Totnes Independent School</x:v>
      </x:c>
      <x:c r="F1196" s="43" t="str">
        <x:v>Totnes</x:v>
      </x:c>
      <x:c r="G1196" s="43" t="str"/>
      <x:c r="H1196" s="43" t="str">
        <x:v>TQ9 5JT</x:v>
      </x:c>
      <x:c r="I1196" s="43" t="n">
        <x:v>9</x:v>
      </x:c>
      <x:c r="J1196" s="43" t="n">
        <x:v>16</x:v>
      </x:c>
      <x:c r="K1196" s="43" t="str">
        <x:v>No boarders</x:v>
      </x:c>
      <x:c r="L1196" s="43" t="str">
        <x:v>Does not have a sixth form</x:v>
      </x:c>
      <x:c r="M1196" s="43" t="n">
        <x:v>127</x:v>
      </x:c>
      <x:c r="N1196" s="43" t="str">
        <x:v>https://totnesindependentschool.co.uk/</x:v>
      </x:c>
      <x:c r="O1196" s="43" t="str">
        <x:v>01803864484</x:v>
      </x:c>
      <x:c r="P1196" s="43" t="str"/>
      <x:c r="Q1196" s="43" t="str"/>
      <x:c r="R1196" s="43" t="str">
        <x:v>Queued for contact research</x:v>
      </x:c>
      <x:c r="S1196" s="43" t="str">
        <x:v>Not reviewed</x:v>
      </x:c>
      <x:c r="T1196" s="43" t="str">
        <x:v>Hold</x:v>
      </x:c>
      <x:c r="U1196" s="43" t="str">
        <x:v>No</x:v>
      </x:c>
      <x:c r="V1196" s="44"/>
      <x:c r="W1196" s="43" t="str"/>
      <x:c r="X1196" s="43" t="str"/>
      <x:c r="Y1196" s="43" t="str"/>
      <x:c r="Z1196" s="43" t="str">
        <x:v>https://www.get-information-schools.service.gov.uk/Downloads</x:v>
      </x:c>
    </x:row>
    <x:row r="1197">
      <x:c r="A1197" s="43" t="str">
        <x:v>UK independent</x:v>
      </x:c>
      <x:c r="B1197" s="43" t="str">
        <x:v>105270</x:v>
      </x:c>
      <x:c r="C1197" s="43" t="n">
        <x:f>IF(K1197="Boarding school",30,0)+IF(J1197&gt;=18,20,0)+IF(I1197&lt;=11,10,0)+IF(L1197="Has a sixth form",15,0)+IF(M1197&gt;=200,10,0)+IF(N1197&lt;&gt;"",10,0)</x:f>
        <x:v>20</x:v>
      </x:c>
      <x:c r="D1197" s="43" t="str">
        <x:f>IF(C1197&gt;=85,"A",IF(C1197&gt;=65,"B","C"))</x:f>
        <x:v>C</x:v>
      </x:c>
      <x:c r="E1197" s="43" t="str">
        <x:v>Clevelands Prep School</x:v>
      </x:c>
      <x:c r="F1197" s="43" t="str">
        <x:v>Bolton</x:v>
      </x:c>
      <x:c r="G1197" s="43" t="str">
        <x:v>Greater Manchester</x:v>
      </x:c>
      <x:c r="H1197" s="43" t="str">
        <x:v>BL1 5DH</x:v>
      </x:c>
      <x:c r="I1197" s="43" t="n">
        <x:v>2</x:v>
      </x:c>
      <x:c r="J1197" s="43" t="n">
        <x:v>11</x:v>
      </x:c>
      <x:c r="K1197" s="43" t="str">
        <x:v>No boarders</x:v>
      </x:c>
      <x:c r="L1197" s="43" t="str">
        <x:v>Does not have a sixth form</x:v>
      </x:c>
      <x:c r="M1197" s="43" t="n">
        <x:v>126</x:v>
      </x:c>
      <x:c r="N1197" s="43" t="str">
        <x:v>https://www.clevelandsprepschool.co.uk</x:v>
      </x:c>
      <x:c r="O1197" s="43" t="str">
        <x:v>01204843898</x:v>
      </x:c>
      <x:c r="P1197" s="43" t="str"/>
      <x:c r="Q1197" s="43" t="str"/>
      <x:c r="R1197" s="43" t="str">
        <x:v>Queued for contact research</x:v>
      </x:c>
      <x:c r="S1197" s="43" t="str">
        <x:v>Not reviewed</x:v>
      </x:c>
      <x:c r="T1197" s="43" t="str">
        <x:v>Hold</x:v>
      </x:c>
      <x:c r="U1197" s="43" t="str">
        <x:v>No</x:v>
      </x:c>
      <x:c r="V1197" s="44"/>
      <x:c r="W1197" s="43" t="str"/>
      <x:c r="X1197" s="43" t="str"/>
      <x:c r="Y1197" s="43" t="str"/>
      <x:c r="Z1197" s="43" t="str">
        <x:v>https://www.get-information-schools.service.gov.uk/Downloads</x:v>
      </x:c>
    </x:row>
    <x:row r="1198">
      <x:c r="A1198" s="43" t="str">
        <x:v>UK independent</x:v>
      </x:c>
      <x:c r="B1198" s="43" t="str">
        <x:v>101831</x:v>
      </x:c>
      <x:c r="C1198" s="43" t="n">
        <x:f>IF(K1198="Boarding school",30,0)+IF(J1198&gt;=18,20,0)+IF(I1198&lt;=11,10,0)+IF(L1198="Has a sixth form",15,0)+IF(M1198&gt;=200,10,0)+IF(N1198&lt;&gt;"",10,0)</x:f>
        <x:v>20</x:v>
      </x:c>
      <x:c r="D1198" s="43" t="str">
        <x:f>IF(C1198&gt;=85,"A",IF(C1198&gt;=65,"B","C"))</x:f>
        <x:v>C</x:v>
      </x:c>
      <x:c r="E1198" s="43" t="str">
        <x:v>Elmhurst School Ltd</x:v>
      </x:c>
      <x:c r="F1198" s="43" t="str"/>
      <x:c r="G1198" s="43" t="str"/>
      <x:c r="H1198" s="43" t="str">
        <x:v>CR2 7DW</x:v>
      </x:c>
      <x:c r="I1198" s="43" t="n">
        <x:v>3</x:v>
      </x:c>
      <x:c r="J1198" s="43" t="n">
        <x:v>11</x:v>
      </x:c>
      <x:c r="K1198" s="43" t="str">
        <x:v>No boarders</x:v>
      </x:c>
      <x:c r="L1198" s="43" t="str">
        <x:v>Does not have a sixth form</x:v>
      </x:c>
      <x:c r="M1198" s="43" t="n">
        <x:v>126</x:v>
      </x:c>
      <x:c r="N1198" s="43" t="str">
        <x:v>https://www.elmhurstschool.net</x:v>
      </x:c>
      <x:c r="O1198" s="43" t="str">
        <x:v>02086880661</x:v>
      </x:c>
      <x:c r="P1198" s="43" t="str"/>
      <x:c r="Q1198" s="43" t="str"/>
      <x:c r="R1198" s="43" t="str">
        <x:v>Queued for contact research</x:v>
      </x:c>
      <x:c r="S1198" s="43" t="str">
        <x:v>Not reviewed</x:v>
      </x:c>
      <x:c r="T1198" s="43" t="str">
        <x:v>Hold</x:v>
      </x:c>
      <x:c r="U1198" s="43" t="str">
        <x:v>No</x:v>
      </x:c>
      <x:c r="V1198" s="44"/>
      <x:c r="W1198" s="43" t="str"/>
      <x:c r="X1198" s="43" t="str"/>
      <x:c r="Y1198" s="43" t="str"/>
      <x:c r="Z1198" s="43" t="str">
        <x:v>https://www.get-information-schools.service.gov.uk/Downloads</x:v>
      </x:c>
    </x:row>
    <x:row r="1199">
      <x:c r="A1199" s="43" t="str">
        <x:v>UK independent</x:v>
      </x:c>
      <x:c r="B1199" s="43" t="str">
        <x:v>110124</x:v>
      </x:c>
      <x:c r="C1199" s="43" t="n">
        <x:f>IF(K1199="Boarding school",30,0)+IF(J1199&gt;=18,20,0)+IF(I1199&lt;=11,10,0)+IF(L1199="Has a sixth form",15,0)+IF(M1199&gt;=200,10,0)+IF(N1199&lt;&gt;"",10,0)</x:f>
        <x:v>20</x:v>
      </x:c>
      <x:c r="D1199" s="43" t="str">
        <x:f>IF(C1199&gt;=85,"A",IF(C1199&gt;=65,"B","C"))</x:f>
        <x:v>C</x:v>
      </x:c>
      <x:c r="E1199" s="43" t="str">
        <x:v>Herries Preparatory School</x:v>
      </x:c>
      <x:c r="F1199" s="43" t="str">
        <x:v>Maidenhead</x:v>
      </x:c>
      <x:c r="G1199" s="43" t="str">
        <x:v>Berkshire</x:v>
      </x:c>
      <x:c r="H1199" s="43" t="str">
        <x:v>SL6 9BD</x:v>
      </x:c>
      <x:c r="I1199" s="43" t="n">
        <x:v>3</x:v>
      </x:c>
      <x:c r="J1199" s="43" t="n">
        <x:v>11</x:v>
      </x:c>
      <x:c r="K1199" s="43" t="str">
        <x:v>No boarders</x:v>
      </x:c>
      <x:c r="L1199" s="43" t="str">
        <x:v>Does not have a sixth form</x:v>
      </x:c>
      <x:c r="M1199" s="43" t="n">
        <x:v>126</x:v>
      </x:c>
      <x:c r="N1199" s="43" t="str">
        <x:v>http://www.herries.org.uk</x:v>
      </x:c>
      <x:c r="O1199" s="43" t="str">
        <x:v>01628483350</x:v>
      </x:c>
      <x:c r="P1199" s="43" t="str"/>
      <x:c r="Q1199" s="43" t="str"/>
      <x:c r="R1199" s="43" t="str">
        <x:v>Queued for contact research</x:v>
      </x:c>
      <x:c r="S1199" s="43" t="str">
        <x:v>Not reviewed</x:v>
      </x:c>
      <x:c r="T1199" s="43" t="str">
        <x:v>Hold</x:v>
      </x:c>
      <x:c r="U1199" s="43" t="str">
        <x:v>No</x:v>
      </x:c>
      <x:c r="V1199" s="44"/>
      <x:c r="W1199" s="43" t="str"/>
      <x:c r="X1199" s="43" t="str"/>
      <x:c r="Y1199" s="43" t="str"/>
      <x:c r="Z1199" s="43" t="str">
        <x:v>https://www.get-information-schools.service.gov.uk/Downloads</x:v>
      </x:c>
    </x:row>
    <x:row r="1200">
      <x:c r="A1200" s="43" t="str">
        <x:v>UK independent</x:v>
      </x:c>
      <x:c r="B1200" s="43" t="str">
        <x:v>131343</x:v>
      </x:c>
      <x:c r="C1200" s="43" t="n">
        <x:f>IF(K1200="Boarding school",30,0)+IF(J1200&gt;=18,20,0)+IF(I1200&lt;=11,10,0)+IF(L1200="Has a sixth form",15,0)+IF(M1200&gt;=200,10,0)+IF(N1200&lt;&gt;"",10,0)</x:f>
        <x:v>20</x:v>
      </x:c>
      <x:c r="D1200" s="43" t="str">
        <x:f>IF(C1200&gt;=85,"A",IF(C1200&gt;=65,"B","C"))</x:f>
        <x:v>C</x:v>
      </x:c>
      <x:c r="E1200" s="43" t="str">
        <x:v>The Lyceum</x:v>
      </x:c>
      <x:c r="F1200" s="43" t="str">
        <x:v>London</x:v>
      </x:c>
      <x:c r="G1200" s="43" t="str"/>
      <x:c r="H1200" s="43" t="str">
        <x:v>EC2A 2DU</x:v>
      </x:c>
      <x:c r="I1200" s="43" t="n">
        <x:v>3</x:v>
      </x:c>
      <x:c r="J1200" s="43" t="n">
        <x:v>11</x:v>
      </x:c>
      <x:c r="K1200" s="43" t="str">
        <x:v>No boarders</x:v>
      </x:c>
      <x:c r="L1200" s="43" t="str">
        <x:v>Does not have a sixth form</x:v>
      </x:c>
      <x:c r="M1200" s="43" t="n">
        <x:v>126</x:v>
      </x:c>
      <x:c r="N1200" s="43" t="str">
        <x:v>https://lyceumschool.co.uk</x:v>
      </x:c>
      <x:c r="O1200" s="43" t="str">
        <x:v>02072471588</x:v>
      </x:c>
      <x:c r="P1200" s="43" t="str"/>
      <x:c r="Q1200" s="43" t="str"/>
      <x:c r="R1200" s="43" t="str">
        <x:v>Queued for contact research</x:v>
      </x:c>
      <x:c r="S1200" s="43" t="str">
        <x:v>Not reviewed</x:v>
      </x:c>
      <x:c r="T1200" s="43" t="str">
        <x:v>Hold</x:v>
      </x:c>
      <x:c r="U1200" s="43" t="str">
        <x:v>No</x:v>
      </x:c>
      <x:c r="V1200" s="44"/>
      <x:c r="W1200" s="43" t="str"/>
      <x:c r="X1200" s="43" t="str"/>
      <x:c r="Y1200" s="43" t="str"/>
      <x:c r="Z1200" s="43" t="str">
        <x:v>https://www.get-information-schools.service.gov.uk/Downloads</x:v>
      </x:c>
    </x:row>
    <x:row r="1201">
      <x:c r="A1201" s="43" t="str">
        <x:v>UK independent</x:v>
      </x:c>
      <x:c r="B1201" s="43" t="str">
        <x:v>102062</x:v>
      </x:c>
      <x:c r="C1201" s="43" t="n">
        <x:f>IF(K1201="Boarding school",30,0)+IF(J1201&gt;=18,20,0)+IF(I1201&lt;=11,10,0)+IF(L1201="Has a sixth form",15,0)+IF(M1201&gt;=200,10,0)+IF(N1201&lt;&gt;"",10,0)</x:f>
        <x:v>20</x:v>
      </x:c>
      <x:c r="D1201" s="43" t="str">
        <x:f>IF(C1201&gt;=85,"A",IF(C1201&gt;=65,"B","C"))</x:f>
        <x:v>C</x:v>
      </x:c>
      <x:c r="E1201" s="43" t="str">
        <x:v>Grange Park Preparatory School</x:v>
      </x:c>
      <x:c r="F1201" s="43" t="str">
        <x:v>London</x:v>
      </x:c>
      <x:c r="G1201" s="43" t="str"/>
      <x:c r="H1201" s="43" t="str">
        <x:v>N21 2EA</x:v>
      </x:c>
      <x:c r="I1201" s="43" t="n">
        <x:v>3</x:v>
      </x:c>
      <x:c r="J1201" s="43" t="n">
        <x:v>11</x:v>
      </x:c>
      <x:c r="K1201" s="43" t="str">
        <x:v>No boarders</x:v>
      </x:c>
      <x:c r="L1201" s="43" t="str">
        <x:v>Does not have a sixth form</x:v>
      </x:c>
      <x:c r="M1201" s="43" t="n">
        <x:v>125</x:v>
      </x:c>
      <x:c r="N1201" s="43" t="str">
        <x:v>https://www.gpps.org.uk</x:v>
      </x:c>
      <x:c r="O1201" s="43" t="str">
        <x:v>02083601469</x:v>
      </x:c>
      <x:c r="P1201" s="43" t="str"/>
      <x:c r="Q1201" s="43" t="str"/>
      <x:c r="R1201" s="43" t="str">
        <x:v>Queued for contact research</x:v>
      </x:c>
      <x:c r="S1201" s="43" t="str">
        <x:v>Not reviewed</x:v>
      </x:c>
      <x:c r="T1201" s="43" t="str">
        <x:v>Hold</x:v>
      </x:c>
      <x:c r="U1201" s="43" t="str">
        <x:v>No</x:v>
      </x:c>
      <x:c r="V1201" s="44"/>
      <x:c r="W1201" s="43" t="str"/>
      <x:c r="X1201" s="43" t="str"/>
      <x:c r="Y1201" s="43" t="str"/>
      <x:c r="Z1201" s="43" t="str">
        <x:v>https://www.get-information-schools.service.gov.uk/Downloads</x:v>
      </x:c>
    </x:row>
    <x:row r="1202">
      <x:c r="A1202" s="43" t="str">
        <x:v>UK independent</x:v>
      </x:c>
      <x:c r="B1202" s="43" t="str">
        <x:v>143037</x:v>
      </x:c>
      <x:c r="C1202" s="43" t="n">
        <x:f>IF(K1202="Boarding school",30,0)+IF(J1202&gt;=18,20,0)+IF(I1202&lt;=11,10,0)+IF(L1202="Has a sixth form",15,0)+IF(M1202&gt;=200,10,0)+IF(N1202&lt;&gt;"",10,0)</x:f>
        <x:v>20</x:v>
      </x:c>
      <x:c r="D1202" s="43" t="str">
        <x:f>IF(C1202&gt;=85,"A",IF(C1202&gt;=65,"B","C"))</x:f>
        <x:v>C</x:v>
      </x:c>
      <x:c r="E1202" s="43" t="str">
        <x:v>Ivy House School</x:v>
      </x:c>
      <x:c r="F1202" s="43" t="str">
        <x:v>London</x:v>
      </x:c>
      <x:c r="G1202" s="43" t="str"/>
      <x:c r="H1202" s="43" t="str">
        <x:v>NW11 7SX</x:v>
      </x:c>
      <x:c r="I1202" s="43" t="n">
        <x:v>2</x:v>
      </x:c>
      <x:c r="J1202" s="43" t="n">
        <x:v>11</x:v>
      </x:c>
      <x:c r="K1202" s="43" t="str">
        <x:v>No boarders</x:v>
      </x:c>
      <x:c r="L1202" s="43" t="str">
        <x:v>Does not have a sixth form</x:v>
      </x:c>
      <x:c r="M1202" s="43" t="n">
        <x:v>125</x:v>
      </x:c>
      <x:c r="N1202" s="43" t="str">
        <x:v>https://www.stanthonysgirls.co.uk</x:v>
      </x:c>
      <x:c r="O1202" s="43" t="str">
        <x:v>02038693070</x:v>
      </x:c>
      <x:c r="P1202" s="43" t="str"/>
      <x:c r="Q1202" s="43" t="str"/>
      <x:c r="R1202" s="43" t="str">
        <x:v>Queued for contact research</x:v>
      </x:c>
      <x:c r="S1202" s="43" t="str">
        <x:v>Not reviewed</x:v>
      </x:c>
      <x:c r="T1202" s="43" t="str">
        <x:v>Hold</x:v>
      </x:c>
      <x:c r="U1202" s="43" t="str">
        <x:v>No</x:v>
      </x:c>
      <x:c r="V1202" s="44"/>
      <x:c r="W1202" s="43" t="str"/>
      <x:c r="X1202" s="43" t="str"/>
      <x:c r="Y1202" s="43" t="str"/>
      <x:c r="Z1202" s="43" t="str">
        <x:v>https://www.get-information-schools.service.gov.uk/Downloads</x:v>
      </x:c>
    </x:row>
    <x:row r="1203">
      <x:c r="A1203" s="43" t="str">
        <x:v>UK independent</x:v>
      </x:c>
      <x:c r="B1203" s="43" t="str">
        <x:v>147455</x:v>
      </x:c>
      <x:c r="C1203" s="43" t="n">
        <x:f>IF(K1203="Boarding school",30,0)+IF(J1203&gt;=18,20,0)+IF(I1203&lt;=11,10,0)+IF(L1203="Has a sixth form",15,0)+IF(M1203&gt;=200,10,0)+IF(N1203&lt;&gt;"",10,0)</x:f>
        <x:v>20</x:v>
      </x:c>
      <x:c r="D1203" s="43" t="str">
        <x:f>IF(C1203&gt;=85,"A",IF(C1203&gt;=65,"B","C"))</x:f>
        <x:v>C</x:v>
      </x:c>
      <x:c r="E1203" s="43" t="str">
        <x:v>Liberty Woodland School</x:v>
      </x:c>
      <x:c r="F1203" s="43" t="str">
        <x:v>London</x:v>
      </x:c>
      <x:c r="G1203" s="43" t="str"/>
      <x:c r="H1203" s="43" t="str">
        <x:v>SM4 5JD</x:v>
      </x:c>
      <x:c r="I1203" s="43" t="n">
        <x:v>4</x:v>
      </x:c>
      <x:c r="J1203" s="43" t="n">
        <x:v>16</x:v>
      </x:c>
      <x:c r="K1203" s="43" t="str">
        <x:v>No boarders</x:v>
      </x:c>
      <x:c r="L1203" s="43" t="str">
        <x:v>Does not have a sixth form</x:v>
      </x:c>
      <x:c r="M1203" s="43" t="n">
        <x:v>125</x:v>
      </x:c>
      <x:c r="N1203" s="43" t="str">
        <x:v>https://www.libertywoodlandschool.com</x:v>
      </x:c>
      <x:c r="O1203" s="43" t="str">
        <x:v>02086489775</x:v>
      </x:c>
      <x:c r="P1203" s="43" t="str"/>
      <x:c r="Q1203" s="43" t="str"/>
      <x:c r="R1203" s="43" t="str">
        <x:v>Queued for contact research</x:v>
      </x:c>
      <x:c r="S1203" s="43" t="str">
        <x:v>Not reviewed</x:v>
      </x:c>
      <x:c r="T1203" s="43" t="str">
        <x:v>Hold</x:v>
      </x:c>
      <x:c r="U1203" s="43" t="str">
        <x:v>No</x:v>
      </x:c>
      <x:c r="V1203" s="44"/>
      <x:c r="W1203" s="43" t="str"/>
      <x:c r="X1203" s="43" t="str"/>
      <x:c r="Y1203" s="43" t="str"/>
      <x:c r="Z1203" s="43" t="str">
        <x:v>https://www.get-information-schools.service.gov.uk/Downloads</x:v>
      </x:c>
    </x:row>
    <x:row r="1204">
      <x:c r="A1204" s="43" t="str">
        <x:v>UK independent</x:v>
      </x:c>
      <x:c r="B1204" s="43" t="str">
        <x:v>105991</x:v>
      </x:c>
      <x:c r="C1204" s="43" t="n">
        <x:f>IF(K1204="Boarding school",30,0)+IF(J1204&gt;=18,20,0)+IF(I1204&lt;=11,10,0)+IF(L1204="Has a sixth form",15,0)+IF(M1204&gt;=200,10,0)+IF(N1204&lt;&gt;"",10,0)</x:f>
        <x:v>20</x:v>
      </x:c>
      <x:c r="D1204" s="43" t="str">
        <x:f>IF(C1204&gt;=85,"A",IF(C1204&gt;=65,"B","C"))</x:f>
        <x:v>C</x:v>
      </x:c>
      <x:c r="E1204" s="43" t="str">
        <x:v>Branwood Preparatory School</x:v>
      </x:c>
      <x:c r="F1204" s="43" t="str">
        <x:v>Manchester</x:v>
      </x:c>
      <x:c r="G1204" s="43" t="str">
        <x:v>Lancashire</x:v>
      </x:c>
      <x:c r="H1204" s="43" t="str">
        <x:v>M30 9HN</x:v>
      </x:c>
      <x:c r="I1204" s="43" t="n">
        <x:v>3</x:v>
      </x:c>
      <x:c r="J1204" s="43" t="n">
        <x:v>11</x:v>
      </x:c>
      <x:c r="K1204" s="43" t="str">
        <x:v>No boarders</x:v>
      </x:c>
      <x:c r="L1204" s="43" t="str">
        <x:v>Does not have a sixth form</x:v>
      </x:c>
      <x:c r="M1204" s="43" t="n">
        <x:v>124</x:v>
      </x:c>
      <x:c r="N1204" s="43" t="str">
        <x:v>http://branwoodschool.co.uk/</x:v>
      </x:c>
      <x:c r="O1204" s="43" t="str">
        <x:v>01617891054</x:v>
      </x:c>
      <x:c r="P1204" s="43" t="str"/>
      <x:c r="Q1204" s="43" t="str"/>
      <x:c r="R1204" s="43" t="str">
        <x:v>Queued for contact research</x:v>
      </x:c>
      <x:c r="S1204" s="43" t="str">
        <x:v>Not reviewed</x:v>
      </x:c>
      <x:c r="T1204" s="43" t="str">
        <x:v>Hold</x:v>
      </x:c>
      <x:c r="U1204" s="43" t="str">
        <x:v>No</x:v>
      </x:c>
      <x:c r="V1204" s="44"/>
      <x:c r="W1204" s="43" t="str"/>
      <x:c r="X1204" s="43" t="str"/>
      <x:c r="Y1204" s="43" t="str"/>
      <x:c r="Z1204" s="43" t="str">
        <x:v>https://www.get-information-schools.service.gov.uk/Downloads</x:v>
      </x:c>
    </x:row>
    <x:row r="1205">
      <x:c r="A1205" s="43" t="str">
        <x:v>UK independent</x:v>
      </x:c>
      <x:c r="B1205" s="43" t="str">
        <x:v>101381</x:v>
      </x:c>
      <x:c r="C1205" s="43" t="n">
        <x:f>IF(K1205="Boarding school",30,0)+IF(J1205&gt;=18,20,0)+IF(I1205&lt;=11,10,0)+IF(L1205="Has a sixth form",15,0)+IF(M1205&gt;=200,10,0)+IF(N1205&lt;&gt;"",10,0)</x:f>
        <x:v>20</x:v>
      </x:c>
      <x:c r="D1205" s="43" t="str">
        <x:f>IF(C1205&gt;=85,"A",IF(C1205&gt;=65,"B","C"))</x:f>
        <x:v>C</x:v>
      </x:c>
      <x:c r="E1205" s="43" t="str">
        <x:v>Kerem School</x:v>
      </x:c>
      <x:c r="F1205" s="43" t="str">
        <x:v>London</x:v>
      </x:c>
      <x:c r="G1205" s="43" t="str"/>
      <x:c r="H1205" s="43" t="str">
        <x:v>N2 0RE</x:v>
      </x:c>
      <x:c r="I1205" s="43" t="n">
        <x:v>2</x:v>
      </x:c>
      <x:c r="J1205" s="43" t="n">
        <x:v>11</x:v>
      </x:c>
      <x:c r="K1205" s="43" t="str">
        <x:v>No boarders</x:v>
      </x:c>
      <x:c r="L1205" s="43" t="str">
        <x:v>Does not have a sixth form</x:v>
      </x:c>
      <x:c r="M1205" s="43" t="n">
        <x:v>124</x:v>
      </x:c>
      <x:c r="N1205" s="43" t="str">
        <x:v>https://www.keremschool.co.uk</x:v>
      </x:c>
      <x:c r="O1205" s="43" t="str">
        <x:v>02084550909</x:v>
      </x:c>
      <x:c r="P1205" s="43" t="str"/>
      <x:c r="Q1205" s="43" t="str"/>
      <x:c r="R1205" s="43" t="str">
        <x:v>Queued for contact research</x:v>
      </x:c>
      <x:c r="S1205" s="43" t="str">
        <x:v>Not reviewed</x:v>
      </x:c>
      <x:c r="T1205" s="43" t="str">
        <x:v>Hold</x:v>
      </x:c>
      <x:c r="U1205" s="43" t="str">
        <x:v>No</x:v>
      </x:c>
      <x:c r="V1205" s="44"/>
      <x:c r="W1205" s="43" t="str"/>
      <x:c r="X1205" s="43" t="str"/>
      <x:c r="Y1205" s="43" t="str"/>
      <x:c r="Z1205" s="43" t="str">
        <x:v>https://www.get-information-schools.service.gov.uk/Downloads</x:v>
      </x:c>
    </x:row>
    <x:row r="1206">
      <x:c r="A1206" s="43" t="str">
        <x:v>UK independent</x:v>
      </x:c>
      <x:c r="B1206" s="43" t="str">
        <x:v>132048</x:v>
      </x:c>
      <x:c r="C1206" s="43" t="n">
        <x:f>IF(K1206="Boarding school",30,0)+IF(J1206&gt;=18,20,0)+IF(I1206&lt;=11,10,0)+IF(L1206="Has a sixth form",15,0)+IF(M1206&gt;=200,10,0)+IF(N1206&lt;&gt;"",10,0)</x:f>
        <x:v>20</x:v>
      </x:c>
      <x:c r="D1206" s="43" t="str">
        <x:f>IF(C1206&gt;=85,"A",IF(C1206&gt;=65,"B","C"))</x:f>
        <x:v>C</x:v>
      </x:c>
      <x:c r="E1206" s="43" t="str">
        <x:v>Oxford Montessori Schools</x:v>
      </x:c>
      <x:c r="F1206" s="43" t="str">
        <x:v>Oxford</x:v>
      </x:c>
      <x:c r="G1206" s="43" t="str">
        <x:v>Oxfordshire</x:v>
      </x:c>
      <x:c r="H1206" s="43" t="str">
        <x:v>OX3 9UW</x:v>
      </x:c>
      <x:c r="I1206" s="43" t="n">
        <x:v>2</x:v>
      </x:c>
      <x:c r="J1206" s="43" t="n">
        <x:v>17</x:v>
      </x:c>
      <x:c r="K1206" s="43" t="str">
        <x:v>No boarders</x:v>
      </x:c>
      <x:c r="L1206" s="43" t="str">
        <x:v>Does not have a sixth form</x:v>
      </x:c>
      <x:c r="M1206" s="43" t="n">
        <x:v>124</x:v>
      </x:c>
      <x:c r="N1206" s="43" t="str">
        <x:v>https://www.oxfordmontessori.co.uk</x:v>
      </x:c>
      <x:c r="O1206" s="43" t="str">
        <x:v>01865352062</x:v>
      </x:c>
      <x:c r="P1206" s="43" t="str"/>
      <x:c r="Q1206" s="43" t="str"/>
      <x:c r="R1206" s="43" t="str">
        <x:v>Queued for contact research</x:v>
      </x:c>
      <x:c r="S1206" s="43" t="str">
        <x:v>Not reviewed</x:v>
      </x:c>
      <x:c r="T1206" s="43" t="str">
        <x:v>Hold</x:v>
      </x:c>
      <x:c r="U1206" s="43" t="str">
        <x:v>No</x:v>
      </x:c>
      <x:c r="V1206" s="44"/>
      <x:c r="W1206" s="43" t="str"/>
      <x:c r="X1206" s="43" t="str"/>
      <x:c r="Y1206" s="43" t="str"/>
      <x:c r="Z1206" s="43" t="str">
        <x:v>https://www.get-information-schools.service.gov.uk/Downloads</x:v>
      </x:c>
    </x:row>
    <x:row r="1207">
      <x:c r="A1207" s="43" t="str">
        <x:v>UK independent</x:v>
      </x:c>
      <x:c r="B1207" s="43" t="str">
        <x:v>134010</x:v>
      </x:c>
      <x:c r="C1207" s="43" t="n">
        <x:f>IF(K1207="Boarding school",30,0)+IF(J1207&gt;=18,20,0)+IF(I1207&lt;=11,10,0)+IF(L1207="Has a sixth form",15,0)+IF(M1207&gt;=200,10,0)+IF(N1207&lt;&gt;"",10,0)</x:f>
        <x:v>20</x:v>
      </x:c>
      <x:c r="D1207" s="43" t="str">
        <x:f>IF(C1207&gt;=85,"A",IF(C1207&gt;=65,"B","C"))</x:f>
        <x:v>C</x:v>
      </x:c>
      <x:c r="E1207" s="43" t="str">
        <x:v>Parsons Green Prep School</x:v>
      </x:c>
      <x:c r="F1207" s="43" t="str">
        <x:v>London</x:v>
      </x:c>
      <x:c r="G1207" s="43" t="str"/>
      <x:c r="H1207" s="43" t="str">
        <x:v>SW6 4LJ</x:v>
      </x:c>
      <x:c r="I1207" s="43" t="n">
        <x:v>4</x:v>
      </x:c>
      <x:c r="J1207" s="43" t="n">
        <x:v>11</x:v>
      </x:c>
      <x:c r="K1207" s="43" t="str">
        <x:v>No boarders</x:v>
      </x:c>
      <x:c r="L1207" s="43" t="str">
        <x:v>Does not have a sixth form</x:v>
      </x:c>
      <x:c r="M1207" s="43" t="n">
        <x:v>124</x:v>
      </x:c>
      <x:c r="N1207" s="43" t="str">
        <x:v>https://www.parsonsgreenprep.co.uk</x:v>
      </x:c>
      <x:c r="O1207" s="43" t="str">
        <x:v>02073719009</x:v>
      </x:c>
      <x:c r="P1207" s="43" t="str"/>
      <x:c r="Q1207" s="43" t="str"/>
      <x:c r="R1207" s="43" t="str">
        <x:v>Queued for contact research</x:v>
      </x:c>
      <x:c r="S1207" s="43" t="str">
        <x:v>Not reviewed</x:v>
      </x:c>
      <x:c r="T1207" s="43" t="str">
        <x:v>Hold</x:v>
      </x:c>
      <x:c r="U1207" s="43" t="str">
        <x:v>No</x:v>
      </x:c>
      <x:c r="V1207" s="44"/>
      <x:c r="W1207" s="43" t="str"/>
      <x:c r="X1207" s="43" t="str"/>
      <x:c r="Y1207" s="43" t="str"/>
      <x:c r="Z1207" s="43" t="str">
        <x:v>https://www.get-information-schools.service.gov.uk/Downloads</x:v>
      </x:c>
    </x:row>
    <x:row r="1208">
      <x:c r="A1208" s="43" t="str">
        <x:v>UK independent</x:v>
      </x:c>
      <x:c r="B1208" s="43" t="str">
        <x:v>125435</x:v>
      </x:c>
      <x:c r="C1208" s="43" t="n">
        <x:f>IF(K1208="Boarding school",30,0)+IF(J1208&gt;=18,20,0)+IF(I1208&lt;=11,10,0)+IF(L1208="Has a sixth form",15,0)+IF(M1208&gt;=200,10,0)+IF(N1208&lt;&gt;"",10,0)</x:f>
        <x:v>20</x:v>
      </x:c>
      <x:c r="D1208" s="43" t="str">
        <x:f>IF(C1208&gt;=85,"A",IF(C1208&gt;=65,"B","C"))</x:f>
        <x:v>C</x:v>
      </x:c>
      <x:c r="E1208" s="43" t="str">
        <x:v>Warlingham Park School</x:v>
      </x:c>
      <x:c r="F1208" s="43" t="str">
        <x:v>Warlingham</x:v>
      </x:c>
      <x:c r="G1208" s="43" t="str">
        <x:v>Surrey</x:v>
      </x:c>
      <x:c r="H1208" s="43" t="str">
        <x:v>CR6 9PB</x:v>
      </x:c>
      <x:c r="I1208" s="43" t="n">
        <x:v>2</x:v>
      </x:c>
      <x:c r="J1208" s="43" t="n">
        <x:v>11</x:v>
      </x:c>
      <x:c r="K1208" s="43" t="str">
        <x:v>No boarders</x:v>
      </x:c>
      <x:c r="L1208" s="43" t="str">
        <x:v>Does not have a sixth form</x:v>
      </x:c>
      <x:c r="M1208" s="43" t="n">
        <x:v>123</x:v>
      </x:c>
      <x:c r="N1208" s="43" t="str">
        <x:v>https://www.warlinghamparkprepschool.co.uk</x:v>
      </x:c>
      <x:c r="O1208" s="43" t="str">
        <x:v>01883626844</x:v>
      </x:c>
      <x:c r="P1208" s="43" t="str"/>
      <x:c r="Q1208" s="43" t="str"/>
      <x:c r="R1208" s="43" t="str">
        <x:v>Queued for contact research</x:v>
      </x:c>
      <x:c r="S1208" s="43" t="str">
        <x:v>Not reviewed</x:v>
      </x:c>
      <x:c r="T1208" s="43" t="str">
        <x:v>Hold</x:v>
      </x:c>
      <x:c r="U1208" s="43" t="str">
        <x:v>No</x:v>
      </x:c>
      <x:c r="V1208" s="44"/>
      <x:c r="W1208" s="43" t="str"/>
      <x:c r="X1208" s="43" t="str"/>
      <x:c r="Y1208" s="43" t="str"/>
      <x:c r="Z1208" s="43" t="str">
        <x:v>https://www.get-information-schools.service.gov.uk/Downloads</x:v>
      </x:c>
    </x:row>
    <x:row r="1209">
      <x:c r="A1209" s="43" t="str">
        <x:v>UK independent</x:v>
      </x:c>
      <x:c r="B1209" s="43" t="str">
        <x:v>121746</x:v>
      </x:c>
      <x:c r="C1209" s="43" t="n">
        <x:f>IF(K1209="Boarding school",30,0)+IF(J1209&gt;=18,20,0)+IF(I1209&lt;=11,10,0)+IF(L1209="Has a sixth form",15,0)+IF(M1209&gt;=200,10,0)+IF(N1209&lt;&gt;"",10,0)</x:f>
        <x:v>20</x:v>
      </x:c>
      <x:c r="D1209" s="43" t="str">
        <x:f>IF(C1209&gt;=85,"A",IF(C1209&gt;=65,"B","C"))</x:f>
        <x:v>C</x:v>
      </x:c>
      <x:c r="E1209" s="43" t="str">
        <x:v>Belmont Grosvenor School</x:v>
      </x:c>
      <x:c r="F1209" s="43" t="str">
        <x:v>Harrogate</x:v>
      </x:c>
      <x:c r="G1209" s="43" t="str">
        <x:v>North Yorkshire</x:v>
      </x:c>
      <x:c r="H1209" s="43" t="str">
        <x:v>HG3 2JG</x:v>
      </x:c>
      <x:c r="I1209" s="43" t="n">
        <x:v>0</x:v>
      </x:c>
      <x:c r="J1209" s="43" t="n">
        <x:v>11</x:v>
      </x:c>
      <x:c r="K1209" s="43" t="str">
        <x:v>No boarders</x:v>
      </x:c>
      <x:c r="L1209" s="43" t="str">
        <x:v>Does not have a sixth form</x:v>
      </x:c>
      <x:c r="M1209" s="43" t="n">
        <x:v>121</x:v>
      </x:c>
      <x:c r="N1209" s="43" t="str">
        <x:v>https://www.belmontgrosvenor.co.uk</x:v>
      </x:c>
      <x:c r="O1209" s="43" t="str">
        <x:v>01423771029</x:v>
      </x:c>
      <x:c r="P1209" s="43" t="str"/>
      <x:c r="Q1209" s="43" t="str"/>
      <x:c r="R1209" s="43" t="str">
        <x:v>Queued for contact research</x:v>
      </x:c>
      <x:c r="S1209" s="43" t="str">
        <x:v>Not reviewed</x:v>
      </x:c>
      <x:c r="T1209" s="43" t="str">
        <x:v>Hold</x:v>
      </x:c>
      <x:c r="U1209" s="43" t="str">
        <x:v>No</x:v>
      </x:c>
      <x:c r="V1209" s="44"/>
      <x:c r="W1209" s="43" t="str"/>
      <x:c r="X1209" s="43" t="str"/>
      <x:c r="Y1209" s="43" t="str"/>
      <x:c r="Z1209" s="43" t="str">
        <x:v>https://www.get-information-schools.service.gov.uk/Downloads</x:v>
      </x:c>
    </x:row>
    <x:row r="1210">
      <x:c r="A1210" s="43" t="str">
        <x:v>UK independent</x:v>
      </x:c>
      <x:c r="B1210" s="43" t="str">
        <x:v>131268</x:v>
      </x:c>
      <x:c r="C1210" s="43" t="n">
        <x:f>IF(K1210="Boarding school",30,0)+IF(J1210&gt;=18,20,0)+IF(I1210&lt;=11,10,0)+IF(L1210="Has a sixth form",15,0)+IF(M1210&gt;=200,10,0)+IF(N1210&lt;&gt;"",10,0)</x:f>
        <x:v>20</x:v>
      </x:c>
      <x:c r="D1210" s="43" t="str">
        <x:f>IF(C1210&gt;=85,"A",IF(C1210&gt;=65,"B","C"))</x:f>
        <x:v>C</x:v>
      </x:c>
      <x:c r="E1210" s="43" t="str">
        <x:v>St James Preparatory School</x:v>
      </x:c>
      <x:c r="F1210" s="43" t="str">
        <x:v>London</x:v>
      </x:c>
      <x:c r="G1210" s="43" t="str"/>
      <x:c r="H1210" s="43" t="str">
        <x:v>W14 8SH</x:v>
      </x:c>
      <x:c r="I1210" s="43" t="n">
        <x:v>2</x:v>
      </x:c>
      <x:c r="J1210" s="43" t="n">
        <x:v>11</x:v>
      </x:c>
      <x:c r="K1210" s="43" t="str">
        <x:v>No boarders</x:v>
      </x:c>
      <x:c r="L1210" s="43" t="str">
        <x:v>Does not have a sixth form</x:v>
      </x:c>
      <x:c r="M1210" s="43" t="n">
        <x:v>121</x:v>
      </x:c>
      <x:c r="N1210" s="43" t="str">
        <x:v>https://www.stjamesschools.co.uk/prepschool/</x:v>
      </x:c>
      <x:c r="O1210" s="43" t="str">
        <x:v>02073481777</x:v>
      </x:c>
      <x:c r="P1210" s="43" t="str"/>
      <x:c r="Q1210" s="43" t="str"/>
      <x:c r="R1210" s="43" t="str">
        <x:v>Queued for contact research</x:v>
      </x:c>
      <x:c r="S1210" s="43" t="str">
        <x:v>Not reviewed</x:v>
      </x:c>
      <x:c r="T1210" s="43" t="str">
        <x:v>Hold</x:v>
      </x:c>
      <x:c r="U1210" s="43" t="str">
        <x:v>No</x:v>
      </x:c>
      <x:c r="V1210" s="44"/>
      <x:c r="W1210" s="43" t="str"/>
      <x:c r="X1210" s="43" t="str"/>
      <x:c r="Y1210" s="43" t="str"/>
      <x:c r="Z1210" s="43" t="str">
        <x:v>https://www.get-information-schools.service.gov.uk/Downloads</x:v>
      </x:c>
    </x:row>
    <x:row r="1211">
      <x:c r="A1211" s="43" t="str">
        <x:v>UK independent</x:v>
      </x:c>
      <x:c r="B1211" s="43" t="str">
        <x:v>105587</x:v>
      </x:c>
      <x:c r="C1211" s="43" t="n">
        <x:f>IF(K1211="Boarding school",30,0)+IF(J1211&gt;=18,20,0)+IF(I1211&lt;=11,10,0)+IF(L1211="Has a sixth form",15,0)+IF(M1211&gt;=200,10,0)+IF(N1211&lt;&gt;"",10,0)</x:f>
        <x:v>20</x:v>
      </x:c>
      <x:c r="D1211" s="43" t="str">
        <x:f>IF(C1211&gt;=85,"A",IF(C1211&gt;=65,"B","C"))</x:f>
        <x:v>C</x:v>
      </x:c>
      <x:c r="E1211" s="43" t="str">
        <x:v>The Chadderton Preparatory School</x:v>
      </x:c>
      <x:c r="F1211" s="43" t="str">
        <x:v>Oldham</x:v>
      </x:c>
      <x:c r="G1211" s="43" t="str"/>
      <x:c r="H1211" s="43" t="str">
        <x:v>OL9 0AD</x:v>
      </x:c>
      <x:c r="I1211" s="43" t="n">
        <x:v>2</x:v>
      </x:c>
      <x:c r="J1211" s="43" t="n">
        <x:v>11</x:v>
      </x:c>
      <x:c r="K1211" s="43" t="str">
        <x:v>No boarders</x:v>
      </x:c>
      <x:c r="L1211" s="43" t="str">
        <x:v>Does not have a sixth form</x:v>
      </x:c>
      <x:c r="M1211" s="43" t="n">
        <x:v>121</x:v>
      </x:c>
      <x:c r="N1211" s="43" t="str">
        <x:v>https://www.thechaddertonprepgrammar.co.uk</x:v>
      </x:c>
      <x:c r="O1211" s="43" t="str">
        <x:v>01616206570</x:v>
      </x:c>
      <x:c r="P1211" s="43" t="str"/>
      <x:c r="Q1211" s="43" t="str"/>
      <x:c r="R1211" s="43" t="str">
        <x:v>Queued for contact research</x:v>
      </x:c>
      <x:c r="S1211" s="43" t="str">
        <x:v>Not reviewed</x:v>
      </x:c>
      <x:c r="T1211" s="43" t="str">
        <x:v>Hold</x:v>
      </x:c>
      <x:c r="U1211" s="43" t="str">
        <x:v>No</x:v>
      </x:c>
      <x:c r="V1211" s="44"/>
      <x:c r="W1211" s="43" t="str"/>
      <x:c r="X1211" s="43" t="str"/>
      <x:c r="Y1211" s="43" t="str"/>
      <x:c r="Z1211" s="43" t="str">
        <x:v>https://www.get-information-schools.service.gov.uk/Downloads</x:v>
      </x:c>
    </x:row>
    <x:row r="1212">
      <x:c r="A1212" s="43" t="str">
        <x:v>UK independent</x:v>
      </x:c>
      <x:c r="B1212" s="43" t="str">
        <x:v>119856</x:v>
      </x:c>
      <x:c r="C1212" s="43" t="n">
        <x:f>IF(K1212="Boarding school",30,0)+IF(J1212&gt;=18,20,0)+IF(I1212&lt;=11,10,0)+IF(L1212="Has a sixth form",15,0)+IF(M1212&gt;=200,10,0)+IF(N1212&lt;&gt;"",10,0)</x:f>
        <x:v>20</x:v>
      </x:c>
      <x:c r="D1212" s="43" t="str">
        <x:f>IF(C1212&gt;=85,"A",IF(C1212&gt;=65,"B","C"))</x:f>
        <x:v>C</x:v>
      </x:c>
      <x:c r="E1212" s="43" t="str">
        <x:v>Al Islah Girls' High School</x:v>
      </x:c>
      <x:c r="F1212" s="43" t="str">
        <x:v>BLACKBURN</x:v>
      </x:c>
      <x:c r="G1212" s="43" t="str">
        <x:v>Lancashire</x:v>
      </x:c>
      <x:c r="H1212" s="43" t="str">
        <x:v>BB1 1TF</x:v>
      </x:c>
      <x:c r="I1212" s="43" t="n">
        <x:v>11</x:v>
      </x:c>
      <x:c r="J1212" s="43" t="n">
        <x:v>16</x:v>
      </x:c>
      <x:c r="K1212" s="43" t="str">
        <x:v>No boarders</x:v>
      </x:c>
      <x:c r="L1212" s="43" t="str">
        <x:v>Does not have a sixth form</x:v>
      </x:c>
      <x:c r="M1212" s="43" t="n">
        <x:v>119</x:v>
      </x:c>
      <x:c r="N1212" s="43" t="str">
        <x:v>https://www.alislah.org.uk</x:v>
      </x:c>
      <x:c r="O1212" s="43" t="str">
        <x:v>01254261573</x:v>
      </x:c>
      <x:c r="P1212" s="43" t="str"/>
      <x:c r="Q1212" s="43" t="str"/>
      <x:c r="R1212" s="43" t="str">
        <x:v>Queued for contact research</x:v>
      </x:c>
      <x:c r="S1212" s="43" t="str">
        <x:v>Not reviewed</x:v>
      </x:c>
      <x:c r="T1212" s="43" t="str">
        <x:v>Hold</x:v>
      </x:c>
      <x:c r="U1212" s="43" t="str">
        <x:v>No</x:v>
      </x:c>
      <x:c r="V1212" s="44"/>
      <x:c r="W1212" s="43" t="str"/>
      <x:c r="X1212" s="43" t="str"/>
      <x:c r="Y1212" s="43" t="str"/>
      <x:c r="Z1212" s="43" t="str">
        <x:v>https://www.get-information-schools.service.gov.uk/Downloads</x:v>
      </x:c>
    </x:row>
    <x:row r="1213">
      <x:c r="A1213" s="43" t="str">
        <x:v>UK independent</x:v>
      </x:c>
      <x:c r="B1213" s="43" t="str">
        <x:v>134192</x:v>
      </x:c>
      <x:c r="C1213" s="43" t="n">
        <x:f>IF(K1213="Boarding school",30,0)+IF(J1213&gt;=18,20,0)+IF(I1213&lt;=11,10,0)+IF(L1213="Has a sixth form",15,0)+IF(M1213&gt;=200,10,0)+IF(N1213&lt;&gt;"",10,0)</x:f>
        <x:v>20</x:v>
      </x:c>
      <x:c r="D1213" s="43" t="str">
        <x:f>IF(C1213&gt;=85,"A",IF(C1213&gt;=65,"B","C"))</x:f>
        <x:v>C</x:v>
      </x:c>
      <x:c r="E1213" s="43" t="str">
        <x:v>L'Ecole Bilingue Elementaire</x:v>
      </x:c>
      <x:c r="F1213" s="43" t="str">
        <x:v>London</x:v>
      </x:c>
      <x:c r="G1213" s="43" t="str"/>
      <x:c r="H1213" s="43" t="str">
        <x:v>W2 1SJ</x:v>
      </x:c>
      <x:c r="I1213" s="43" t="n">
        <x:v>2</x:v>
      </x:c>
      <x:c r="J1213" s="43" t="n">
        <x:v>11</x:v>
      </x:c>
      <x:c r="K1213" s="43" t="str">
        <x:v>No boarders</x:v>
      </x:c>
      <x:c r="L1213" s="43" t="str">
        <x:v>Does not have a sixth form</x:v>
      </x:c>
      <x:c r="M1213" s="43" t="n">
        <x:v>119</x:v>
      </x:c>
      <x:c r="N1213" s="43" t="str">
        <x:v>https://www.lecolebilingue.com</x:v>
      </x:c>
      <x:c r="O1213" s="43" t="str">
        <x:v>02072248427</x:v>
      </x:c>
      <x:c r="P1213" s="43" t="str"/>
      <x:c r="Q1213" s="43" t="str"/>
      <x:c r="R1213" s="43" t="str">
        <x:v>Queued for contact research</x:v>
      </x:c>
      <x:c r="S1213" s="43" t="str">
        <x:v>Not reviewed</x:v>
      </x:c>
      <x:c r="T1213" s="43" t="str">
        <x:v>Hold</x:v>
      </x:c>
      <x:c r="U1213" s="43" t="str">
        <x:v>No</x:v>
      </x:c>
      <x:c r="V1213" s="44"/>
      <x:c r="W1213" s="43" t="str"/>
      <x:c r="X1213" s="43" t="str"/>
      <x:c r="Y1213" s="43" t="str"/>
      <x:c r="Z1213" s="43" t="str">
        <x:v>https://www.get-information-schools.service.gov.uk/Downloads</x:v>
      </x:c>
    </x:row>
    <x:row r="1214">
      <x:c r="A1214" s="43" t="str">
        <x:v>UK independent</x:v>
      </x:c>
      <x:c r="B1214" s="43" t="str">
        <x:v>131059</x:v>
      </x:c>
      <x:c r="C1214" s="43" t="n">
        <x:f>IF(K1214="Boarding school",30,0)+IF(J1214&gt;=18,20,0)+IF(I1214&lt;=11,10,0)+IF(L1214="Has a sixth form",15,0)+IF(M1214&gt;=200,10,0)+IF(N1214&lt;&gt;"",10,0)</x:f>
        <x:v>20</x:v>
      </x:c>
      <x:c r="D1214" s="43" t="str">
        <x:f>IF(C1214&gt;=85,"A",IF(C1214&gt;=65,"B","C"))</x:f>
        <x:v>C</x:v>
      </x:c>
      <x:c r="E1214" s="43" t="str">
        <x:v>Brondesbury College London</x:v>
      </x:c>
      <x:c r="F1214" s="43" t="str">
        <x:v>London</x:v>
      </x:c>
      <x:c r="G1214" s="43" t="str"/>
      <x:c r="H1214" s="43" t="str">
        <x:v>NW6 7BT</x:v>
      </x:c>
      <x:c r="I1214" s="43" t="n">
        <x:v>11</x:v>
      </x:c>
      <x:c r="J1214" s="43" t="n">
        <x:v>16</x:v>
      </x:c>
      <x:c r="K1214" s="43" t="str">
        <x:v>No boarders</x:v>
      </x:c>
      <x:c r="L1214" s="43" t="str">
        <x:v>Does not have a sixth form</x:v>
      </x:c>
      <x:c r="M1214" s="43" t="n">
        <x:v>118</x:v>
      </x:c>
      <x:c r="N1214" s="43" t="str">
        <x:v>https://www.brondesburycollege.co.uk</x:v>
      </x:c>
      <x:c r="O1214" s="43" t="str">
        <x:v>02088304522</x:v>
      </x:c>
      <x:c r="P1214" s="43" t="str"/>
      <x:c r="Q1214" s="43" t="str"/>
      <x:c r="R1214" s="43" t="str">
        <x:v>Queued for contact research</x:v>
      </x:c>
      <x:c r="S1214" s="43" t="str">
        <x:v>Not reviewed</x:v>
      </x:c>
      <x:c r="T1214" s="43" t="str">
        <x:v>Hold</x:v>
      </x:c>
      <x:c r="U1214" s="43" t="str">
        <x:v>No</x:v>
      </x:c>
      <x:c r="V1214" s="44"/>
      <x:c r="W1214" s="43" t="str"/>
      <x:c r="X1214" s="43" t="str"/>
      <x:c r="Y1214" s="43" t="str"/>
      <x:c r="Z1214" s="43" t="str">
        <x:v>https://www.get-information-schools.service.gov.uk/Downloads</x:v>
      </x:c>
    </x:row>
    <x:row r="1215">
      <x:c r="A1215" s="43" t="str">
        <x:v>UK independent</x:v>
      </x:c>
      <x:c r="B1215" s="43" t="str">
        <x:v>103572</x:v>
      </x:c>
      <x:c r="C1215" s="43" t="n">
        <x:f>IF(K1215="Boarding school",30,0)+IF(J1215&gt;=18,20,0)+IF(I1215&lt;=11,10,0)+IF(L1215="Has a sixth form",15,0)+IF(M1215&gt;=200,10,0)+IF(N1215&lt;&gt;"",10,0)</x:f>
        <x:v>20</x:v>
      </x:c>
      <x:c r="D1215" s="43" t="str">
        <x:f>IF(C1215&gt;=85,"A",IF(C1215&gt;=65,"B","C"))</x:f>
        <x:v>C</x:v>
      </x:c>
      <x:c r="E1215" s="43" t="str">
        <x:v>Norfolk House School</x:v>
      </x:c>
      <x:c r="F1215" s="43" t="str">
        <x:v>Birmingham</x:v>
      </x:c>
      <x:c r="G1215" s="43" t="str">
        <x:v>West Midlands</x:v>
      </x:c>
      <x:c r="H1215" s="43" t="str">
        <x:v>B15 3PS</x:v>
      </x:c>
      <x:c r="I1215" s="43" t="n">
        <x:v>3</x:v>
      </x:c>
      <x:c r="J1215" s="43" t="n">
        <x:v>11</x:v>
      </x:c>
      <x:c r="K1215" s="43" t="str">
        <x:v>No boarders</x:v>
      </x:c>
      <x:c r="L1215" s="43" t="str">
        <x:v>Does not have a sixth form</x:v>
      </x:c>
      <x:c r="M1215" s="43" t="n">
        <x:v>118</x:v>
      </x:c>
      <x:c r="N1215" s="43" t="str">
        <x:v>https://www.norfolkhouseschool.co.uk/nhs/</x:v>
      </x:c>
      <x:c r="O1215" s="43" t="str">
        <x:v>01214547021</x:v>
      </x:c>
      <x:c r="P1215" s="43" t="str"/>
      <x:c r="Q1215" s="43" t="str"/>
      <x:c r="R1215" s="43" t="str">
        <x:v>Queued for contact research</x:v>
      </x:c>
      <x:c r="S1215" s="43" t="str">
        <x:v>Not reviewed</x:v>
      </x:c>
      <x:c r="T1215" s="43" t="str">
        <x:v>Hold</x:v>
      </x:c>
      <x:c r="U1215" s="43" t="str">
        <x:v>No</x:v>
      </x:c>
      <x:c r="V1215" s="44"/>
      <x:c r="W1215" s="43" t="str"/>
      <x:c r="X1215" s="43" t="str"/>
      <x:c r="Y1215" s="43" t="str"/>
      <x:c r="Z1215" s="43" t="str">
        <x:v>https://www.get-information-schools.service.gov.uk/Downloads</x:v>
      </x:c>
    </x:row>
    <x:row r="1216">
      <x:c r="A1216" s="43" t="str">
        <x:v>UK independent</x:v>
      </x:c>
      <x:c r="B1216" s="43" t="str">
        <x:v>111477</x:v>
      </x:c>
      <x:c r="C1216" s="43" t="n">
        <x:f>IF(K1216="Boarding school",30,0)+IF(J1216&gt;=18,20,0)+IF(I1216&lt;=11,10,0)+IF(L1216="Has a sixth form",15,0)+IF(M1216&gt;=200,10,0)+IF(N1216&lt;&gt;"",10,0)</x:f>
        <x:v>20</x:v>
      </x:c>
      <x:c r="D1216" s="43" t="str">
        <x:f>IF(C1216&gt;=85,"A",IF(C1216&gt;=65,"B","C"))</x:f>
        <x:v>C</x:v>
      </x:c>
      <x:c r="E1216" s="43" t="str">
        <x:v>Wilmslow Preparatory School</x:v>
      </x:c>
      <x:c r="F1216" s="43" t="str">
        <x:v>Wilmslow</x:v>
      </x:c>
      <x:c r="G1216" s="43" t="str">
        <x:v>Cheshire</x:v>
      </x:c>
      <x:c r="H1216" s="43" t="str">
        <x:v>SK9 5EG</x:v>
      </x:c>
      <x:c r="I1216" s="43" t="n">
        <x:v>3</x:v>
      </x:c>
      <x:c r="J1216" s="43" t="n">
        <x:v>11</x:v>
      </x:c>
      <x:c r="K1216" s="43" t="str">
        <x:v>No boarders</x:v>
      </x:c>
      <x:c r="L1216" s="43" t="str">
        <x:v>Does not have a sixth form</x:v>
      </x:c>
      <x:c r="M1216" s="43" t="n">
        <x:v>118</x:v>
      </x:c>
      <x:c r="N1216" s="43" t="str">
        <x:v>https://www.wilmslowprep.co.uk</x:v>
      </x:c>
      <x:c r="O1216" s="43" t="str">
        <x:v>01625524246</x:v>
      </x:c>
      <x:c r="P1216" s="43" t="str"/>
      <x:c r="Q1216" s="43" t="str"/>
      <x:c r="R1216" s="43" t="str">
        <x:v>Queued for contact research</x:v>
      </x:c>
      <x:c r="S1216" s="43" t="str">
        <x:v>Not reviewed</x:v>
      </x:c>
      <x:c r="T1216" s="43" t="str">
        <x:v>Hold</x:v>
      </x:c>
      <x:c r="U1216" s="43" t="str">
        <x:v>No</x:v>
      </x:c>
      <x:c r="V1216" s="44"/>
      <x:c r="W1216" s="43" t="str"/>
      <x:c r="X1216" s="43" t="str"/>
      <x:c r="Y1216" s="43" t="str"/>
      <x:c r="Z1216" s="43" t="str">
        <x:v>https://www.get-information-schools.service.gov.uk/Downloads</x:v>
      </x:c>
    </x:row>
    <x:row r="1217">
      <x:c r="A1217" s="43" t="str">
        <x:v>UK independent</x:v>
      </x:c>
      <x:c r="B1217" s="43" t="str">
        <x:v>122907</x:v>
      </x:c>
      <x:c r="C1217" s="43" t="n">
        <x:f>IF(K1217="Boarding school",30,0)+IF(J1217&gt;=18,20,0)+IF(I1217&lt;=11,10,0)+IF(L1217="Has a sixth form",15,0)+IF(M1217&gt;=200,10,0)+IF(N1217&lt;&gt;"",10,0)</x:f>
        <x:v>20</x:v>
      </x:c>
      <x:c r="D1217" s="43" t="str">
        <x:f>IF(C1217&gt;=85,"A",IF(C1217&gt;=65,"B","C"))</x:f>
        <x:v>C</x:v>
      </x:c>
      <x:c r="E1217" s="43" t="str">
        <x:v>Highfields School</x:v>
      </x:c>
      <x:c r="F1217" s="43" t="str">
        <x:v>Newark</x:v>
      </x:c>
      <x:c r="G1217" s="43" t="str">
        <x:v>Nottinghamshire</x:v>
      </x:c>
      <x:c r="H1217" s="43" t="str">
        <x:v>NG24 3AL</x:v>
      </x:c>
      <x:c r="I1217" s="43" t="n">
        <x:v>2</x:v>
      </x:c>
      <x:c r="J1217" s="43" t="n">
        <x:v>11</x:v>
      </x:c>
      <x:c r="K1217" s="43" t="str">
        <x:v>No boarders</x:v>
      </x:c>
      <x:c r="L1217" s="43" t="str">
        <x:v>Does not have a sixth form</x:v>
      </x:c>
      <x:c r="M1217" s="43" t="n">
        <x:v>117</x:v>
      </x:c>
      <x:c r="N1217" s="43" t="str">
        <x:v>https://highfieldsschool.co.uk</x:v>
      </x:c>
      <x:c r="O1217" s="43" t="str">
        <x:v>01636704103</x:v>
      </x:c>
      <x:c r="P1217" s="43" t="str"/>
      <x:c r="Q1217" s="43" t="str"/>
      <x:c r="R1217" s="43" t="str">
        <x:v>Queued for contact research</x:v>
      </x:c>
      <x:c r="S1217" s="43" t="str">
        <x:v>Not reviewed</x:v>
      </x:c>
      <x:c r="T1217" s="43" t="str">
        <x:v>Hold</x:v>
      </x:c>
      <x:c r="U1217" s="43" t="str">
        <x:v>No</x:v>
      </x:c>
      <x:c r="V1217" s="44"/>
      <x:c r="W1217" s="43" t="str"/>
      <x:c r="X1217" s="43" t="str"/>
      <x:c r="Y1217" s="43" t="str"/>
      <x:c r="Z1217" s="43" t="str">
        <x:v>https://www.get-information-schools.service.gov.uk/Downloads</x:v>
      </x:c>
    </x:row>
    <x:row r="1218">
      <x:c r="A1218" s="43" t="str">
        <x:v>UK independent</x:v>
      </x:c>
      <x:c r="B1218" s="43" t="str">
        <x:v>103578</x:v>
      </x:c>
      <x:c r="C1218" s="43" t="n">
        <x:f>IF(K1218="Boarding school",30,0)+IF(J1218&gt;=18,20,0)+IF(I1218&lt;=11,10,0)+IF(L1218="Has a sixth form",15,0)+IF(M1218&gt;=200,10,0)+IF(N1218&lt;&gt;"",10,0)</x:f>
        <x:v>20</x:v>
      </x:c>
      <x:c r="D1218" s="43" t="str">
        <x:f>IF(C1218&gt;=85,"A",IF(C1218&gt;=65,"B","C"))</x:f>
        <x:v>C</x:v>
      </x:c>
      <x:c r="E1218" s="43" t="str">
        <x:v>The Shrubbery School Ltd</x:v>
      </x:c>
      <x:c r="F1218" s="43" t="str">
        <x:v>Sutton Coldfield</x:v>
      </x:c>
      <x:c r="G1218" s="43" t="str">
        <x:v>West Midlands</x:v>
      </x:c>
      <x:c r="H1218" s="43" t="str">
        <x:v>B76 1HY</x:v>
      </x:c>
      <x:c r="I1218" s="43" t="n">
        <x:v>3</x:v>
      </x:c>
      <x:c r="J1218" s="43" t="n">
        <x:v>11</x:v>
      </x:c>
      <x:c r="K1218" s="43" t="str">
        <x:v>No boarders</x:v>
      </x:c>
      <x:c r="L1218" s="43" t="str">
        <x:v>Does not have a sixth form</x:v>
      </x:c>
      <x:c r="M1218" s="43" t="n">
        <x:v>116</x:v>
      </x:c>
      <x:c r="N1218" s="43" t="str">
        <x:v>https://www.shrubberyschool.com</x:v>
      </x:c>
      <x:c r="O1218" s="43" t="str">
        <x:v>01213511582</x:v>
      </x:c>
      <x:c r="P1218" s="43" t="str"/>
      <x:c r="Q1218" s="43" t="str"/>
      <x:c r="R1218" s="43" t="str">
        <x:v>Queued for contact research</x:v>
      </x:c>
      <x:c r="S1218" s="43" t="str">
        <x:v>Not reviewed</x:v>
      </x:c>
      <x:c r="T1218" s="43" t="str">
        <x:v>Hold</x:v>
      </x:c>
      <x:c r="U1218" s="43" t="str">
        <x:v>No</x:v>
      </x:c>
      <x:c r="V1218" s="44"/>
      <x:c r="W1218" s="43" t="str"/>
      <x:c r="X1218" s="43" t="str"/>
      <x:c r="Y1218" s="43" t="str"/>
      <x:c r="Z1218" s="43" t="str">
        <x:v>https://www.get-information-schools.service.gov.uk/Downloads</x:v>
      </x:c>
    </x:row>
    <x:row r="1219">
      <x:c r="A1219" s="43" t="str">
        <x:v>UK independent</x:v>
      </x:c>
      <x:c r="B1219" s="43" t="str">
        <x:v>138498</x:v>
      </x:c>
      <x:c r="C1219" s="43" t="n">
        <x:f>IF(K1219="Boarding school",30,0)+IF(J1219&gt;=18,20,0)+IF(I1219&lt;=11,10,0)+IF(L1219="Has a sixth form",15,0)+IF(M1219&gt;=200,10,0)+IF(N1219&lt;&gt;"",10,0)</x:f>
        <x:v>20</x:v>
      </x:c>
      <x:c r="D1219" s="43" t="str">
        <x:f>IF(C1219&gt;=85,"A",IF(C1219&gt;=65,"B","C"))</x:f>
        <x:v>C</x:v>
      </x:c>
      <x:c r="E1219" s="43" t="str">
        <x:v>Bolton Islamic Girls School</x:v>
      </x:c>
      <x:c r="F1219" s="43" t="str">
        <x:v>Bolton</x:v>
      </x:c>
      <x:c r="G1219" s="43" t="str"/>
      <x:c r="H1219" s="43" t="str">
        <x:v>BL3 2AW</x:v>
      </x:c>
      <x:c r="I1219" s="43" t="n">
        <x:v>11</x:v>
      </x:c>
      <x:c r="J1219" s="43" t="n">
        <x:v>16</x:v>
      </x:c>
      <x:c r="K1219" s="43" t="str">
        <x:v>No boarders</x:v>
      </x:c>
      <x:c r="L1219" s="43" t="str">
        <x:v>Does not have a sixth form</x:v>
      </x:c>
      <x:c r="M1219" s="43" t="n">
        <x:v>115</x:v>
      </x:c>
      <x:c r="N1219" s="43" t="str">
        <x:v>https://www.boltonislamicgirlsschool.org.uk</x:v>
      </x:c>
      <x:c r="O1219" s="43" t="str">
        <x:v>01204771570</x:v>
      </x:c>
      <x:c r="P1219" s="43" t="str"/>
      <x:c r="Q1219" s="43" t="str"/>
      <x:c r="R1219" s="43" t="str">
        <x:v>Queued for contact research</x:v>
      </x:c>
      <x:c r="S1219" s="43" t="str">
        <x:v>Not reviewed</x:v>
      </x:c>
      <x:c r="T1219" s="43" t="str">
        <x:v>Hold</x:v>
      </x:c>
      <x:c r="U1219" s="43" t="str">
        <x:v>No</x:v>
      </x:c>
      <x:c r="V1219" s="44"/>
      <x:c r="W1219" s="43" t="str"/>
      <x:c r="X1219" s="43" t="str"/>
      <x:c r="Y1219" s="43" t="str"/>
      <x:c r="Z1219" s="43" t="str">
        <x:v>https://www.get-information-schools.service.gov.uk/Downloads</x:v>
      </x:c>
    </x:row>
    <x:row r="1220">
      <x:c r="A1220" s="43" t="str">
        <x:v>UK independent</x:v>
      </x:c>
      <x:c r="B1220" s="43" t="str">
        <x:v>104729</x:v>
      </x:c>
      <x:c r="C1220" s="43" t="n">
        <x:f>IF(K1220="Boarding school",30,0)+IF(J1220&gt;=18,20,0)+IF(I1220&lt;=11,10,0)+IF(L1220="Has a sixth form",15,0)+IF(M1220&gt;=200,10,0)+IF(N1220&lt;&gt;"",10,0)</x:f>
        <x:v>20</x:v>
      </x:c>
      <x:c r="D1220" s="43" t="str">
        <x:f>IF(C1220&gt;=85,"A",IF(C1220&gt;=65,"B","C"))</x:f>
        <x:v>C</x:v>
      </x:c>
      <x:c r="E1220" s="43" t="str">
        <x:v>The Belvedere Preparatory School</x:v>
      </x:c>
      <x:c r="F1220" s="43" t="str">
        <x:v>Liverpool</x:v>
      </x:c>
      <x:c r="G1220" s="43" t="str">
        <x:v>Merseyside</x:v>
      </x:c>
      <x:c r="H1220" s="43" t="str">
        <x:v>L8 3TF</x:v>
      </x:c>
      <x:c r="I1220" s="43" t="n">
        <x:v>3</x:v>
      </x:c>
      <x:c r="J1220" s="43" t="n">
        <x:v>11</x:v>
      </x:c>
      <x:c r="K1220" s="43" t="str">
        <x:v>No boarders</x:v>
      </x:c>
      <x:c r="L1220" s="43" t="str">
        <x:v>Does not have a sixth form</x:v>
      </x:c>
      <x:c r="M1220" s="43" t="n">
        <x:v>115</x:v>
      </x:c>
      <x:c r="N1220" s="43" t="str">
        <x:v>https://www.belvedereprep.com</x:v>
      </x:c>
      <x:c r="O1220" s="43" t="str">
        <x:v>01514711137</x:v>
      </x:c>
      <x:c r="P1220" s="43" t="str"/>
      <x:c r="Q1220" s="43" t="str"/>
      <x:c r="R1220" s="43" t="str">
        <x:v>Queued for contact research</x:v>
      </x:c>
      <x:c r="S1220" s="43" t="str">
        <x:v>Not reviewed</x:v>
      </x:c>
      <x:c r="T1220" s="43" t="str">
        <x:v>Hold</x:v>
      </x:c>
      <x:c r="U1220" s="43" t="str">
        <x:v>No</x:v>
      </x:c>
      <x:c r="V1220" s="44"/>
      <x:c r="W1220" s="43" t="str"/>
      <x:c r="X1220" s="43" t="str"/>
      <x:c r="Y1220" s="43" t="str"/>
      <x:c r="Z1220" s="43" t="str">
        <x:v>https://www.get-information-schools.service.gov.uk/Downloads</x:v>
      </x:c>
    </x:row>
    <x:row r="1221">
      <x:c r="A1221" s="43" t="str">
        <x:v>UK independent</x:v>
      </x:c>
      <x:c r="B1221" s="43" t="str">
        <x:v>117041</x:v>
      </x:c>
      <x:c r="C1221" s="43" t="n">
        <x:f>IF(K1221="Boarding school",30,0)+IF(J1221&gt;=18,20,0)+IF(I1221&lt;=11,10,0)+IF(L1221="Has a sixth form",15,0)+IF(M1221&gt;=200,10,0)+IF(N1221&lt;&gt;"",10,0)</x:f>
        <x:v>20</x:v>
      </x:c>
      <x:c r="D1221" s="43" t="str">
        <x:f>IF(C1221&gt;=85,"A",IF(C1221&gt;=65,"B","C"))</x:f>
        <x:v>C</x:v>
      </x:c>
      <x:c r="E1221" s="43" t="str">
        <x:v>The River School</x:v>
      </x:c>
      <x:c r="F1221" s="43" t="str">
        <x:v>Worcester</x:v>
      </x:c>
      <x:c r="G1221" s="43" t="str">
        <x:v>Worcestershire</x:v>
      </x:c>
      <x:c r="H1221" s="43" t="str">
        <x:v>WR3 7ST</x:v>
      </x:c>
      <x:c r="I1221" s="43" t="n">
        <x:v>2</x:v>
      </x:c>
      <x:c r="J1221" s="43" t="n">
        <x:v>16</x:v>
      </x:c>
      <x:c r="K1221" s="43" t="str">
        <x:v>No boarders</x:v>
      </x:c>
      <x:c r="L1221" s="43" t="str">
        <x:v>Does not have a sixth form</x:v>
      </x:c>
      <x:c r="M1221" s="43" t="n">
        <x:v>115</x:v>
      </x:c>
      <x:c r="N1221" s="43" t="str">
        <x:v>https://www.riverschool.co.uk</x:v>
      </x:c>
      <x:c r="O1221" s="43" t="str">
        <x:v>01905457047</x:v>
      </x:c>
      <x:c r="P1221" s="43" t="str"/>
      <x:c r="Q1221" s="43" t="str"/>
      <x:c r="R1221" s="43" t="str">
        <x:v>Queued for contact research</x:v>
      </x:c>
      <x:c r="S1221" s="43" t="str">
        <x:v>Not reviewed</x:v>
      </x:c>
      <x:c r="T1221" s="43" t="str">
        <x:v>Hold</x:v>
      </x:c>
      <x:c r="U1221" s="43" t="str">
        <x:v>No</x:v>
      </x:c>
      <x:c r="V1221" s="44"/>
      <x:c r="W1221" s="43" t="str"/>
      <x:c r="X1221" s="43" t="str"/>
      <x:c r="Y1221" s="43" t="str"/>
      <x:c r="Z1221" s="43" t="str">
        <x:v>https://www.get-information-schools.service.gov.uk/Downloads</x:v>
      </x:c>
    </x:row>
    <x:row r="1222">
      <x:c r="A1222" s="43" t="str">
        <x:v>UK independent</x:v>
      </x:c>
      <x:c r="B1222" s="43" t="str">
        <x:v>134034</x:v>
      </x:c>
      <x:c r="C1222" s="43" t="n">
        <x:f>IF(K1222="Boarding school",30,0)+IF(J1222&gt;=18,20,0)+IF(I1222&lt;=11,10,0)+IF(L1222="Has a sixth form",15,0)+IF(M1222&gt;=200,10,0)+IF(N1222&lt;&gt;"",10,0)</x:f>
        <x:v>20</x:v>
      </x:c>
      <x:c r="D1222" s="43" t="str">
        <x:f>IF(C1222&gt;=85,"A",IF(C1222&gt;=65,"B","C"))</x:f>
        <x:v>C</x:v>
      </x:c>
      <x:c r="E1222" s="43" t="str">
        <x:v>Al-Burhan Grammar School</x:v>
      </x:c>
      <x:c r="F1222" s="43" t="str">
        <x:v>Birmingham</x:v>
      </x:c>
      <x:c r="G1222" s="43" t="str">
        <x:v>West Midlands</x:v>
      </x:c>
      <x:c r="H1222" s="43" t="str">
        <x:v>B11 3DW</x:v>
      </x:c>
      <x:c r="I1222" s="43" t="n">
        <x:v>11</x:v>
      </x:c>
      <x:c r="J1222" s="43" t="n">
        <x:v>16</x:v>
      </x:c>
      <x:c r="K1222" s="43" t="str">
        <x:v>No boarders</x:v>
      </x:c>
      <x:c r="L1222" s="43" t="str">
        <x:v>Does not have a sixth form</x:v>
      </x:c>
      <x:c r="M1222" s="43" t="n">
        <x:v>114</x:v>
      </x:c>
      <x:c r="N1222" s="43" t="str">
        <x:v>https://www.alburhan.org.uk</x:v>
      </x:c>
      <x:c r="O1222" s="43" t="str">
        <x:v>01214405454</x:v>
      </x:c>
      <x:c r="P1222" s="43" t="str"/>
      <x:c r="Q1222" s="43" t="str"/>
      <x:c r="R1222" s="43" t="str">
        <x:v>Queued for contact research</x:v>
      </x:c>
      <x:c r="S1222" s="43" t="str">
        <x:v>Not reviewed</x:v>
      </x:c>
      <x:c r="T1222" s="43" t="str">
        <x:v>Hold</x:v>
      </x:c>
      <x:c r="U1222" s="43" t="str">
        <x:v>No</x:v>
      </x:c>
      <x:c r="V1222" s="44"/>
      <x:c r="W1222" s="43" t="str"/>
      <x:c r="X1222" s="43" t="str"/>
      <x:c r="Y1222" s="43" t="str"/>
      <x:c r="Z1222" s="43" t="str">
        <x:v>https://www.get-information-schools.service.gov.uk/Downloads</x:v>
      </x:c>
    </x:row>
    <x:row r="1223">
      <x:c r="A1223" s="43" t="str">
        <x:v>UK independent</x:v>
      </x:c>
      <x:c r="B1223" s="43" t="str">
        <x:v>135409</x:v>
      </x:c>
      <x:c r="C1223" s="43" t="n">
        <x:f>IF(K1223="Boarding school",30,0)+IF(J1223&gt;=18,20,0)+IF(I1223&lt;=11,10,0)+IF(L1223="Has a sixth form",15,0)+IF(M1223&gt;=200,10,0)+IF(N1223&lt;&gt;"",10,0)</x:f>
        <x:v>20</x:v>
      </x:c>
      <x:c r="D1223" s="43" t="str">
        <x:f>IF(C1223&gt;=85,"A",IF(C1223&gt;=65,"B","C"))</x:f>
        <x:v>C</x:v>
      </x:c>
      <x:c r="E1223" s="43" t="str">
        <x:v>London Christian School</x:v>
      </x:c>
      <x:c r="F1223" s="43" t="str">
        <x:v>London</x:v>
      </x:c>
      <x:c r="G1223" s="43" t="str"/>
      <x:c r="H1223" s="43" t="str">
        <x:v>SE1 4JU</x:v>
      </x:c>
      <x:c r="I1223" s="43" t="n">
        <x:v>3</x:v>
      </x:c>
      <x:c r="J1223" s="43" t="n">
        <x:v>11</x:v>
      </x:c>
      <x:c r="K1223" s="43" t="str">
        <x:v>No boarders</x:v>
      </x:c>
      <x:c r="L1223" s="43" t="str">
        <x:v>Does not have a sixth form</x:v>
      </x:c>
      <x:c r="M1223" s="43" t="n">
        <x:v>114</x:v>
      </x:c>
      <x:c r="N1223" s="43" t="str">
        <x:v>https://www.londonchristianschool.com</x:v>
      </x:c>
      <x:c r="O1223" s="43" t="str">
        <x:v>02031306430</x:v>
      </x:c>
      <x:c r="P1223" s="43" t="str"/>
      <x:c r="Q1223" s="43" t="str"/>
      <x:c r="R1223" s="43" t="str">
        <x:v>Queued for contact research</x:v>
      </x:c>
      <x:c r="S1223" s="43" t="str">
        <x:v>Not reviewed</x:v>
      </x:c>
      <x:c r="T1223" s="43" t="str">
        <x:v>Hold</x:v>
      </x:c>
      <x:c r="U1223" s="43" t="str">
        <x:v>No</x:v>
      </x:c>
      <x:c r="V1223" s="44"/>
      <x:c r="W1223" s="43" t="str"/>
      <x:c r="X1223" s="43" t="str"/>
      <x:c r="Y1223" s="43" t="str"/>
      <x:c r="Z1223" s="43" t="str">
        <x:v>https://www.get-information-schools.service.gov.uk/Downloads</x:v>
      </x:c>
    </x:row>
    <x:row r="1224">
      <x:c r="A1224" s="43" t="str">
        <x:v>UK independent</x:v>
      </x:c>
      <x:c r="B1224" s="43" t="str">
        <x:v>121239</x:v>
      </x:c>
      <x:c r="C1224" s="43" t="n">
        <x:f>IF(K1224="Boarding school",30,0)+IF(J1224&gt;=18,20,0)+IF(I1224&lt;=11,10,0)+IF(L1224="Has a sixth form",15,0)+IF(M1224&gt;=200,10,0)+IF(N1224&lt;&gt;"",10,0)</x:f>
        <x:v>20</x:v>
      </x:c>
      <x:c r="D1224" s="43" t="str">
        <x:f>IF(C1224&gt;=85,"A",IF(C1224&gt;=65,"B","C"))</x:f>
        <x:v>C</x:v>
      </x:c>
      <x:c r="E1224" s="43" t="str">
        <x:v>Notre Dame Preparatory School (Norwich) Limited</x:v>
      </x:c>
      <x:c r="F1224" s="43" t="str">
        <x:v>Norwich</x:v>
      </x:c>
      <x:c r="G1224" s="43" t="str">
        <x:v>Norfolk</x:v>
      </x:c>
      <x:c r="H1224" s="43" t="str">
        <x:v>NR2 3TA</x:v>
      </x:c>
      <x:c r="I1224" s="43" t="n">
        <x:v>2</x:v>
      </x:c>
      <x:c r="J1224" s="43" t="n">
        <x:v>11</x:v>
      </x:c>
      <x:c r="K1224" s="43" t="str">
        <x:v>No boarders</x:v>
      </x:c>
      <x:c r="L1224" s="43" t="str">
        <x:v>Does not have a sixth form</x:v>
      </x:c>
      <x:c r="M1224" s="43" t="n">
        <x:v>114</x:v>
      </x:c>
      <x:c r="N1224" s="43" t="str">
        <x:v>https://www.notredameprepschool.co.uk</x:v>
      </x:c>
      <x:c r="O1224" s="43" t="str">
        <x:v>01603625593</x:v>
      </x:c>
      <x:c r="P1224" s="43" t="str"/>
      <x:c r="Q1224" s="43" t="str"/>
      <x:c r="R1224" s="43" t="str">
        <x:v>Queued for contact research</x:v>
      </x:c>
      <x:c r="S1224" s="43" t="str">
        <x:v>Not reviewed</x:v>
      </x:c>
      <x:c r="T1224" s="43" t="str">
        <x:v>Hold</x:v>
      </x:c>
      <x:c r="U1224" s="43" t="str">
        <x:v>No</x:v>
      </x:c>
      <x:c r="V1224" s="44"/>
      <x:c r="W1224" s="43" t="str"/>
      <x:c r="X1224" s="43" t="str"/>
      <x:c r="Y1224" s="43" t="str"/>
      <x:c r="Z1224" s="43" t="str">
        <x:v>https://www.get-information-schools.service.gov.uk/Downloads</x:v>
      </x:c>
    </x:row>
    <x:row r="1225">
      <x:c r="A1225" s="43" t="str">
        <x:v>UK independent</x:v>
      </x:c>
      <x:c r="B1225" s="43" t="str">
        <x:v>149835</x:v>
      </x:c>
      <x:c r="C1225" s="43" t="n">
        <x:f>IF(K1225="Boarding school",30,0)+IF(J1225&gt;=18,20,0)+IF(I1225&lt;=11,10,0)+IF(L1225="Has a sixth form",15,0)+IF(M1225&gt;=200,10,0)+IF(N1225&lt;&gt;"",10,0)</x:f>
        <x:v>20</x:v>
      </x:c>
      <x:c r="D1225" s="43" t="str">
        <x:f>IF(C1225&gt;=85,"A",IF(C1225&gt;=65,"B","C"))</x:f>
        <x:v>C</x:v>
      </x:c>
      <x:c r="E1225" s="43" t="str">
        <x:v>Olive High Boys</x:v>
      </x:c>
      <x:c r="F1225" s="43" t="str">
        <x:v>Burnley</x:v>
      </x:c>
      <x:c r="G1225" s="43" t="str">
        <x:v>Lancashire</x:v>
      </x:c>
      <x:c r="H1225" s="43" t="str">
        <x:v>BB11 2RU</x:v>
      </x:c>
      <x:c r="I1225" s="43" t="n">
        <x:v>11</x:v>
      </x:c>
      <x:c r="J1225" s="43" t="n">
        <x:v>16</x:v>
      </x:c>
      <x:c r="K1225" s="43" t="str">
        <x:v>No boarders</x:v>
      </x:c>
      <x:c r="L1225" s="43" t="str">
        <x:v>Does not have a sixth form</x:v>
      </x:c>
      <x:c r="M1225" s="43" t="n">
        <x:v>114</x:v>
      </x:c>
      <x:c r="N1225" s="43" t="str">
        <x:v>https://olivehighboys.co.uk/</x:v>
      </x:c>
      <x:c r="O1225" s="43" t="str">
        <x:v>01282940327</x:v>
      </x:c>
      <x:c r="P1225" s="43" t="str"/>
      <x:c r="Q1225" s="43" t="str"/>
      <x:c r="R1225" s="43" t="str">
        <x:v>Queued for contact research</x:v>
      </x:c>
      <x:c r="S1225" s="43" t="str">
        <x:v>Not reviewed</x:v>
      </x:c>
      <x:c r="T1225" s="43" t="str">
        <x:v>Hold</x:v>
      </x:c>
      <x:c r="U1225" s="43" t="str">
        <x:v>No</x:v>
      </x:c>
      <x:c r="V1225" s="44"/>
      <x:c r="W1225" s="43" t="str"/>
      <x:c r="X1225" s="43" t="str"/>
      <x:c r="Y1225" s="43" t="str"/>
      <x:c r="Z1225" s="43" t="str">
        <x:v>https://www.get-information-schools.service.gov.uk/Downloads</x:v>
      </x:c>
    </x:row>
    <x:row r="1226">
      <x:c r="A1226" s="43" t="str">
        <x:v>UK independent</x:v>
      </x:c>
      <x:c r="B1226" s="43" t="str">
        <x:v>137560</x:v>
      </x:c>
      <x:c r="C1226" s="43" t="n">
        <x:f>IF(K1226="Boarding school",30,0)+IF(J1226&gt;=18,20,0)+IF(I1226&lt;=11,10,0)+IF(L1226="Has a sixth form",15,0)+IF(M1226&gt;=200,10,0)+IF(N1226&lt;&gt;"",10,0)</x:f>
        <x:v>20</x:v>
      </x:c>
      <x:c r="D1226" s="43" t="str">
        <x:f>IF(C1226&gt;=85,"A",IF(C1226&gt;=65,"B","C"))</x:f>
        <x:v>C</x:v>
      </x:c>
      <x:c r="E1226" s="43" t="str">
        <x:v>Redstone Academy for Boys</x:v>
      </x:c>
      <x:c r="F1226" s="43" t="str">
        <x:v>Birmingham</x:v>
      </x:c>
      <x:c r="G1226" s="43" t="str"/>
      <x:c r="H1226" s="43" t="str">
        <x:v>B12 9AN</x:v>
      </x:c>
      <x:c r="I1226" s="43" t="n">
        <x:v>11</x:v>
      </x:c>
      <x:c r="J1226" s="43" t="n">
        <x:v>16</x:v>
      </x:c>
      <x:c r="K1226" s="43" t="str">
        <x:v>No boarders</x:v>
      </x:c>
      <x:c r="L1226" s="43" t="str">
        <x:v>Does not have a sixth form</x:v>
      </x:c>
      <x:c r="M1226" s="43" t="n">
        <x:v>114</x:v>
      </x:c>
      <x:c r="N1226" s="43" t="str">
        <x:v>https://www.redstoneacademy.com</x:v>
      </x:c>
      <x:c r="O1226" s="43" t="str">
        <x:v>01214487933</x:v>
      </x:c>
      <x:c r="P1226" s="43" t="str"/>
      <x:c r="Q1226" s="43" t="str"/>
      <x:c r="R1226" s="43" t="str">
        <x:v>Queued for contact research</x:v>
      </x:c>
      <x:c r="S1226" s="43" t="str">
        <x:v>Not reviewed</x:v>
      </x:c>
      <x:c r="T1226" s="43" t="str">
        <x:v>Hold</x:v>
      </x:c>
      <x:c r="U1226" s="43" t="str">
        <x:v>No</x:v>
      </x:c>
      <x:c r="V1226" s="44"/>
      <x:c r="W1226" s="43" t="str"/>
      <x:c r="X1226" s="43" t="str"/>
      <x:c r="Y1226" s="43" t="str"/>
      <x:c r="Z1226" s="43" t="str">
        <x:v>https://www.get-information-schools.service.gov.uk/Downloads</x:v>
      </x:c>
    </x:row>
    <x:row r="1227">
      <x:c r="A1227" s="43" t="str">
        <x:v>UK independent</x:v>
      </x:c>
      <x:c r="B1227" s="43" t="str">
        <x:v>108108</x:v>
      </x:c>
      <x:c r="C1227" s="43" t="n">
        <x:f>IF(K1227="Boarding school",30,0)+IF(J1227&gt;=18,20,0)+IF(I1227&lt;=11,10,0)+IF(L1227="Has a sixth form",15,0)+IF(M1227&gt;=200,10,0)+IF(N1227&lt;&gt;"",10,0)</x:f>
        <x:v>20</x:v>
      </x:c>
      <x:c r="D1227" s="43" t="str">
        <x:f>IF(C1227&gt;=85,"A",IF(C1227&gt;=65,"B","C"))</x:f>
        <x:v>C</x:v>
      </x:c>
      <x:c r="E1227" s="43" t="str">
        <x:v>The Froebelian School</x:v>
      </x:c>
      <x:c r="F1227" s="43" t="str"/>
      <x:c r="G1227" s="43" t="str"/>
      <x:c r="H1227" s="43" t="str">
        <x:v>LS18 4LB</x:v>
      </x:c>
      <x:c r="I1227" s="43" t="n">
        <x:v>2</x:v>
      </x:c>
      <x:c r="J1227" s="43" t="n">
        <x:v>11</x:v>
      </x:c>
      <x:c r="K1227" s="43" t="str">
        <x:v>No boarders</x:v>
      </x:c>
      <x:c r="L1227" s="43" t="str">
        <x:v>Does not have a sixth form</x:v>
      </x:c>
      <x:c r="M1227" s="43" t="n">
        <x:v>114</x:v>
      </x:c>
      <x:c r="N1227" s="43" t="str">
        <x:v>https://www.froebelian.com</x:v>
      </x:c>
      <x:c r="O1227" s="43" t="str">
        <x:v>01132583047</x:v>
      </x:c>
      <x:c r="P1227" s="43" t="str"/>
      <x:c r="Q1227" s="43" t="str"/>
      <x:c r="R1227" s="43" t="str">
        <x:v>Queued for contact research</x:v>
      </x:c>
      <x:c r="S1227" s="43" t="str">
        <x:v>Not reviewed</x:v>
      </x:c>
      <x:c r="T1227" s="43" t="str">
        <x:v>Hold</x:v>
      </x:c>
      <x:c r="U1227" s="43" t="str">
        <x:v>No</x:v>
      </x:c>
      <x:c r="V1227" s="44"/>
      <x:c r="W1227" s="43" t="str"/>
      <x:c r="X1227" s="43" t="str"/>
      <x:c r="Y1227" s="43" t="str"/>
      <x:c r="Z1227" s="43" t="str">
        <x:v>https://www.get-information-schools.service.gov.uk/Downloads</x:v>
      </x:c>
    </x:row>
    <x:row r="1228">
      <x:c r="A1228" s="43" t="str">
        <x:v>UK independent</x:v>
      </x:c>
      <x:c r="B1228" s="43" t="str">
        <x:v>119014</x:v>
      </x:c>
      <x:c r="C1228" s="43" t="n">
        <x:f>IF(K1228="Boarding school",30,0)+IF(J1228&gt;=18,20,0)+IF(I1228&lt;=11,10,0)+IF(L1228="Has a sixth form",15,0)+IF(M1228&gt;=200,10,0)+IF(N1228&lt;&gt;"",10,0)</x:f>
        <x:v>20</x:v>
      </x:c>
      <x:c r="D1228" s="43" t="str">
        <x:f>IF(C1228&gt;=85,"A",IF(C1228&gt;=65,"B","C"))</x:f>
        <x:v>C</x:v>
      </x:c>
      <x:c r="E1228" s="43" t="str">
        <x:v>Lorenden Preparatory School</x:v>
      </x:c>
      <x:c r="F1228" s="43" t="str"/>
      <x:c r="G1228" s="43" t="str"/>
      <x:c r="H1228" s="43" t="str">
        <x:v>ME13 0EN</x:v>
      </x:c>
      <x:c r="I1228" s="43" t="n">
        <x:v>3</x:v>
      </x:c>
      <x:c r="J1228" s="43" t="n">
        <x:v>11</x:v>
      </x:c>
      <x:c r="K1228" s="43" t="str">
        <x:v>No boarders</x:v>
      </x:c>
      <x:c r="L1228" s="43" t="str">
        <x:v>Does not have a sixth form</x:v>
      </x:c>
      <x:c r="M1228" s="43" t="n">
        <x:v>113</x:v>
      </x:c>
      <x:c r="N1228" s="43" t="str">
        <x:v>https://www.lorenden.org</x:v>
      </x:c>
      <x:c r="O1228" s="43" t="str">
        <x:v>01795590030</x:v>
      </x:c>
      <x:c r="P1228" s="43" t="str"/>
      <x:c r="Q1228" s="43" t="str"/>
      <x:c r="R1228" s="43" t="str">
        <x:v>Queued for contact research</x:v>
      </x:c>
      <x:c r="S1228" s="43" t="str">
        <x:v>Not reviewed</x:v>
      </x:c>
      <x:c r="T1228" s="43" t="str">
        <x:v>Hold</x:v>
      </x:c>
      <x:c r="U1228" s="43" t="str">
        <x:v>No</x:v>
      </x:c>
      <x:c r="V1228" s="44"/>
      <x:c r="W1228" s="43" t="str"/>
      <x:c r="X1228" s="43" t="str"/>
      <x:c r="Y1228" s="43" t="str"/>
      <x:c r="Z1228" s="43" t="str">
        <x:v>https://www.get-information-schools.service.gov.uk/Downloads</x:v>
      </x:c>
    </x:row>
    <x:row r="1229">
      <x:c r="A1229" s="43" t="str">
        <x:v>UK independent</x:v>
      </x:c>
      <x:c r="B1229" s="43" t="str">
        <x:v>133307</x:v>
      </x:c>
      <x:c r="C1229" s="43" t="n">
        <x:f>IF(K1229="Boarding school",30,0)+IF(J1229&gt;=18,20,0)+IF(I1229&lt;=11,10,0)+IF(L1229="Has a sixth form",15,0)+IF(M1229&gt;=200,10,0)+IF(N1229&lt;&gt;"",10,0)</x:f>
        <x:v>20</x:v>
      </x:c>
      <x:c r="D1229" s="43" t="str">
        <x:f>IF(C1229&gt;=85,"A",IF(C1229&gt;=65,"B","C"))</x:f>
        <x:v>C</x:v>
      </x:c>
      <x:c r="E1229" s="43" t="str">
        <x:v>Mazahirul Uloom London School</x:v>
      </x:c>
      <x:c r="F1229" s="43" t="str">
        <x:v>London</x:v>
      </x:c>
      <x:c r="G1229" s="43" t="str"/>
      <x:c r="H1229" s="43" t="str">
        <x:v>E1 4AA</x:v>
      </x:c>
      <x:c r="I1229" s="43" t="n">
        <x:v>11</x:v>
      </x:c>
      <x:c r="J1229" s="43" t="n">
        <x:v>16</x:v>
      </x:c>
      <x:c r="K1229" s="43" t="str">
        <x:v>No boarders</x:v>
      </x:c>
      <x:c r="L1229" s="43" t="str">
        <x:v>Does not have a sixth form</x:v>
      </x:c>
      <x:c r="M1229" s="43" t="n">
        <x:v>113</x:v>
      </x:c>
      <x:c r="N1229" s="43" t="str">
        <x:v>https://www.mul.org.uk</x:v>
      </x:c>
      <x:c r="O1229" s="43" t="str">
        <x:v>02077028533</x:v>
      </x:c>
      <x:c r="P1229" s="43" t="str"/>
      <x:c r="Q1229" s="43" t="str"/>
      <x:c r="R1229" s="43" t="str">
        <x:v>Queued for contact research</x:v>
      </x:c>
      <x:c r="S1229" s="43" t="str">
        <x:v>Not reviewed</x:v>
      </x:c>
      <x:c r="T1229" s="43" t="str">
        <x:v>Hold</x:v>
      </x:c>
      <x:c r="U1229" s="43" t="str">
        <x:v>No</x:v>
      </x:c>
      <x:c r="V1229" s="44"/>
      <x:c r="W1229" s="43" t="str"/>
      <x:c r="X1229" s="43" t="str"/>
      <x:c r="Y1229" s="43" t="str"/>
      <x:c r="Z1229" s="43" t="str">
        <x:v>https://www.get-information-schools.service.gov.uk/Downloads</x:v>
      </x:c>
    </x:row>
    <x:row r="1230">
      <x:c r="A1230" s="43" t="str">
        <x:v>UK independent</x:v>
      </x:c>
      <x:c r="B1230" s="43" t="str">
        <x:v>113013</x:v>
      </x:c>
      <x:c r="C1230" s="43" t="n">
        <x:f>IF(K1230="Boarding school",30,0)+IF(J1230&gt;=18,20,0)+IF(I1230&lt;=11,10,0)+IF(L1230="Has a sixth form",15,0)+IF(M1230&gt;=200,10,0)+IF(N1230&lt;&gt;"",10,0)</x:f>
        <x:v>20</x:v>
      </x:c>
      <x:c r="D1230" s="43" t="str">
        <x:f>IF(C1230&gt;=85,"A",IF(C1230&gt;=65,"B","C"))</x:f>
        <x:v>C</x:v>
      </x:c>
      <x:c r="E1230" s="43" t="str">
        <x:v>Old Vicarage School</x:v>
      </x:c>
      <x:c r="F1230" s="43" t="str">
        <x:v>Derby</x:v>
      </x:c>
      <x:c r="G1230" s="43" t="str">
        <x:v>Derbyshire</x:v>
      </x:c>
      <x:c r="H1230" s="43" t="str">
        <x:v>DE22 1EW</x:v>
      </x:c>
      <x:c r="I1230" s="43" t="n">
        <x:v>3</x:v>
      </x:c>
      <x:c r="J1230" s="43" t="n">
        <x:v>13</x:v>
      </x:c>
      <x:c r="K1230" s="43" t="str">
        <x:v>No boarders</x:v>
      </x:c>
      <x:c r="L1230" s="43" t="str">
        <x:v>Does not have a sixth form</x:v>
      </x:c>
      <x:c r="M1230" s="43" t="n">
        <x:v>113</x:v>
      </x:c>
      <x:c r="N1230" s="43" t="str">
        <x:v>https://www.oldvicarageschool.co.uk</x:v>
      </x:c>
      <x:c r="O1230" s="43" t="str">
        <x:v>01332557130</x:v>
      </x:c>
      <x:c r="P1230" s="43" t="str"/>
      <x:c r="Q1230" s="43" t="str"/>
      <x:c r="R1230" s="43" t="str">
        <x:v>Queued for contact research</x:v>
      </x:c>
      <x:c r="S1230" s="43" t="str">
        <x:v>Not reviewed</x:v>
      </x:c>
      <x:c r="T1230" s="43" t="str">
        <x:v>Hold</x:v>
      </x:c>
      <x:c r="U1230" s="43" t="str">
        <x:v>No</x:v>
      </x:c>
      <x:c r="V1230" s="44"/>
      <x:c r="W1230" s="43" t="str"/>
      <x:c r="X1230" s="43" t="str"/>
      <x:c r="Y1230" s="43" t="str"/>
      <x:c r="Z1230" s="43" t="str">
        <x:v>https://www.get-information-schools.service.gov.uk/Downloads</x:v>
      </x:c>
    </x:row>
    <x:row r="1231">
      <x:c r="A1231" s="43" t="str">
        <x:v>UK independent</x:v>
      </x:c>
      <x:c r="B1231" s="43" t="str">
        <x:v>100513</x:v>
      </x:c>
      <x:c r="C1231" s="43" t="n">
        <x:f>IF(K1231="Boarding school",30,0)+IF(J1231&gt;=18,20,0)+IF(I1231&lt;=11,10,0)+IF(L1231="Has a sixth form",15,0)+IF(M1231&gt;=200,10,0)+IF(N1231&lt;&gt;"",10,0)</x:f>
        <x:v>20</x:v>
      </x:c>
      <x:c r="D1231" s="43" t="str">
        <x:f>IF(C1231&gt;=85,"A",IF(C1231&gt;=65,"B","C"))</x:f>
        <x:v>C</x:v>
      </x:c>
      <x:c r="E1231" s="43" t="str">
        <x:v>Bassett House School</x:v>
      </x:c>
      <x:c r="F1231" s="43" t="str"/>
      <x:c r="G1231" s="43" t="str"/>
      <x:c r="H1231" s="43" t="str">
        <x:v>W10 6JP</x:v>
      </x:c>
      <x:c r="I1231" s="43" t="n">
        <x:v>2</x:v>
      </x:c>
      <x:c r="J1231" s="43" t="n">
        <x:v>11</x:v>
      </x:c>
      <x:c r="K1231" s="43" t="str">
        <x:v>No boarders</x:v>
      </x:c>
      <x:c r="L1231" s="43" t="str">
        <x:v>Does not have a sixth form</x:v>
      </x:c>
      <x:c r="M1231" s="43" t="n">
        <x:v>112</x:v>
      </x:c>
      <x:c r="N1231" s="43" t="str">
        <x:v>https://www.bassetths.org.uk</x:v>
      </x:c>
      <x:c r="O1231" s="43" t="str">
        <x:v>02089690313</x:v>
      </x:c>
      <x:c r="P1231" s="43" t="str"/>
      <x:c r="Q1231" s="43" t="str"/>
      <x:c r="R1231" s="43" t="str">
        <x:v>Queued for contact research</x:v>
      </x:c>
      <x:c r="S1231" s="43" t="str">
        <x:v>Not reviewed</x:v>
      </x:c>
      <x:c r="T1231" s="43" t="str">
        <x:v>Hold</x:v>
      </x:c>
      <x:c r="U1231" s="43" t="str">
        <x:v>No</x:v>
      </x:c>
      <x:c r="V1231" s="44"/>
      <x:c r="W1231" s="43" t="str"/>
      <x:c r="X1231" s="43" t="str"/>
      <x:c r="Y1231" s="43" t="str"/>
      <x:c r="Z1231" s="43" t="str">
        <x:v>https://www.get-information-schools.service.gov.uk/Downloads</x:v>
      </x:c>
    </x:row>
    <x:row r="1232">
      <x:c r="A1232" s="43" t="str">
        <x:v>UK independent</x:v>
      </x:c>
      <x:c r="B1232" s="43" t="str">
        <x:v>103017</x:v>
      </x:c>
      <x:c r="C1232" s="43" t="n">
        <x:f>IF(K1232="Boarding school",30,0)+IF(J1232&gt;=18,20,0)+IF(I1232&lt;=11,10,0)+IF(L1232="Has a sixth form",15,0)+IF(M1232&gt;=200,10,0)+IF(N1232&lt;&gt;"",10,0)</x:f>
        <x:v>20</x:v>
      </x:c>
      <x:c r="D1232" s="43" t="str">
        <x:f>IF(C1232&gt;=85,"A",IF(C1232&gt;=65,"B","C"))</x:f>
        <x:v>C</x:v>
      </x:c>
      <x:c r="E1232" s="43" t="str">
        <x:v>Collingwood School</x:v>
      </x:c>
      <x:c r="F1232" s="43" t="str">
        <x:v>Wallington</x:v>
      </x:c>
      <x:c r="G1232" s="43" t="str">
        <x:v>Surrey</x:v>
      </x:c>
      <x:c r="H1232" s="43" t="str">
        <x:v>SM6 0BD</x:v>
      </x:c>
      <x:c r="I1232" s="43" t="n">
        <x:v>2</x:v>
      </x:c>
      <x:c r="J1232" s="43" t="n">
        <x:v>11</x:v>
      </x:c>
      <x:c r="K1232" s="43" t="str">
        <x:v>No boarders</x:v>
      </x:c>
      <x:c r="L1232" s="43" t="str">
        <x:v>Does not have a sixth form</x:v>
      </x:c>
      <x:c r="M1232" s="43" t="n">
        <x:v>112</x:v>
      </x:c>
      <x:c r="N1232" s="43" t="str">
        <x:v>https://www.collingwoodschool.org.uk</x:v>
      </x:c>
      <x:c r="O1232" s="43" t="str">
        <x:v>02086474607</x:v>
      </x:c>
      <x:c r="P1232" s="43" t="str"/>
      <x:c r="Q1232" s="43" t="str"/>
      <x:c r="R1232" s="43" t="str">
        <x:v>Queued for contact research</x:v>
      </x:c>
      <x:c r="S1232" s="43" t="str">
        <x:v>Not reviewed</x:v>
      </x:c>
      <x:c r="T1232" s="43" t="str">
        <x:v>Hold</x:v>
      </x:c>
      <x:c r="U1232" s="43" t="str">
        <x:v>No</x:v>
      </x:c>
      <x:c r="V1232" s="44"/>
      <x:c r="W1232" s="43" t="str"/>
      <x:c r="X1232" s="43" t="str"/>
      <x:c r="Y1232" s="43" t="str"/>
      <x:c r="Z1232" s="43" t="str">
        <x:v>https://www.get-information-schools.service.gov.uk/Downloads</x:v>
      </x:c>
    </x:row>
    <x:row r="1233">
      <x:c r="A1233" s="43" t="str">
        <x:v>UK independent</x:v>
      </x:c>
      <x:c r="B1233" s="43" t="str">
        <x:v>102360</x:v>
      </x:c>
      <x:c r="C1233" s="43" t="n">
        <x:f>IF(K1233="Boarding school",30,0)+IF(J1233&gt;=18,20,0)+IF(I1233&lt;=11,10,0)+IF(L1233="Has a sixth form",15,0)+IF(M1233&gt;=200,10,0)+IF(N1233&lt;&gt;"",10,0)</x:f>
        <x:v>20</x:v>
      </x:c>
      <x:c r="D1233" s="43" t="str">
        <x:f>IF(C1233&gt;=85,"A",IF(C1233&gt;=65,"B","C"))</x:f>
        <x:v>C</x:v>
      </x:c>
      <x:c r="E1233" s="43" t="str">
        <x:v>Immanuel School</x:v>
      </x:c>
      <x:c r="F1233" s="43" t="str">
        <x:v>Romford</x:v>
      </x:c>
      <x:c r="G1233" s="43" t="str">
        <x:v>Essex</x:v>
      </x:c>
      <x:c r="H1233" s="43" t="str">
        <x:v>RM1 4HR</x:v>
      </x:c>
      <x:c r="I1233" s="43" t="n">
        <x:v>3</x:v>
      </x:c>
      <x:c r="J1233" s="43" t="n">
        <x:v>16</x:v>
      </x:c>
      <x:c r="K1233" s="43" t="str">
        <x:v>No boarders</x:v>
      </x:c>
      <x:c r="L1233" s="43" t="str">
        <x:v>Does not have a sixth form</x:v>
      </x:c>
      <x:c r="M1233" s="43" t="n">
        <x:v>112</x:v>
      </x:c>
      <x:c r="N1233" s="43" t="str">
        <x:v>http://www.immanuel.london/school</x:v>
      </x:c>
      <x:c r="O1233" s="43" t="str">
        <x:v>01708764449</x:v>
      </x:c>
      <x:c r="P1233" s="43" t="str"/>
      <x:c r="Q1233" s="43" t="str"/>
      <x:c r="R1233" s="43" t="str">
        <x:v>Queued for contact research</x:v>
      </x:c>
      <x:c r="S1233" s="43" t="str">
        <x:v>Not reviewed</x:v>
      </x:c>
      <x:c r="T1233" s="43" t="str">
        <x:v>Hold</x:v>
      </x:c>
      <x:c r="U1233" s="43" t="str">
        <x:v>No</x:v>
      </x:c>
      <x:c r="V1233" s="44"/>
      <x:c r="W1233" s="43" t="str"/>
      <x:c r="X1233" s="43" t="str"/>
      <x:c r="Y1233" s="43" t="str"/>
      <x:c r="Z1233" s="43" t="str">
        <x:v>https://www.get-information-schools.service.gov.uk/Downloads</x:v>
      </x:c>
    </x:row>
    <x:row r="1234">
      <x:c r="A1234" s="43" t="str">
        <x:v>UK independent</x:v>
      </x:c>
      <x:c r="B1234" s="43" t="str">
        <x:v>144811</x:v>
      </x:c>
      <x:c r="C1234" s="43" t="n">
        <x:f>IF(K1234="Boarding school",30,0)+IF(J1234&gt;=18,20,0)+IF(I1234&lt;=11,10,0)+IF(L1234="Has a sixth form",15,0)+IF(M1234&gt;=200,10,0)+IF(N1234&lt;&gt;"",10,0)</x:f>
        <x:v>20</x:v>
      </x:c>
      <x:c r="D1234" s="43" t="str">
        <x:f>IF(C1234&gt;=85,"A",IF(C1234&gt;=65,"B","C"))</x:f>
        <x:v>C</x:v>
      </x:c>
      <x:c r="E1234" s="43" t="str">
        <x:v>Rida Girls High School</x:v>
      </x:c>
      <x:c r="F1234" s="43" t="str">
        <x:v>West Yorkshire</x:v>
      </x:c>
      <x:c r="G1234" s="43" t="str"/>
      <x:c r="H1234" s="43" t="str">
        <x:v>WF12 9LX</x:v>
      </x:c>
      <x:c r="I1234" s="43" t="n">
        <x:v>11</x:v>
      </x:c>
      <x:c r="J1234" s="43" t="n">
        <x:v>16</x:v>
      </x:c>
      <x:c r="K1234" s="43" t="str">
        <x:v>No boarders</x:v>
      </x:c>
      <x:c r="L1234" s="43" t="str">
        <x:v>Does not have a sixth form</x:v>
      </x:c>
      <x:c r="M1234" s="43" t="n">
        <x:v>112</x:v>
      </x:c>
      <x:c r="N1234" s="43" t="str">
        <x:v>https://www.rghs.org.uk</x:v>
      </x:c>
      <x:c r="O1234" s="43" t="str">
        <x:v>01924925915</x:v>
      </x:c>
      <x:c r="P1234" s="43" t="str"/>
      <x:c r="Q1234" s="43" t="str"/>
      <x:c r="R1234" s="43" t="str">
        <x:v>Queued for contact research</x:v>
      </x:c>
      <x:c r="S1234" s="43" t="str">
        <x:v>Not reviewed</x:v>
      </x:c>
      <x:c r="T1234" s="43" t="str">
        <x:v>Hold</x:v>
      </x:c>
      <x:c r="U1234" s="43" t="str">
        <x:v>No</x:v>
      </x:c>
      <x:c r="V1234" s="44"/>
      <x:c r="W1234" s="43" t="str"/>
      <x:c r="X1234" s="43" t="str"/>
      <x:c r="Y1234" s="43" t="str"/>
      <x:c r="Z1234" s="43" t="str">
        <x:v>https://www.get-information-schools.service.gov.uk/Downloads</x:v>
      </x:c>
    </x:row>
    <x:row r="1235">
      <x:c r="A1235" s="43" t="str">
        <x:v>UK independent</x:v>
      </x:c>
      <x:c r="B1235" s="43" t="str">
        <x:v>117644</x:v>
      </x:c>
      <x:c r="C1235" s="43" t="n">
        <x:f>IF(K1235="Boarding school",30,0)+IF(J1235&gt;=18,20,0)+IF(I1235&lt;=11,10,0)+IF(L1235="Has a sixth form",15,0)+IF(M1235&gt;=200,10,0)+IF(N1235&lt;&gt;"",10,0)</x:f>
        <x:v>20</x:v>
      </x:c>
      <x:c r="D1235" s="43" t="str">
        <x:f>IF(C1235&gt;=85,"A",IF(C1235&gt;=65,"B","C"))</x:f>
        <x:v>C</x:v>
      </x:c>
      <x:c r="E1235" s="43" t="str">
        <x:v>Stormont School</x:v>
      </x:c>
      <x:c r="F1235" s="43" t="str">
        <x:v>Potters Bar</x:v>
      </x:c>
      <x:c r="G1235" s="43" t="str">
        <x:v>Hertfordshire</x:v>
      </x:c>
      <x:c r="H1235" s="43" t="str">
        <x:v>EN6 5HA</x:v>
      </x:c>
      <x:c r="I1235" s="43" t="n">
        <x:v>4</x:v>
      </x:c>
      <x:c r="J1235" s="43" t="n">
        <x:v>11</x:v>
      </x:c>
      <x:c r="K1235" s="43" t="str">
        <x:v>No boarders</x:v>
      </x:c>
      <x:c r="L1235" s="43" t="str">
        <x:v>Does not have a sixth form</x:v>
      </x:c>
      <x:c r="M1235" s="43" t="n">
        <x:v>112</x:v>
      </x:c>
      <x:c r="N1235" s="43" t="str">
        <x:v>https://www.stormontschool.org</x:v>
      </x:c>
      <x:c r="O1235" s="43" t="str">
        <x:v>01707654037</x:v>
      </x:c>
      <x:c r="P1235" s="43" t="str"/>
      <x:c r="Q1235" s="43" t="str"/>
      <x:c r="R1235" s="43" t="str">
        <x:v>Queued for contact research</x:v>
      </x:c>
      <x:c r="S1235" s="43" t="str">
        <x:v>Not reviewed</x:v>
      </x:c>
      <x:c r="T1235" s="43" t="str">
        <x:v>Hold</x:v>
      </x:c>
      <x:c r="U1235" s="43" t="str">
        <x:v>No</x:v>
      </x:c>
      <x:c r="V1235" s="44"/>
      <x:c r="W1235" s="43" t="str"/>
      <x:c r="X1235" s="43" t="str"/>
      <x:c r="Y1235" s="43" t="str"/>
      <x:c r="Z1235" s="43" t="str">
        <x:v>https://www.get-information-schools.service.gov.uk/Downloads</x:v>
      </x:c>
    </x:row>
    <x:row r="1236">
      <x:c r="A1236" s="43" t="str">
        <x:v>UK independent</x:v>
      </x:c>
      <x:c r="B1236" s="43" t="str">
        <x:v>124481</x:v>
      </x:c>
      <x:c r="C1236" s="43" t="n">
        <x:f>IF(K1236="Boarding school",30,0)+IF(J1236&gt;=18,20,0)+IF(I1236&lt;=11,10,0)+IF(L1236="Has a sixth form",15,0)+IF(M1236&gt;=200,10,0)+IF(N1236&lt;&gt;"",10,0)</x:f>
        <x:v>20</x:v>
      </x:c>
      <x:c r="D1236" s="43" t="str">
        <x:f>IF(C1236&gt;=85,"A",IF(C1236&gt;=65,"B","C"))</x:f>
        <x:v>C</x:v>
      </x:c>
      <x:c r="E1236" s="43" t="str">
        <x:v>Edenhurst Preparatory School</x:v>
      </x:c>
      <x:c r="F1236" s="43" t="str">
        <x:v>Newcastle-under-Lyme</x:v>
      </x:c>
      <x:c r="G1236" s="43" t="str">
        <x:v>Staffordshire</x:v>
      </x:c>
      <x:c r="H1236" s="43" t="str">
        <x:v>ST5 2PU</x:v>
      </x:c>
      <x:c r="I1236" s="43" t="n">
        <x:v>0</x:v>
      </x:c>
      <x:c r="J1236" s="43" t="n">
        <x:v>11</x:v>
      </x:c>
      <x:c r="K1236" s="43" t="str">
        <x:v>No boarders</x:v>
      </x:c>
      <x:c r="L1236" s="43" t="str">
        <x:v>Does not have a sixth form</x:v>
      </x:c>
      <x:c r="M1236" s="43" t="n">
        <x:v>111</x:v>
      </x:c>
      <x:c r="N1236" s="43" t="str">
        <x:v>https://www.edenhurst.co.uk/</x:v>
      </x:c>
      <x:c r="O1236" s="43" t="str">
        <x:v>01782619348</x:v>
      </x:c>
      <x:c r="P1236" s="43" t="str"/>
      <x:c r="Q1236" s="43" t="str"/>
      <x:c r="R1236" s="43" t="str">
        <x:v>Queued for contact research</x:v>
      </x:c>
      <x:c r="S1236" s="43" t="str">
        <x:v>Not reviewed</x:v>
      </x:c>
      <x:c r="T1236" s="43" t="str">
        <x:v>Hold</x:v>
      </x:c>
      <x:c r="U1236" s="43" t="str">
        <x:v>No</x:v>
      </x:c>
      <x:c r="V1236" s="44"/>
      <x:c r="W1236" s="43" t="str"/>
      <x:c r="X1236" s="43" t="str"/>
      <x:c r="Y1236" s="43" t="str"/>
      <x:c r="Z1236" s="43" t="str">
        <x:v>https://www.get-information-schools.service.gov.uk/Downloads</x:v>
      </x:c>
    </x:row>
    <x:row r="1237">
      <x:c r="A1237" s="43" t="str">
        <x:v>UK independent</x:v>
      </x:c>
      <x:c r="B1237" s="43" t="str">
        <x:v>139239</x:v>
      </x:c>
      <x:c r="C1237" s="43" t="n">
        <x:f>IF(K1237="Boarding school",30,0)+IF(J1237&gt;=18,20,0)+IF(I1237&lt;=11,10,0)+IF(L1237="Has a sixth form",15,0)+IF(M1237&gt;=200,10,0)+IF(N1237&lt;&gt;"",10,0)</x:f>
        <x:v>20</x:v>
      </x:c>
      <x:c r="D1237" s="43" t="str">
        <x:f>IF(C1237&gt;=85,"A",IF(C1237&gt;=65,"B","C"))</x:f>
        <x:v>C</x:v>
      </x:c>
      <x:c r="E1237" s="43" t="str">
        <x:v>Eifa International School</x:v>
      </x:c>
      <x:c r="F1237" s="43" t="str">
        <x:v>London</x:v>
      </x:c>
      <x:c r="G1237" s="43" t="str"/>
      <x:c r="H1237" s="43" t="str">
        <x:v>W1B 1LS</x:v>
      </x:c>
      <x:c r="I1237" s="43" t="n">
        <x:v>2</x:v>
      </x:c>
      <x:c r="J1237" s="43" t="n">
        <x:v>14</x:v>
      </x:c>
      <x:c r="K1237" s="43" t="str">
        <x:v>No boarders</x:v>
      </x:c>
      <x:c r="L1237" s="43" t="str">
        <x:v>Does not have a sixth form</x:v>
      </x:c>
      <x:c r="M1237" s="43" t="n">
        <x:v>111</x:v>
      </x:c>
      <x:c r="N1237" s="43" t="str">
        <x:v>https://www.eifaschool.com</x:v>
      </x:c>
      <x:c r="O1237" s="43" t="str">
        <x:v>02076375351</x:v>
      </x:c>
      <x:c r="P1237" s="43" t="str"/>
      <x:c r="Q1237" s="43" t="str"/>
      <x:c r="R1237" s="43" t="str">
        <x:v>Queued for contact research</x:v>
      </x:c>
      <x:c r="S1237" s="43" t="str">
        <x:v>Not reviewed</x:v>
      </x:c>
      <x:c r="T1237" s="43" t="str">
        <x:v>Hold</x:v>
      </x:c>
      <x:c r="U1237" s="43" t="str">
        <x:v>No</x:v>
      </x:c>
      <x:c r="V1237" s="44"/>
      <x:c r="W1237" s="43" t="str"/>
      <x:c r="X1237" s="43" t="str"/>
      <x:c r="Y1237" s="43" t="str"/>
      <x:c r="Z1237" s="43" t="str">
        <x:v>https://www.get-information-schools.service.gov.uk/Downloads</x:v>
      </x:c>
    </x:row>
    <x:row r="1238">
      <x:c r="A1238" s="43" t="str">
        <x:v>UK independent</x:v>
      </x:c>
      <x:c r="B1238" s="43" t="str">
        <x:v>101834</x:v>
      </x:c>
      <x:c r="C1238" s="43" t="n">
        <x:f>IF(K1238="Boarding school",30,0)+IF(J1238&gt;=18,20,0)+IF(I1238&lt;=11,10,0)+IF(L1238="Has a sixth form",15,0)+IF(M1238&gt;=200,10,0)+IF(N1238&lt;&gt;"",10,0)</x:f>
        <x:v>20</x:v>
      </x:c>
      <x:c r="D1238" s="43" t="str">
        <x:f>IF(C1238&gt;=85,"A",IF(C1238&gt;=65,"B","C"))</x:f>
        <x:v>C</x:v>
      </x:c>
      <x:c r="E1238" s="43" t="str">
        <x:v>Laleham Lea School</x:v>
      </x:c>
      <x:c r="F1238" s="43" t="str">
        <x:v>Purley</x:v>
      </x:c>
      <x:c r="G1238" s="43" t="str">
        <x:v>Surrey</x:v>
      </x:c>
      <x:c r="H1238" s="43" t="str">
        <x:v>CR8 3JJ</x:v>
      </x:c>
      <x:c r="I1238" s="43" t="n">
        <x:v>3</x:v>
      </x:c>
      <x:c r="J1238" s="43" t="n">
        <x:v>11</x:v>
      </x:c>
      <x:c r="K1238" s="43" t="str">
        <x:v>No boarders</x:v>
      </x:c>
      <x:c r="L1238" s="43" t="str">
        <x:v>Does not have a sixth form</x:v>
      </x:c>
      <x:c r="M1238" s="43" t="n">
        <x:v>111</x:v>
      </x:c>
      <x:c r="N1238" s="43" t="str">
        <x:v>https://www.lalehamlea.co.uk</x:v>
      </x:c>
      <x:c r="O1238" s="43" t="str">
        <x:v>02086603351</x:v>
      </x:c>
      <x:c r="P1238" s="43" t="str"/>
      <x:c r="Q1238" s="43" t="str"/>
      <x:c r="R1238" s="43" t="str">
        <x:v>Queued for contact research</x:v>
      </x:c>
      <x:c r="S1238" s="43" t="str">
        <x:v>Not reviewed</x:v>
      </x:c>
      <x:c r="T1238" s="43" t="str">
        <x:v>Hold</x:v>
      </x:c>
      <x:c r="U1238" s="43" t="str">
        <x:v>No</x:v>
      </x:c>
      <x:c r="V1238" s="44"/>
      <x:c r="W1238" s="43" t="str"/>
      <x:c r="X1238" s="43" t="str"/>
      <x:c r="Y1238" s="43" t="str"/>
      <x:c r="Z1238" s="43" t="str">
        <x:v>https://www.get-information-schools.service.gov.uk/Downloads</x:v>
      </x:c>
    </x:row>
    <x:row r="1239">
      <x:c r="A1239" s="43" t="str">
        <x:v>UK independent</x:v>
      </x:c>
      <x:c r="B1239" s="43" t="str">
        <x:v>102250</x:v>
      </x:c>
      <x:c r="C1239" s="43" t="n">
        <x:f>IF(K1239="Boarding school",30,0)+IF(J1239&gt;=18,20,0)+IF(I1239&lt;=11,10,0)+IF(L1239="Has a sixth form",15,0)+IF(M1239&gt;=200,10,0)+IF(N1239&lt;&gt;"",10,0)</x:f>
        <x:v>20</x:v>
      </x:c>
      <x:c r="D1239" s="43" t="str">
        <x:f>IF(C1239&gt;=85,"A",IF(C1239&gt;=65,"B","C"))</x:f>
        <x:v>C</x:v>
      </x:c>
      <x:c r="E1239" s="43" t="str">
        <x:v>Alpha Preparatory School</x:v>
      </x:c>
      <x:c r="F1239" s="43" t="str">
        <x:v>Harrow</x:v>
      </x:c>
      <x:c r="G1239" s="43" t="str"/>
      <x:c r="H1239" s="43" t="str">
        <x:v>HA1 1SH</x:v>
      </x:c>
      <x:c r="I1239" s="43" t="n">
        <x:v>3</x:v>
      </x:c>
      <x:c r="J1239" s="43" t="n">
        <x:v>11</x:v>
      </x:c>
      <x:c r="K1239" s="43" t="str">
        <x:v>No boarders</x:v>
      </x:c>
      <x:c r="L1239" s="43" t="str">
        <x:v>Does not have a sixth form</x:v>
      </x:c>
      <x:c r="M1239" s="43" t="n">
        <x:v>110</x:v>
      </x:c>
      <x:c r="N1239" s="43" t="str">
        <x:v>https://www.alpha.harrow.sch.uk</x:v>
      </x:c>
      <x:c r="O1239" s="43" t="str">
        <x:v>02084271471</x:v>
      </x:c>
      <x:c r="P1239" s="43" t="str"/>
      <x:c r="Q1239" s="43" t="str"/>
      <x:c r="R1239" s="43" t="str">
        <x:v>Queued for contact research</x:v>
      </x:c>
      <x:c r="S1239" s="43" t="str">
        <x:v>Not reviewed</x:v>
      </x:c>
      <x:c r="T1239" s="43" t="str">
        <x:v>Hold</x:v>
      </x:c>
      <x:c r="U1239" s="43" t="str">
        <x:v>No</x:v>
      </x:c>
      <x:c r="V1239" s="44"/>
      <x:c r="W1239" s="43" t="str"/>
      <x:c r="X1239" s="43" t="str"/>
      <x:c r="Y1239" s="43" t="str"/>
      <x:c r="Z1239" s="43" t="str">
        <x:v>https://www.get-information-schools.service.gov.uk/Downloads</x:v>
      </x:c>
    </x:row>
    <x:row r="1240">
      <x:c r="A1240" s="43" t="str">
        <x:v>UK independent</x:v>
      </x:c>
      <x:c r="B1240" s="43" t="str">
        <x:v>141560</x:v>
      </x:c>
      <x:c r="C1240" s="43" t="n">
        <x:f>IF(K1240="Boarding school",30,0)+IF(J1240&gt;=18,20,0)+IF(I1240&lt;=11,10,0)+IF(L1240="Has a sixth form",15,0)+IF(M1240&gt;=200,10,0)+IF(N1240&lt;&gt;"",10,0)</x:f>
        <x:v>20</x:v>
      </x:c>
      <x:c r="D1240" s="43" t="str">
        <x:f>IF(C1240&gt;=85,"A",IF(C1240&gt;=65,"B","C"))</x:f>
        <x:v>C</x:v>
      </x:c>
      <x:c r="E1240" s="43" t="str">
        <x:v>Impact Independent School</x:v>
      </x:c>
      <x:c r="F1240" s="43" t="str"/>
      <x:c r="G1240" s="43" t="str"/>
      <x:c r="H1240" s="43" t="str">
        <x:v>B64 6JA</x:v>
      </x:c>
      <x:c r="I1240" s="43" t="n">
        <x:v>11</x:v>
      </x:c>
      <x:c r="J1240" s="43" t="n">
        <x:v>16</x:v>
      </x:c>
      <x:c r="K1240" s="43" t="str">
        <x:v>No boarders</x:v>
      </x:c>
      <x:c r="L1240" s="43" t="str">
        <x:v>Does not have a sixth form</x:v>
      </x:c>
      <x:c r="M1240" s="43" t="n">
        <x:v>110</x:v>
      </x:c>
      <x:c r="N1240" s="43" t="str">
        <x:v>https://www.impactschool.co.uk/</x:v>
      </x:c>
      <x:c r="O1240" s="43" t="str">
        <x:v>01215022645</x:v>
      </x:c>
      <x:c r="P1240" s="43" t="str"/>
      <x:c r="Q1240" s="43" t="str"/>
      <x:c r="R1240" s="43" t="str">
        <x:v>Queued for contact research</x:v>
      </x:c>
      <x:c r="S1240" s="43" t="str">
        <x:v>Not reviewed</x:v>
      </x:c>
      <x:c r="T1240" s="43" t="str">
        <x:v>Hold</x:v>
      </x:c>
      <x:c r="U1240" s="43" t="str">
        <x:v>No</x:v>
      </x:c>
      <x:c r="V1240" s="44"/>
      <x:c r="W1240" s="43" t="str"/>
      <x:c r="X1240" s="43" t="str"/>
      <x:c r="Y1240" s="43" t="str"/>
      <x:c r="Z1240" s="43" t="str">
        <x:v>https://www.get-information-schools.service.gov.uk/Downloads</x:v>
      </x:c>
    </x:row>
    <x:row r="1241">
      <x:c r="A1241" s="43" t="str">
        <x:v>UK independent</x:v>
      </x:c>
      <x:c r="B1241" s="43" t="str">
        <x:v>146729</x:v>
      </x:c>
      <x:c r="C1241" s="43" t="n">
        <x:f>IF(K1241="Boarding school",30,0)+IF(J1241&gt;=18,20,0)+IF(I1241&lt;=11,10,0)+IF(L1241="Has a sixth form",15,0)+IF(M1241&gt;=200,10,0)+IF(N1241&lt;&gt;"",10,0)</x:f>
        <x:v>20</x:v>
      </x:c>
      <x:c r="D1241" s="43" t="str">
        <x:f>IF(C1241&gt;=85,"A",IF(C1241&gt;=65,"B","C"))</x:f>
        <x:v>C</x:v>
      </x:c>
      <x:c r="E1241" s="43" t="str">
        <x:v>Al Risalah Boys' School</x:v>
      </x:c>
      <x:c r="F1241" s="43" t="str">
        <x:v>London</x:v>
      </x:c>
      <x:c r="G1241" s="43" t="str"/>
      <x:c r="H1241" s="43" t="str">
        <x:v>SW17 7TJ</x:v>
      </x:c>
      <x:c r="I1241" s="43" t="n">
        <x:v>11</x:v>
      </x:c>
      <x:c r="J1241" s="43" t="n">
        <x:v>16</x:v>
      </x:c>
      <x:c r="K1241" s="43" t="str">
        <x:v>No boarders</x:v>
      </x:c>
      <x:c r="L1241" s="43" t="str">
        <x:v>Does not have a sixth form</x:v>
      </x:c>
      <x:c r="M1241" s="43" t="n">
        <x:v>109</x:v>
      </x:c>
      <x:c r="N1241" s="43" t="str">
        <x:v>https://alrisalahboysschool.co.uk/indexB_.php</x:v>
      </x:c>
      <x:c r="O1241" s="43" t="str">
        <x:v>02087676057</x:v>
      </x:c>
      <x:c r="P1241" s="43" t="str"/>
      <x:c r="Q1241" s="43" t="str"/>
      <x:c r="R1241" s="43" t="str">
        <x:v>Queued for contact research</x:v>
      </x:c>
      <x:c r="S1241" s="43" t="str">
        <x:v>Not reviewed</x:v>
      </x:c>
      <x:c r="T1241" s="43" t="str">
        <x:v>Hold</x:v>
      </x:c>
      <x:c r="U1241" s="43" t="str">
        <x:v>No</x:v>
      </x:c>
      <x:c r="V1241" s="44"/>
      <x:c r="W1241" s="43" t="str"/>
      <x:c r="X1241" s="43" t="str"/>
      <x:c r="Y1241" s="43" t="str"/>
      <x:c r="Z1241" s="43" t="str">
        <x:v>https://www.get-information-schools.service.gov.uk/Downloads</x:v>
      </x:c>
    </x:row>
    <x:row r="1242">
      <x:c r="A1242" s="43" t="str">
        <x:v>UK independent</x:v>
      </x:c>
      <x:c r="B1242" s="43" t="str">
        <x:v>112075</x:v>
      </x:c>
      <x:c r="C1242" s="43" t="n">
        <x:f>IF(K1242="Boarding school",30,0)+IF(J1242&gt;=18,20,0)+IF(I1242&lt;=11,10,0)+IF(L1242="Has a sixth form",15,0)+IF(M1242&gt;=200,10,0)+IF(N1242&lt;&gt;"",10,0)</x:f>
        <x:v>20</x:v>
      </x:c>
      <x:c r="D1242" s="43" t="str">
        <x:f>IF(C1242&gt;=85,"A",IF(C1242&gt;=65,"B","C"))</x:f>
        <x:v>C</x:v>
      </x:c>
      <x:c r="E1242" s="43" t="str">
        <x:v>Polwhele House School</x:v>
      </x:c>
      <x:c r="F1242" s="43" t="str">
        <x:v>Truro</x:v>
      </x:c>
      <x:c r="G1242" s="43" t="str"/>
      <x:c r="H1242" s="43" t="str">
        <x:v>TR4 9AE</x:v>
      </x:c>
      <x:c r="I1242" s="43" t="n">
        <x:v>2</x:v>
      </x:c>
      <x:c r="J1242" s="43" t="n">
        <x:v>17</x:v>
      </x:c>
      <x:c r="K1242" s="43" t="str">
        <x:v>No boarders</x:v>
      </x:c>
      <x:c r="L1242" s="43" t="str">
        <x:v>Does not have a sixth form</x:v>
      </x:c>
      <x:c r="M1242" s="43" t="n">
        <x:v>109</x:v>
      </x:c>
      <x:c r="N1242" s="43" t="str">
        <x:v>https://www.polwhelehouse.co.uk</x:v>
      </x:c>
      <x:c r="O1242" s="43" t="str">
        <x:v>01872273011</x:v>
      </x:c>
      <x:c r="P1242" s="43" t="str"/>
      <x:c r="Q1242" s="43" t="str"/>
      <x:c r="R1242" s="43" t="str">
        <x:v>Queued for contact research</x:v>
      </x:c>
      <x:c r="S1242" s="43" t="str">
        <x:v>Not reviewed</x:v>
      </x:c>
      <x:c r="T1242" s="43" t="str">
        <x:v>Hold</x:v>
      </x:c>
      <x:c r="U1242" s="43" t="str">
        <x:v>No</x:v>
      </x:c>
      <x:c r="V1242" s="44"/>
      <x:c r="W1242" s="43" t="str"/>
      <x:c r="X1242" s="43" t="str"/>
      <x:c r="Y1242" s="43" t="str"/>
      <x:c r="Z1242" s="43" t="str">
        <x:v>https://www.get-information-schools.service.gov.uk/Downloads</x:v>
      </x:c>
    </x:row>
    <x:row r="1243">
      <x:c r="A1243" s="43" t="str">
        <x:v>UK independent</x:v>
      </x:c>
      <x:c r="B1243" s="43" t="str">
        <x:v>135219</x:v>
      </x:c>
      <x:c r="C1243" s="43" t="n">
        <x:f>IF(K1243="Boarding school",30,0)+IF(J1243&gt;=18,20,0)+IF(I1243&lt;=11,10,0)+IF(L1243="Has a sixth form",15,0)+IF(M1243&gt;=200,10,0)+IF(N1243&lt;&gt;"",10,0)</x:f>
        <x:v>20</x:v>
      </x:c>
      <x:c r="D1243" s="43" t="str">
        <x:f>IF(C1243&gt;=85,"A",IF(C1243&gt;=65,"B","C"))</x:f>
        <x:v>C</x:v>
      </x:c>
      <x:c r="E1243" s="43" t="str">
        <x:v>Rawdhatul Uloom</x:v>
      </x:c>
      <x:c r="F1243" s="43" t="str">
        <x:v>Burnley</x:v>
      </x:c>
      <x:c r="G1243" s="43" t="str">
        <x:v>Lancashire</x:v>
      </x:c>
      <x:c r="H1243" s="43" t="str">
        <x:v>BB10 1LU</x:v>
      </x:c>
      <x:c r="I1243" s="43" t="n">
        <x:v>4</x:v>
      </x:c>
      <x:c r="J1243" s="43" t="n">
        <x:v>11</x:v>
      </x:c>
      <x:c r="K1243" s="43" t="str">
        <x:v>No boarders</x:v>
      </x:c>
      <x:c r="L1243" s="43" t="str">
        <x:v>Does not have a sixth form</x:v>
      </x:c>
      <x:c r="M1243" s="43" t="n">
        <x:v>109</x:v>
      </x:c>
      <x:c r="N1243" s="43" t="str">
        <x:v>https://www.rawdhaprimary.co.uk</x:v>
      </x:c>
      <x:c r="O1243" s="43" t="str">
        <x:v>01282832170</x:v>
      </x:c>
      <x:c r="P1243" s="43" t="str"/>
      <x:c r="Q1243" s="43" t="str"/>
      <x:c r="R1243" s="43" t="str">
        <x:v>Queued for contact research</x:v>
      </x:c>
      <x:c r="S1243" s="43" t="str">
        <x:v>Not reviewed</x:v>
      </x:c>
      <x:c r="T1243" s="43" t="str">
        <x:v>Hold</x:v>
      </x:c>
      <x:c r="U1243" s="43" t="str">
        <x:v>No</x:v>
      </x:c>
      <x:c r="V1243" s="44"/>
      <x:c r="W1243" s="43" t="str"/>
      <x:c r="X1243" s="43" t="str"/>
      <x:c r="Y1243" s="43" t="str"/>
      <x:c r="Z1243" s="43" t="str">
        <x:v>https://www.get-information-schools.service.gov.uk/Downloads</x:v>
      </x:c>
    </x:row>
    <x:row r="1244">
      <x:c r="A1244" s="43" t="str">
        <x:v>UK independent</x:v>
      </x:c>
      <x:c r="B1244" s="43" t="str">
        <x:v>125420</x:v>
      </x:c>
      <x:c r="C1244" s="43" t="n">
        <x:f>IF(K1244="Boarding school",30,0)+IF(J1244&gt;=18,20,0)+IF(I1244&lt;=11,10,0)+IF(L1244="Has a sixth form",15,0)+IF(M1244&gt;=200,10,0)+IF(N1244&lt;&gt;"",10,0)</x:f>
        <x:v>20</x:v>
      </x:c>
      <x:c r="D1244" s="43" t="str">
        <x:f>IF(C1244&gt;=85,"A",IF(C1244&gt;=65,"B","C"))</x:f>
        <x:v>C</x:v>
      </x:c>
      <x:c r="E1244" s="43" t="str">
        <x:v>Essendene Lodge School</x:v>
      </x:c>
      <x:c r="F1244" s="43" t="str">
        <x:v>Caterham</x:v>
      </x:c>
      <x:c r="G1244" s="43" t="str">
        <x:v>Surrey</x:v>
      </x:c>
      <x:c r="H1244" s="43" t="str">
        <x:v>CR3 5PB</x:v>
      </x:c>
      <x:c r="I1244" s="43" t="n">
        <x:v>2</x:v>
      </x:c>
      <x:c r="J1244" s="43" t="n">
        <x:v>11</x:v>
      </x:c>
      <x:c r="K1244" s="43" t="str">
        <x:v>No boarders</x:v>
      </x:c>
      <x:c r="L1244" s="43" t="str">
        <x:v>Does not have a sixth form</x:v>
      </x:c>
      <x:c r="M1244" s="43" t="n">
        <x:v>108</x:v>
      </x:c>
      <x:c r="N1244" s="43" t="str">
        <x:v>https://www.essendenelodge.co.uk</x:v>
      </x:c>
      <x:c r="O1244" s="43" t="str">
        <x:v>01883348349</x:v>
      </x:c>
      <x:c r="P1244" s="43" t="str"/>
      <x:c r="Q1244" s="43" t="str"/>
      <x:c r="R1244" s="43" t="str">
        <x:v>Queued for contact research</x:v>
      </x:c>
      <x:c r="S1244" s="43" t="str">
        <x:v>Not reviewed</x:v>
      </x:c>
      <x:c r="T1244" s="43" t="str">
        <x:v>Hold</x:v>
      </x:c>
      <x:c r="U1244" s="43" t="str">
        <x:v>No</x:v>
      </x:c>
      <x:c r="V1244" s="44"/>
      <x:c r="W1244" s="43" t="str"/>
      <x:c r="X1244" s="43" t="str"/>
      <x:c r="Y1244" s="43" t="str"/>
      <x:c r="Z1244" s="43" t="str">
        <x:v>https://www.get-information-schools.service.gov.uk/Downloads</x:v>
      </x:c>
    </x:row>
    <x:row r="1245">
      <x:c r="A1245" s="43" t="str">
        <x:v>UK independent</x:v>
      </x:c>
      <x:c r="B1245" s="43" t="str">
        <x:v>101571</x:v>
      </x:c>
      <x:c r="C1245" s="43" t="n">
        <x:f>IF(K1245="Boarding school",30,0)+IF(J1245&gt;=18,20,0)+IF(I1245&lt;=11,10,0)+IF(L1245="Has a sixth form",15,0)+IF(M1245&gt;=200,10,0)+IF(N1245&lt;&gt;"",10,0)</x:f>
        <x:v>20</x:v>
      </x:c>
      <x:c r="D1245" s="43" t="str">
        <x:f>IF(C1245&gt;=85,"A",IF(C1245&gt;=65,"B","C"))</x:f>
        <x:v>C</x:v>
      </x:c>
      <x:c r="E1245" s="43" t="str">
        <x:v>St Christopher's Prep School</x:v>
      </x:c>
      <x:c r="F1245" s="43" t="str">
        <x:v>Wembley</x:v>
      </x:c>
      <x:c r="G1245" s="43" t="str">
        <x:v>Middlesex</x:v>
      </x:c>
      <x:c r="H1245" s="43" t="str">
        <x:v>HA9 8HE</x:v>
      </x:c>
      <x:c r="I1245" s="43" t="n">
        <x:v>2</x:v>
      </x:c>
      <x:c r="J1245" s="43" t="n">
        <x:v>11</x:v>
      </x:c>
      <x:c r="K1245" s="43" t="str">
        <x:v>No boarders</x:v>
      </x:c>
      <x:c r="L1245" s="43" t="str">
        <x:v>Does not have a sixth form</x:v>
      </x:c>
      <x:c r="M1245" s="43" t="n">
        <x:v>108</x:v>
      </x:c>
      <x:c r="N1245" s="43" t="str">
        <x:v>http://www.stchristophersschool.org.uk</x:v>
      </x:c>
      <x:c r="O1245" s="43" t="str">
        <x:v>02089025069</x:v>
      </x:c>
      <x:c r="P1245" s="43" t="str"/>
      <x:c r="Q1245" s="43" t="str"/>
      <x:c r="R1245" s="43" t="str">
        <x:v>Queued for contact research</x:v>
      </x:c>
      <x:c r="S1245" s="43" t="str">
        <x:v>Not reviewed</x:v>
      </x:c>
      <x:c r="T1245" s="43" t="str">
        <x:v>Hold</x:v>
      </x:c>
      <x:c r="U1245" s="43" t="str">
        <x:v>No</x:v>
      </x:c>
      <x:c r="V1245" s="44"/>
      <x:c r="W1245" s="43" t="str"/>
      <x:c r="X1245" s="43" t="str"/>
      <x:c r="Y1245" s="43" t="str"/>
      <x:c r="Z1245" s="43" t="str">
        <x:v>https://www.get-information-schools.service.gov.uk/Downloads</x:v>
      </x:c>
    </x:row>
    <x:row r="1246">
      <x:c r="A1246" s="43" t="str">
        <x:v>UK independent</x:v>
      </x:c>
      <x:c r="B1246" s="43" t="str">
        <x:v>102869</x:v>
      </x:c>
      <x:c r="C1246" s="43" t="n">
        <x:f>IF(K1246="Boarding school",30,0)+IF(J1246&gt;=18,20,0)+IF(I1246&lt;=11,10,0)+IF(L1246="Has a sixth form",15,0)+IF(M1246&gt;=200,10,0)+IF(N1246&lt;&gt;"",10,0)</x:f>
        <x:v>20</x:v>
      </x:c>
      <x:c r="D1246" s="43" t="str">
        <x:f>IF(C1246&gt;=85,"A",IF(C1246&gt;=65,"B","C"))</x:f>
        <x:v>C</x:v>
      </x:c>
      <x:c r="E1246" s="43" t="str">
        <x:v>Eastcourt Independent School</x:v>
      </x:c>
      <x:c r="F1246" s="43" t="str">
        <x:v>Ilford</x:v>
      </x:c>
      <x:c r="G1246" s="43" t="str">
        <x:v>Essex</x:v>
      </x:c>
      <x:c r="H1246" s="43" t="str">
        <x:v>IG3 8UW</x:v>
      </x:c>
      <x:c r="I1246" s="43" t="n">
        <x:v>3</x:v>
      </x:c>
      <x:c r="J1246" s="43" t="n">
        <x:v>11</x:v>
      </x:c>
      <x:c r="K1246" s="43" t="str">
        <x:v>No boarders</x:v>
      </x:c>
      <x:c r="L1246" s="43" t="str">
        <x:v>Does not have a sixth form</x:v>
      </x:c>
      <x:c r="M1246" s="43" t="n">
        <x:v>107</x:v>
      </x:c>
      <x:c r="N1246" s="43" t="str">
        <x:v>https://www.eastcourtschool.org.uk</x:v>
      </x:c>
      <x:c r="O1246" s="43" t="str">
        <x:v>02085905472</x:v>
      </x:c>
      <x:c r="P1246" s="43" t="str"/>
      <x:c r="Q1246" s="43" t="str"/>
      <x:c r="R1246" s="43" t="str">
        <x:v>Queued for contact research</x:v>
      </x:c>
      <x:c r="S1246" s="43" t="str">
        <x:v>Not reviewed</x:v>
      </x:c>
      <x:c r="T1246" s="43" t="str">
        <x:v>Hold</x:v>
      </x:c>
      <x:c r="U1246" s="43" t="str">
        <x:v>No</x:v>
      </x:c>
      <x:c r="V1246" s="44"/>
      <x:c r="W1246" s="43" t="str"/>
      <x:c r="X1246" s="43" t="str"/>
      <x:c r="Y1246" s="43" t="str"/>
      <x:c r="Z1246" s="43" t="str">
        <x:v>https://www.get-information-schools.service.gov.uk/Downloads</x:v>
      </x:c>
    </x:row>
    <x:row r="1247">
      <x:c r="A1247" s="43" t="str">
        <x:v>UK independent</x:v>
      </x:c>
      <x:c r="B1247" s="43" t="str">
        <x:v>115388</x:v>
      </x:c>
      <x:c r="C1247" s="43" t="n">
        <x:f>IF(K1247="Boarding school",30,0)+IF(J1247&gt;=18,20,0)+IF(I1247&lt;=11,10,0)+IF(L1247="Has a sixth form",15,0)+IF(M1247&gt;=200,10,0)+IF(N1247&lt;&gt;"",10,0)</x:f>
        <x:v>20</x:v>
      </x:c>
      <x:c r="D1247" s="43" t="str">
        <x:f>IF(C1247&gt;=85,"A",IF(C1247&gt;=65,"B","C"))</x:f>
        <x:v>C</x:v>
      </x:c>
      <x:c r="E1247" s="43" t="str">
        <x:v>St Anne's School</x:v>
      </x:c>
      <x:c r="F1247" s="43" t="str">
        <x:v>Chelmsford</x:v>
      </x:c>
      <x:c r="G1247" s="43" t="str">
        <x:v>Essex</x:v>
      </x:c>
      <x:c r="H1247" s="43" t="str">
        <x:v>CM2 0AW</x:v>
      </x:c>
      <x:c r="I1247" s="43" t="n">
        <x:v>3</x:v>
      </x:c>
      <x:c r="J1247" s="43" t="n">
        <x:v>11</x:v>
      </x:c>
      <x:c r="K1247" s="43" t="str">
        <x:v>No boarders</x:v>
      </x:c>
      <x:c r="L1247" s="43" t="str">
        <x:v>Does not have a sixth form</x:v>
      </x:c>
      <x:c r="M1247" s="43" t="n">
        <x:v>107</x:v>
      </x:c>
      <x:c r="N1247" s="43" t="str">
        <x:v>http://stannesprep.co.uk/</x:v>
      </x:c>
      <x:c r="O1247" s="43" t="str">
        <x:v>01245353488</x:v>
      </x:c>
      <x:c r="P1247" s="43" t="str"/>
      <x:c r="Q1247" s="43" t="str"/>
      <x:c r="R1247" s="43" t="str">
        <x:v>Queued for contact research</x:v>
      </x:c>
      <x:c r="S1247" s="43" t="str">
        <x:v>Not reviewed</x:v>
      </x:c>
      <x:c r="T1247" s="43" t="str">
        <x:v>Hold</x:v>
      </x:c>
      <x:c r="U1247" s="43" t="str">
        <x:v>No</x:v>
      </x:c>
      <x:c r="V1247" s="44"/>
      <x:c r="W1247" s="43" t="str"/>
      <x:c r="X1247" s="43" t="str"/>
      <x:c r="Y1247" s="43" t="str"/>
      <x:c r="Z1247" s="43" t="str">
        <x:v>https://www.get-information-schools.service.gov.uk/Downloads</x:v>
      </x:c>
    </x:row>
    <x:row r="1248">
      <x:c r="A1248" s="43" t="str">
        <x:v>UK independent</x:v>
      </x:c>
      <x:c r="B1248" s="43" t="str">
        <x:v>133646</x:v>
      </x:c>
      <x:c r="C1248" s="43" t="n">
        <x:f>IF(K1248="Boarding school",30,0)+IF(J1248&gt;=18,20,0)+IF(I1248&lt;=11,10,0)+IF(L1248="Has a sixth form",15,0)+IF(M1248&gt;=200,10,0)+IF(N1248&lt;&gt;"",10,0)</x:f>
        <x:v>20</x:v>
      </x:c>
      <x:c r="D1248" s="43" t="str">
        <x:f>IF(C1248&gt;=85,"A",IF(C1248&gt;=65,"B","C"))</x:f>
        <x:v>C</x:v>
      </x:c>
      <x:c r="E1248" s="43" t="str">
        <x:v>Al-Mizan School</x:v>
      </x:c>
      <x:c r="F1248" s="43" t="str">
        <x:v>London</x:v>
      </x:c>
      <x:c r="G1248" s="43" t="str"/>
      <x:c r="H1248" s="43" t="str">
        <x:v>E1 1JX</x:v>
      </x:c>
      <x:c r="I1248" s="43" t="n">
        <x:v>7</x:v>
      </x:c>
      <x:c r="J1248" s="43" t="n">
        <x:v>11</x:v>
      </x:c>
      <x:c r="K1248" s="43" t="str">
        <x:v>No boarders</x:v>
      </x:c>
      <x:c r="L1248" s="43" t="str">
        <x:v>Does not have a sixth form</x:v>
      </x:c>
      <x:c r="M1248" s="43" t="n">
        <x:v>106</x:v>
      </x:c>
      <x:c r="N1248" s="43" t="str">
        <x:v>https://www.almizan.co.uk</x:v>
      </x:c>
      <x:c r="O1248" s="43" t="str">
        <x:v>02076503070</x:v>
      </x:c>
      <x:c r="P1248" s="43" t="str"/>
      <x:c r="Q1248" s="43" t="str"/>
      <x:c r="R1248" s="43" t="str">
        <x:v>Queued for contact research</x:v>
      </x:c>
      <x:c r="S1248" s="43" t="str">
        <x:v>Not reviewed</x:v>
      </x:c>
      <x:c r="T1248" s="43" t="str">
        <x:v>Hold</x:v>
      </x:c>
      <x:c r="U1248" s="43" t="str">
        <x:v>No</x:v>
      </x:c>
      <x:c r="V1248" s="44"/>
      <x:c r="W1248" s="43" t="str"/>
      <x:c r="X1248" s="43" t="str"/>
      <x:c r="Y1248" s="43" t="str"/>
      <x:c r="Z1248" s="43" t="str">
        <x:v>https://www.get-information-schools.service.gov.uk/Downloads</x:v>
      </x:c>
    </x:row>
    <x:row r="1249">
      <x:c r="A1249" s="43" t="str">
        <x:v>UK independent</x:v>
      </x:c>
      <x:c r="B1249" s="43" t="str">
        <x:v>134085</x:v>
      </x:c>
      <x:c r="C1249" s="43" t="n">
        <x:f>IF(K1249="Boarding school",30,0)+IF(J1249&gt;=18,20,0)+IF(I1249&lt;=11,10,0)+IF(L1249="Has a sixth form",15,0)+IF(M1249&gt;=200,10,0)+IF(N1249&lt;&gt;"",10,0)</x:f>
        <x:v>20</x:v>
      </x:c>
      <x:c r="D1249" s="43" t="str">
        <x:f>IF(C1249&gt;=85,"A",IF(C1249&gt;=65,"B","C"))</x:f>
        <x:v>C</x:v>
      </x:c>
      <x:c r="E1249" s="43" t="str">
        <x:v>Islamic Shakhsiyah Foundation</x:v>
      </x:c>
      <x:c r="F1249" s="43" t="str">
        <x:v>Slough</x:v>
      </x:c>
      <x:c r="G1249" s="43" t="str">
        <x:v>Berkshire</x:v>
      </x:c>
      <x:c r="H1249" s="43" t="str">
        <x:v>SL1 5AN</x:v>
      </x:c>
      <x:c r="I1249" s="43" t="n">
        <x:v>2</x:v>
      </x:c>
      <x:c r="J1249" s="43" t="n">
        <x:v>11</x:v>
      </x:c>
      <x:c r="K1249" s="43" t="str">
        <x:v>No boarders</x:v>
      </x:c>
      <x:c r="L1249" s="43" t="str">
        <x:v>Does not have a sixth form</x:v>
      </x:c>
      <x:c r="M1249" s="43" t="n">
        <x:v>106</x:v>
      </x:c>
      <x:c r="N1249" s="43" t="str">
        <x:v>https://shakhsiyahschools.uk/</x:v>
      </x:c>
      <x:c r="O1249" s="43" t="str">
        <x:v>01753518000</x:v>
      </x:c>
      <x:c r="P1249" s="43" t="str"/>
      <x:c r="Q1249" s="43" t="str"/>
      <x:c r="R1249" s="43" t="str">
        <x:v>Queued for contact research</x:v>
      </x:c>
      <x:c r="S1249" s="43" t="str">
        <x:v>Not reviewed</x:v>
      </x:c>
      <x:c r="T1249" s="43" t="str">
        <x:v>Hold</x:v>
      </x:c>
      <x:c r="U1249" s="43" t="str">
        <x:v>No</x:v>
      </x:c>
      <x:c r="V1249" s="44"/>
      <x:c r="W1249" s="43" t="str"/>
      <x:c r="X1249" s="43" t="str"/>
      <x:c r="Y1249" s="43" t="str"/>
      <x:c r="Z1249" s="43" t="str">
        <x:v>https://www.get-information-schools.service.gov.uk/Downloads</x:v>
      </x:c>
    </x:row>
    <x:row r="1250">
      <x:c r="A1250" s="43" t="str">
        <x:v>UK independent</x:v>
      </x:c>
      <x:c r="B1250" s="43" t="str">
        <x:v>142776</x:v>
      </x:c>
      <x:c r="C1250" s="43" t="n">
        <x:f>IF(K1250="Boarding school",30,0)+IF(J1250&gt;=18,20,0)+IF(I1250&lt;=11,10,0)+IF(L1250="Has a sixth form",15,0)+IF(M1250&gt;=200,10,0)+IF(N1250&lt;&gt;"",10,0)</x:f>
        <x:v>20</x:v>
      </x:c>
      <x:c r="D1250" s="43" t="str">
        <x:f>IF(C1250&gt;=85,"A",IF(C1250&gt;=65,"B","C"))</x:f>
        <x:v>C</x:v>
      </x:c>
      <x:c r="E1250" s="43" t="str">
        <x:v>Landmark International School</x:v>
      </x:c>
      <x:c r="F1250" s="43" t="str">
        <x:v>Cambridge</x:v>
      </x:c>
      <x:c r="G1250" s="43" t="str">
        <x:v>Cambridgeshire</x:v>
      </x:c>
      <x:c r="H1250" s="43" t="str">
        <x:v>CB21 5EP</x:v>
      </x:c>
      <x:c r="I1250" s="43" t="n">
        <x:v>4</x:v>
      </x:c>
      <x:c r="J1250" s="43" t="n">
        <x:v>16</x:v>
      </x:c>
      <x:c r="K1250" s="43" t="str">
        <x:v>No boarders</x:v>
      </x:c>
      <x:c r="L1250" s="43" t="str">
        <x:v>Does not have a sixth form</x:v>
      </x:c>
      <x:c r="M1250" s="43" t="n">
        <x:v>106</x:v>
      </x:c>
      <x:c r="N1250" s="43" t="str">
        <x:v>https://www.landmarkinternationalschool.co.uk</x:v>
      </x:c>
      <x:c r="O1250" s="43" t="str">
        <x:v>01223755100</x:v>
      </x:c>
      <x:c r="P1250" s="43" t="str"/>
      <x:c r="Q1250" s="43" t="str"/>
      <x:c r="R1250" s="43" t="str">
        <x:v>Queued for contact research</x:v>
      </x:c>
      <x:c r="S1250" s="43" t="str">
        <x:v>Not reviewed</x:v>
      </x:c>
      <x:c r="T1250" s="43" t="str">
        <x:v>Hold</x:v>
      </x:c>
      <x:c r="U1250" s="43" t="str">
        <x:v>No</x:v>
      </x:c>
      <x:c r="V1250" s="44"/>
      <x:c r="W1250" s="43" t="str"/>
      <x:c r="X1250" s="43" t="str"/>
      <x:c r="Y1250" s="43" t="str"/>
      <x:c r="Z1250" s="43" t="str">
        <x:v>https://www.get-information-schools.service.gov.uk/Downloads</x:v>
      </x:c>
    </x:row>
    <x:row r="1251">
      <x:c r="A1251" s="43" t="str">
        <x:v>UK independent</x:v>
      </x:c>
      <x:c r="B1251" s="43" t="str">
        <x:v>149715</x:v>
      </x:c>
      <x:c r="C1251" s="43" t="n">
        <x:f>IF(K1251="Boarding school",30,0)+IF(J1251&gt;=18,20,0)+IF(I1251&lt;=11,10,0)+IF(L1251="Has a sixth form",15,0)+IF(M1251&gt;=200,10,0)+IF(N1251&lt;&gt;"",10,0)</x:f>
        <x:v>20</x:v>
      </x:c>
      <x:c r="D1251" s="43" t="str">
        <x:f>IF(C1251&gt;=85,"A",IF(C1251&gt;=65,"B","C"))</x:f>
        <x:v>C</x:v>
      </x:c>
      <x:c r="E1251" s="43" t="str">
        <x:v>London Park School Clapham</x:v>
      </x:c>
      <x:c r="F1251" s="43" t="str">
        <x:v>London</x:v>
      </x:c>
      <x:c r="G1251" s="43" t="str"/>
      <x:c r="H1251" s="43" t="str">
        <x:v>SW4 9AH</x:v>
      </x:c>
      <x:c r="I1251" s="43" t="n">
        <x:v>11</x:v>
      </x:c>
      <x:c r="J1251" s="43" t="n">
        <x:v>16</x:v>
      </x:c>
      <x:c r="K1251" s="43" t="str">
        <x:v>No boarders</x:v>
      </x:c>
      <x:c r="L1251" s="43" t="str">
        <x:v>Not applicable</x:v>
      </x:c>
      <x:c r="M1251" s="43" t="n">
        <x:v>106</x:v>
      </x:c>
      <x:c r="N1251" s="43" t="str">
        <x:v>https://www.londonparkschools.com/</x:v>
      </x:c>
      <x:c r="O1251" s="43" t="str">
        <x:v>02081610305</x:v>
      </x:c>
      <x:c r="P1251" s="43" t="str"/>
      <x:c r="Q1251" s="43" t="str"/>
      <x:c r="R1251" s="43" t="str">
        <x:v>Queued for contact research</x:v>
      </x:c>
      <x:c r="S1251" s="43" t="str">
        <x:v>Not reviewed</x:v>
      </x:c>
      <x:c r="T1251" s="43" t="str">
        <x:v>Hold</x:v>
      </x:c>
      <x:c r="U1251" s="43" t="str">
        <x:v>No</x:v>
      </x:c>
      <x:c r="V1251" s="44"/>
      <x:c r="W1251" s="43" t="str"/>
      <x:c r="X1251" s="43" t="str"/>
      <x:c r="Y1251" s="43" t="str"/>
      <x:c r="Z1251" s="43" t="str">
        <x:v>https://www.get-information-schools.service.gov.uk/Downloads</x:v>
      </x:c>
    </x:row>
    <x:row r="1252">
      <x:c r="A1252" s="43" t="str">
        <x:v>UK independent</x:v>
      </x:c>
      <x:c r="B1252" s="43" t="str">
        <x:v>115408</x:v>
      </x:c>
      <x:c r="C1252" s="43" t="n">
        <x:f>IF(K1252="Boarding school",30,0)+IF(J1252&gt;=18,20,0)+IF(I1252&lt;=11,10,0)+IF(L1252="Has a sixth form",15,0)+IF(M1252&gt;=200,10,0)+IF(N1252&lt;&gt;"",10,0)</x:f>
        <x:v>20</x:v>
      </x:c>
      <x:c r="D1252" s="43" t="str">
        <x:f>IF(C1252&gt;=85,"A",IF(C1252&gt;=65,"B","C"))</x:f>
        <x:v>C</x:v>
      </x:c>
      <x:c r="E1252" s="43" t="str">
        <x:v>Saint Pierre School</x:v>
      </x:c>
      <x:c r="F1252" s="43" t="str">
        <x:v>Leigh-on-Sea</x:v>
      </x:c>
      <x:c r="G1252" s="43" t="str">
        <x:v>Essex</x:v>
      </x:c>
      <x:c r="H1252" s="43" t="str">
        <x:v>SS9 1LE</x:v>
      </x:c>
      <x:c r="I1252" s="43" t="n">
        <x:v>2</x:v>
      </x:c>
      <x:c r="J1252" s="43" t="n">
        <x:v>11</x:v>
      </x:c>
      <x:c r="K1252" s="43" t="str">
        <x:v>No boarders</x:v>
      </x:c>
      <x:c r="L1252" s="43" t="str">
        <x:v>Does not have a sixth form</x:v>
      </x:c>
      <x:c r="M1252" s="43" t="n">
        <x:v>106</x:v>
      </x:c>
      <x:c r="N1252" s="43" t="str">
        <x:v>https://www.saintpierreschool.com</x:v>
      </x:c>
      <x:c r="O1252" s="43" t="str">
        <x:v>01702474164</x:v>
      </x:c>
      <x:c r="P1252" s="43" t="str"/>
      <x:c r="Q1252" s="43" t="str"/>
      <x:c r="R1252" s="43" t="str">
        <x:v>Queued for contact research</x:v>
      </x:c>
      <x:c r="S1252" s="43" t="str">
        <x:v>Not reviewed</x:v>
      </x:c>
      <x:c r="T1252" s="43" t="str">
        <x:v>Hold</x:v>
      </x:c>
      <x:c r="U1252" s="43" t="str">
        <x:v>No</x:v>
      </x:c>
      <x:c r="V1252" s="44"/>
      <x:c r="W1252" s="43" t="str"/>
      <x:c r="X1252" s="43" t="str"/>
      <x:c r="Y1252" s="43" t="str"/>
      <x:c r="Z1252" s="43" t="str">
        <x:v>https://www.get-information-schools.service.gov.uk/Downloads</x:v>
      </x:c>
    </x:row>
    <x:row r="1253">
      <x:c r="A1253" s="43" t="str">
        <x:v>UK independent</x:v>
      </x:c>
      <x:c r="B1253" s="43" t="str">
        <x:v>133449</x:v>
      </x:c>
      <x:c r="C1253" s="43" t="n">
        <x:f>IF(K1253="Boarding school",30,0)+IF(J1253&gt;=18,20,0)+IF(I1253&lt;=11,10,0)+IF(L1253="Has a sixth form",15,0)+IF(M1253&gt;=200,10,0)+IF(N1253&lt;&gt;"",10,0)</x:f>
        <x:v>20</x:v>
      </x:c>
      <x:c r="D1253" s="43" t="str">
        <x:f>IF(C1253&gt;=85,"A",IF(C1253&gt;=65,"B","C"))</x:f>
        <x:v>C</x:v>
      </x:c>
      <x:c r="E1253" s="43" t="str">
        <x:v>Al-Falah Primary School</x:v>
      </x:c>
      <x:c r="F1253" s="43" t="str">
        <x:v>London</x:v>
      </x:c>
      <x:c r="G1253" s="43" t="str"/>
      <x:c r="H1253" s="43" t="str">
        <x:v>E5 8BY</x:v>
      </x:c>
      <x:c r="I1253" s="43" t="n">
        <x:v>5</x:v>
      </x:c>
      <x:c r="J1253" s="43" t="n">
        <x:v>11</x:v>
      </x:c>
      <x:c r="K1253" s="43" t="str">
        <x:v>No boarders</x:v>
      </x:c>
      <x:c r="L1253" s="43" t="str">
        <x:v>Does not have a sixth form</x:v>
      </x:c>
      <x:c r="M1253" s="43" t="n">
        <x:v>105</x:v>
      </x:c>
      <x:c r="N1253" s="43" t="str">
        <x:v>https://www.alfalahschool.org.uk</x:v>
      </x:c>
      <x:c r="O1253" s="43" t="str">
        <x:v>02089851059</x:v>
      </x:c>
      <x:c r="P1253" s="43" t="str"/>
      <x:c r="Q1253" s="43" t="str"/>
      <x:c r="R1253" s="43" t="str">
        <x:v>Queued for contact research</x:v>
      </x:c>
      <x:c r="S1253" s="43" t="str">
        <x:v>Not reviewed</x:v>
      </x:c>
      <x:c r="T1253" s="43" t="str">
        <x:v>Hold</x:v>
      </x:c>
      <x:c r="U1253" s="43" t="str">
        <x:v>No</x:v>
      </x:c>
      <x:c r="V1253" s="44"/>
      <x:c r="W1253" s="43" t="str"/>
      <x:c r="X1253" s="43" t="str"/>
      <x:c r="Y1253" s="43" t="str"/>
      <x:c r="Z1253" s="43" t="str">
        <x:v>https://www.get-information-schools.service.gov.uk/Downloads</x:v>
      </x:c>
    </x:row>
    <x:row r="1254">
      <x:c r="A1254" s="43" t="str">
        <x:v>UK independent</x:v>
      </x:c>
      <x:c r="B1254" s="43" t="str">
        <x:v>106001</x:v>
      </x:c>
      <x:c r="C1254" s="43" t="n">
        <x:f>IF(K1254="Boarding school",30,0)+IF(J1254&gt;=18,20,0)+IF(I1254&lt;=11,10,0)+IF(L1254="Has a sixth form",15,0)+IF(M1254&gt;=200,10,0)+IF(N1254&lt;&gt;"",10,0)</x:f>
        <x:v>20</x:v>
      </x:c>
      <x:c r="D1254" s="43" t="str">
        <x:f>IF(C1254&gt;=85,"A",IF(C1254&gt;=65,"B","C"))</x:f>
        <x:v>C</x:v>
      </x:c>
      <x:c r="E1254" s="43" t="str">
        <x:v>Clarendon Cottage Preparatory School</x:v>
      </x:c>
      <x:c r="F1254" s="43" t="str">
        <x:v>Salford</x:v>
      </x:c>
      <x:c r="G1254" s="43" t="str"/>
      <x:c r="H1254" s="43" t="str">
        <x:v>M30 9BJ</x:v>
      </x:c>
      <x:c r="I1254" s="43" t="n">
        <x:v>2</x:v>
      </x:c>
      <x:c r="J1254" s="43" t="n">
        <x:v>11</x:v>
      </x:c>
      <x:c r="K1254" s="43" t="str">
        <x:v>No boarders</x:v>
      </x:c>
      <x:c r="L1254" s="43" t="str">
        <x:v>Does not have a sixth form</x:v>
      </x:c>
      <x:c r="M1254" s="43" t="n">
        <x:v>105</x:v>
      </x:c>
      <x:c r="N1254" s="43" t="str">
        <x:v>https://www.clarendoncottage-school.co.uk</x:v>
      </x:c>
      <x:c r="O1254" s="43" t="str">
        <x:v>01619507868</x:v>
      </x:c>
      <x:c r="P1254" s="43" t="str"/>
      <x:c r="Q1254" s="43" t="str"/>
      <x:c r="R1254" s="43" t="str">
        <x:v>Queued for contact research</x:v>
      </x:c>
      <x:c r="S1254" s="43" t="str">
        <x:v>Not reviewed</x:v>
      </x:c>
      <x:c r="T1254" s="43" t="str">
        <x:v>Hold</x:v>
      </x:c>
      <x:c r="U1254" s="43" t="str">
        <x:v>No</x:v>
      </x:c>
      <x:c r="V1254" s="44"/>
      <x:c r="W1254" s="43" t="str"/>
      <x:c r="X1254" s="43" t="str"/>
      <x:c r="Y1254" s="43" t="str"/>
      <x:c r="Z1254" s="43" t="str">
        <x:v>https://www.get-information-schools.service.gov.uk/Downloads</x:v>
      </x:c>
    </x:row>
    <x:row r="1255">
      <x:c r="A1255" s="43" t="str">
        <x:v>UK independent</x:v>
      </x:c>
      <x:c r="B1255" s="43" t="str">
        <x:v>141247</x:v>
      </x:c>
      <x:c r="C1255" s="43" t="n">
        <x:f>IF(K1255="Boarding school",30,0)+IF(J1255&gt;=18,20,0)+IF(I1255&lt;=11,10,0)+IF(L1255="Has a sixth form",15,0)+IF(M1255&gt;=200,10,0)+IF(N1255&lt;&gt;"",10,0)</x:f>
        <x:v>20</x:v>
      </x:c>
      <x:c r="D1255" s="43" t="str">
        <x:f>IF(C1255&gt;=85,"A",IF(C1255&gt;=65,"B","C"))</x:f>
        <x:v>C</x:v>
      </x:c>
      <x:c r="E1255" s="43" t="str">
        <x:v>Focus 1st Academy</x:v>
      </x:c>
      <x:c r="F1255" s="43" t="str">
        <x:v>London</x:v>
      </x:c>
      <x:c r="G1255" s="43" t="str"/>
      <x:c r="H1255" s="43" t="str">
        <x:v>N11 1BA</x:v>
      </x:c>
      <x:c r="I1255" s="43" t="n">
        <x:v>11</x:v>
      </x:c>
      <x:c r="J1255" s="43" t="n">
        <x:v>16</x:v>
      </x:c>
      <x:c r="K1255" s="43" t="str">
        <x:v>No boarders</x:v>
      </x:c>
      <x:c r="L1255" s="43" t="str">
        <x:v>Does not have a sixth form</x:v>
      </x:c>
      <x:c r="M1255" s="43" t="n">
        <x:v>105</x:v>
      </x:c>
      <x:c r="N1255" s="43" t="str">
        <x:v>https://www.focus1stacademy.org.uk</x:v>
      </x:c>
      <x:c r="O1255" s="43" t="str">
        <x:v>02083615658</x:v>
      </x:c>
      <x:c r="P1255" s="43" t="str"/>
      <x:c r="Q1255" s="43" t="str"/>
      <x:c r="R1255" s="43" t="str">
        <x:v>Queued for contact research</x:v>
      </x:c>
      <x:c r="S1255" s="43" t="str">
        <x:v>Not reviewed</x:v>
      </x:c>
      <x:c r="T1255" s="43" t="str">
        <x:v>Hold</x:v>
      </x:c>
      <x:c r="U1255" s="43" t="str">
        <x:v>No</x:v>
      </x:c>
      <x:c r="V1255" s="44"/>
      <x:c r="W1255" s="43" t="str"/>
      <x:c r="X1255" s="43" t="str"/>
      <x:c r="Y1255" s="43" t="str"/>
      <x:c r="Z1255" s="43" t="str">
        <x:v>https://www.get-information-schools.service.gov.uk/Downloads</x:v>
      </x:c>
    </x:row>
    <x:row r="1256">
      <x:c r="A1256" s="43" t="str">
        <x:v>UK independent</x:v>
      </x:c>
      <x:c r="B1256" s="43" t="str">
        <x:v>100203</x:v>
      </x:c>
      <x:c r="C1256" s="43" t="n">
        <x:f>IF(K1256="Boarding school",30,0)+IF(J1256&gt;=18,20,0)+IF(I1256&lt;=11,10,0)+IF(L1256="Has a sixth form",15,0)+IF(M1256&gt;=200,10,0)+IF(N1256&lt;&gt;"",10,0)</x:f>
        <x:v>20</x:v>
      </x:c>
      <x:c r="D1256" s="43" t="str">
        <x:f>IF(C1256&gt;=85,"A",IF(C1256&gt;=65,"B","C"))</x:f>
        <x:v>C</x:v>
      </x:c>
      <x:c r="E1256" s="43" t="str">
        <x:v>Heath House Preparatory School</x:v>
      </x:c>
      <x:c r="F1256" s="43" t="str">
        <x:v>London</x:v>
      </x:c>
      <x:c r="G1256" s="43" t="str"/>
      <x:c r="H1256" s="43" t="str">
        <x:v>SE3 0TG</x:v>
      </x:c>
      <x:c r="I1256" s="43" t="n">
        <x:v>3</x:v>
      </x:c>
      <x:c r="J1256" s="43" t="n">
        <x:v>11</x:v>
      </x:c>
      <x:c r="K1256" s="43" t="str">
        <x:v>No boarders</x:v>
      </x:c>
      <x:c r="L1256" s="43" t="str">
        <x:v>Does not have a sixth form</x:v>
      </x:c>
      <x:c r="M1256" s="43" t="n">
        <x:v>105</x:v>
      </x:c>
      <x:c r="N1256" s="43" t="str">
        <x:v>https://www.heathhouseprepschool.com</x:v>
      </x:c>
      <x:c r="O1256" s="43" t="str">
        <x:v>02082971900</x:v>
      </x:c>
      <x:c r="P1256" s="43" t="str"/>
      <x:c r="Q1256" s="43" t="str"/>
      <x:c r="R1256" s="43" t="str">
        <x:v>Queued for contact research</x:v>
      </x:c>
      <x:c r="S1256" s="43" t="str">
        <x:v>Not reviewed</x:v>
      </x:c>
      <x:c r="T1256" s="43" t="str">
        <x:v>Hold</x:v>
      </x:c>
      <x:c r="U1256" s="43" t="str">
        <x:v>No</x:v>
      </x:c>
      <x:c r="V1256" s="44"/>
      <x:c r="W1256" s="43" t="str"/>
      <x:c r="X1256" s="43" t="str"/>
      <x:c r="Y1256" s="43" t="str"/>
      <x:c r="Z1256" s="43" t="str">
        <x:v>https://www.get-information-schools.service.gov.uk/Downloads</x:v>
      </x:c>
    </x:row>
    <x:row r="1257">
      <x:c r="A1257" s="43" t="str">
        <x:v>UK independent</x:v>
      </x:c>
      <x:c r="B1257" s="43" t="str">
        <x:v>102064</x:v>
      </x:c>
      <x:c r="C1257" s="43" t="n">
        <x:f>IF(K1257="Boarding school",30,0)+IF(J1257&gt;=18,20,0)+IF(I1257&lt;=11,10,0)+IF(L1257="Has a sixth form",15,0)+IF(M1257&gt;=200,10,0)+IF(N1257&lt;&gt;"",10,0)</x:f>
        <x:v>20</x:v>
      </x:c>
      <x:c r="D1257" s="43" t="str">
        <x:f>IF(C1257&gt;=85,"A",IF(C1257&gt;=65,"B","C"))</x:f>
        <x:v>C</x:v>
      </x:c>
      <x:c r="E1257" s="43" t="str">
        <x:v>Vita Et Pax School</x:v>
      </x:c>
      <x:c r="F1257" s="43" t="str">
        <x:v>London</x:v>
      </x:c>
      <x:c r="G1257" s="43" t="str"/>
      <x:c r="H1257" s="43" t="str">
        <x:v>N14 4AT</x:v>
      </x:c>
      <x:c r="I1257" s="43" t="n">
        <x:v>2</x:v>
      </x:c>
      <x:c r="J1257" s="43" t="n">
        <x:v>11</x:v>
      </x:c>
      <x:c r="K1257" s="43" t="str">
        <x:v>No boarders</x:v>
      </x:c>
      <x:c r="L1257" s="43" t="str">
        <x:v>Does not have a sixth form</x:v>
      </x:c>
      <x:c r="M1257" s="43" t="n">
        <x:v>105</x:v>
      </x:c>
      <x:c r="N1257" s="43" t="str">
        <x:v>https://www.vitaetpax.co.uk</x:v>
      </x:c>
      <x:c r="O1257" s="43" t="str">
        <x:v>02084498336</x:v>
      </x:c>
      <x:c r="P1257" s="43" t="str"/>
      <x:c r="Q1257" s="43" t="str"/>
      <x:c r="R1257" s="43" t="str">
        <x:v>Queued for contact research</x:v>
      </x:c>
      <x:c r="S1257" s="43" t="str">
        <x:v>Not reviewed</x:v>
      </x:c>
      <x:c r="T1257" s="43" t="str">
        <x:v>Hold</x:v>
      </x:c>
      <x:c r="U1257" s="43" t="str">
        <x:v>No</x:v>
      </x:c>
      <x:c r="V1257" s="44"/>
      <x:c r="W1257" s="43" t="str"/>
      <x:c r="X1257" s="43" t="str"/>
      <x:c r="Y1257" s="43" t="str"/>
      <x:c r="Z1257" s="43" t="str">
        <x:v>https://www.get-information-schools.service.gov.uk/Downloads</x:v>
      </x:c>
    </x:row>
    <x:row r="1258">
      <x:c r="A1258" s="43" t="str">
        <x:v>UK independent</x:v>
      </x:c>
      <x:c r="B1258" s="43" t="str">
        <x:v>105122</x:v>
      </x:c>
      <x:c r="C1258" s="43" t="n">
        <x:f>IF(K1258="Boarding school",30,0)+IF(J1258&gt;=18,20,0)+IF(I1258&lt;=11,10,0)+IF(L1258="Has a sixth form",15,0)+IF(M1258&gt;=200,10,0)+IF(N1258&lt;&gt;"",10,0)</x:f>
        <x:v>20</x:v>
      </x:c>
      <x:c r="D1258" s="43" t="str">
        <x:f>IF(C1258&gt;=85,"A",IF(C1258&gt;=65,"B","C"))</x:f>
        <x:v>C</x:v>
      </x:c>
      <x:c r="E1258" s="43" t="str">
        <x:v>Avalon School</x:v>
      </x:c>
      <x:c r="F1258" s="43" t="str">
        <x:v>Wirral</x:v>
      </x:c>
      <x:c r="G1258" s="43" t="str">
        <x:v>Merseyside</x:v>
      </x:c>
      <x:c r="H1258" s="43" t="str">
        <x:v>CH48 2HE</x:v>
      </x:c>
      <x:c r="I1258" s="43" t="n">
        <x:v>2</x:v>
      </x:c>
      <x:c r="J1258" s="43" t="n">
        <x:v>11</x:v>
      </x:c>
      <x:c r="K1258" s="43" t="str">
        <x:v>No boarders</x:v>
      </x:c>
      <x:c r="L1258" s="43" t="str">
        <x:v>Does not have a sixth form</x:v>
      </x:c>
      <x:c r="M1258" s="43" t="n">
        <x:v>104</x:v>
      </x:c>
      <x:c r="N1258" s="43" t="str">
        <x:v>https://www.avalon-school.co.uk/</x:v>
      </x:c>
      <x:c r="O1258" s="43" t="str">
        <x:v>01516256993</x:v>
      </x:c>
      <x:c r="P1258" s="43" t="str"/>
      <x:c r="Q1258" s="43" t="str"/>
      <x:c r="R1258" s="43" t="str">
        <x:v>Queued for contact research</x:v>
      </x:c>
      <x:c r="S1258" s="43" t="str">
        <x:v>Not reviewed</x:v>
      </x:c>
      <x:c r="T1258" s="43" t="str">
        <x:v>Hold</x:v>
      </x:c>
      <x:c r="U1258" s="43" t="str">
        <x:v>No</x:v>
      </x:c>
      <x:c r="V1258" s="44"/>
      <x:c r="W1258" s="43" t="str"/>
      <x:c r="X1258" s="43" t="str"/>
      <x:c r="Y1258" s="43" t="str"/>
      <x:c r="Z1258" s="43" t="str">
        <x:v>https://www.get-information-schools.service.gov.uk/Downloads</x:v>
      </x:c>
    </x:row>
    <x:row r="1259">
      <x:c r="A1259" s="43" t="str">
        <x:v>UK independent</x:v>
      </x:c>
      <x:c r="B1259" s="43" t="str">
        <x:v>101368</x:v>
      </x:c>
      <x:c r="C1259" s="43" t="n">
        <x:f>IF(K1259="Boarding school",30,0)+IF(J1259&gt;=18,20,0)+IF(I1259&lt;=11,10,0)+IF(L1259="Has a sixth form",15,0)+IF(M1259&gt;=200,10,0)+IF(N1259&lt;&gt;"",10,0)</x:f>
        <x:v>20</x:v>
      </x:c>
      <x:c r="D1259" s="43" t="str">
        <x:f>IF(C1259&gt;=85,"A",IF(C1259&gt;=65,"B","C"))</x:f>
        <x:v>C</x:v>
      </x:c>
      <x:c r="E1259" s="43" t="str">
        <x:v>Hendon Preparatory School</x:v>
      </x:c>
      <x:c r="F1259" s="43" t="str"/>
      <x:c r="G1259" s="43" t="str"/>
      <x:c r="H1259" s="43" t="str">
        <x:v>NW4 1TD</x:v>
      </x:c>
      <x:c r="I1259" s="43" t="n">
        <x:v>2</x:v>
      </x:c>
      <x:c r="J1259" s="43" t="n">
        <x:v>11</x:v>
      </x:c>
      <x:c r="K1259" s="43" t="str">
        <x:v>No boarders</x:v>
      </x:c>
      <x:c r="L1259" s="43" t="str">
        <x:v>Does not have a sixth form</x:v>
      </x:c>
      <x:c r="M1259" s="43" t="n">
        <x:v>104</x:v>
      </x:c>
      <x:c r="N1259" s="43" t="str">
        <x:v>https://www.hendonprep.co.uk</x:v>
      </x:c>
      <x:c r="O1259" s="43" t="str">
        <x:v>02082037727</x:v>
      </x:c>
      <x:c r="P1259" s="43" t="str"/>
      <x:c r="Q1259" s="43" t="str"/>
      <x:c r="R1259" s="43" t="str">
        <x:v>Queued for contact research</x:v>
      </x:c>
      <x:c r="S1259" s="43" t="str">
        <x:v>Not reviewed</x:v>
      </x:c>
      <x:c r="T1259" s="43" t="str">
        <x:v>Hold</x:v>
      </x:c>
      <x:c r="U1259" s="43" t="str">
        <x:v>No</x:v>
      </x:c>
      <x:c r="V1259" s="44"/>
      <x:c r="W1259" s="43" t="str"/>
      <x:c r="X1259" s="43" t="str"/>
      <x:c r="Y1259" s="43" t="str"/>
      <x:c r="Z1259" s="43" t="str">
        <x:v>https://www.get-information-schools.service.gov.uk/Downloads</x:v>
      </x:c>
    </x:row>
    <x:row r="1260">
      <x:c r="A1260" s="43" t="str">
        <x:v>UK independent</x:v>
      </x:c>
      <x:c r="B1260" s="43" t="str">
        <x:v>148341</x:v>
      </x:c>
      <x:c r="C1260" s="43" t="n">
        <x:f>IF(K1260="Boarding school",30,0)+IF(J1260&gt;=18,20,0)+IF(I1260&lt;=11,10,0)+IF(L1260="Has a sixth form",15,0)+IF(M1260&gt;=200,10,0)+IF(N1260&lt;&gt;"",10,0)</x:f>
        <x:v>20</x:v>
      </x:c>
      <x:c r="D1260" s="43" t="str">
        <x:f>IF(C1260&gt;=85,"A",IF(C1260&gt;=65,"B","C"))</x:f>
        <x:v>C</x:v>
      </x:c>
      <x:c r="E1260" s="43" t="str">
        <x:v>Outwood Alternative Provision Eston</x:v>
      </x:c>
      <x:c r="F1260" s="43" t="str">
        <x:v>Middlesbrough</x:v>
      </x:c>
      <x:c r="G1260" s="43" t="str"/>
      <x:c r="H1260" s="43" t="str">
        <x:v>TS6 9AW</x:v>
      </x:c>
      <x:c r="I1260" s="43" t="n">
        <x:v>11</x:v>
      </x:c>
      <x:c r="J1260" s="43" t="n">
        <x:v>16</x:v>
      </x:c>
      <x:c r="K1260" s="43" t="str">
        <x:v>No boarders</x:v>
      </x:c>
      <x:c r="L1260" s="43" t="str">
        <x:v>Does not have a sixth form</x:v>
      </x:c>
      <x:c r="M1260" s="43" t="n">
        <x:v>104</x:v>
      </x:c>
      <x:c r="N1260" s="43" t="str">
        <x:v>https://www.eston.outwood.com</x:v>
      </x:c>
      <x:c r="O1260" s="43" t="str">
        <x:v>01642056440</x:v>
      </x:c>
      <x:c r="P1260" s="43" t="str"/>
      <x:c r="Q1260" s="43" t="str"/>
      <x:c r="R1260" s="43" t="str">
        <x:v>Queued for contact research</x:v>
      </x:c>
      <x:c r="S1260" s="43" t="str">
        <x:v>Not reviewed</x:v>
      </x:c>
      <x:c r="T1260" s="43" t="str">
        <x:v>Hold</x:v>
      </x:c>
      <x:c r="U1260" s="43" t="str">
        <x:v>No</x:v>
      </x:c>
      <x:c r="V1260" s="44"/>
      <x:c r="W1260" s="43" t="str"/>
      <x:c r="X1260" s="43" t="str"/>
      <x:c r="Y1260" s="43" t="str"/>
      <x:c r="Z1260" s="43" t="str">
        <x:v>https://www.get-information-schools.service.gov.uk/Downloads</x:v>
      </x:c>
    </x:row>
    <x:row r="1261">
      <x:c r="A1261" s="43" t="str">
        <x:v>UK independent</x:v>
      </x:c>
      <x:c r="B1261" s="43" t="str">
        <x:v>122126</x:v>
      </x:c>
      <x:c r="C1261" s="43" t="n">
        <x:f>IF(K1261="Boarding school",30,0)+IF(J1261&gt;=18,20,0)+IF(I1261&lt;=11,10,0)+IF(L1261="Has a sixth form",15,0)+IF(M1261&gt;=200,10,0)+IF(N1261&lt;&gt;"",10,0)</x:f>
        <x:v>20</x:v>
      </x:c>
      <x:c r="D1261" s="43" t="str">
        <x:f>IF(C1261&gt;=85,"A",IF(C1261&gt;=65,"B","C"))</x:f>
        <x:v>C</x:v>
      </x:c>
      <x:c r="E1261" s="43" t="str">
        <x:v>St Peter's School</x:v>
      </x:c>
      <x:c r="F1261" s="43" t="str"/>
      <x:c r="G1261" s="43" t="str"/>
      <x:c r="H1261" s="43" t="str">
        <x:v>NN15 6DJ</x:v>
      </x:c>
      <x:c r="I1261" s="43" t="n">
        <x:v>2</x:v>
      </x:c>
      <x:c r="J1261" s="43" t="n">
        <x:v>11</x:v>
      </x:c>
      <x:c r="K1261" s="43" t="str">
        <x:v>No boarders</x:v>
      </x:c>
      <x:c r="L1261" s="43" t="str">
        <x:v>Does not have a sixth form</x:v>
      </x:c>
      <x:c r="M1261" s="43" t="n">
        <x:v>104</x:v>
      </x:c>
      <x:c r="N1261" s="43" t="str">
        <x:v>https://www.st-peters.org.uk</x:v>
      </x:c>
      <x:c r="O1261" s="43" t="str">
        <x:v>01536512066</x:v>
      </x:c>
      <x:c r="P1261" s="43" t="str"/>
      <x:c r="Q1261" s="43" t="str"/>
      <x:c r="R1261" s="43" t="str">
        <x:v>Queued for contact research</x:v>
      </x:c>
      <x:c r="S1261" s="43" t="str">
        <x:v>Not reviewed</x:v>
      </x:c>
      <x:c r="T1261" s="43" t="str">
        <x:v>Hold</x:v>
      </x:c>
      <x:c r="U1261" s="43" t="str">
        <x:v>No</x:v>
      </x:c>
      <x:c r="V1261" s="44"/>
      <x:c r="W1261" s="43" t="str"/>
      <x:c r="X1261" s="43" t="str"/>
      <x:c r="Y1261" s="43" t="str"/>
      <x:c r="Z1261" s="43" t="str">
        <x:v>https://www.get-information-schools.service.gov.uk/Downloads</x:v>
      </x:c>
    </x:row>
    <x:row r="1262">
      <x:c r="A1262" s="43" t="str">
        <x:v>UK independent</x:v>
      </x:c>
      <x:c r="B1262" s="43" t="str">
        <x:v>123614</x:v>
      </x:c>
      <x:c r="C1262" s="43" t="n">
        <x:f>IF(K1262="Boarding school",30,0)+IF(J1262&gt;=18,20,0)+IF(I1262&lt;=11,10,0)+IF(L1262="Has a sixth form",15,0)+IF(M1262&gt;=200,10,0)+IF(N1262&lt;&gt;"",10,0)</x:f>
        <x:v>20</x:v>
      </x:c>
      <x:c r="D1262" s="43" t="str">
        <x:f>IF(C1262&gt;=85,"A",IF(C1262&gt;=65,"B","C"))</x:f>
        <x:v>C</x:v>
      </x:c>
      <x:c r="E1262" s="43" t="str">
        <x:v>St Winefride's RC Independent School</x:v>
      </x:c>
      <x:c r="F1262" s="43" t="str">
        <x:v>Shrewsbury</x:v>
      </x:c>
      <x:c r="G1262" s="43" t="str">
        <x:v>Shropshire</x:v>
      </x:c>
      <x:c r="H1262" s="43" t="str">
        <x:v>SY1 1TE</x:v>
      </x:c>
      <x:c r="I1262" s="43" t="n">
        <x:v>3</x:v>
      </x:c>
      <x:c r="J1262" s="43" t="n">
        <x:v>11</x:v>
      </x:c>
      <x:c r="K1262" s="43" t="str">
        <x:v>No boarders</x:v>
      </x:c>
      <x:c r="L1262" s="43" t="str">
        <x:v>Does not have a sixth form</x:v>
      </x:c>
      <x:c r="M1262" s="43" t="n">
        <x:v>104</x:v>
      </x:c>
      <x:c r="N1262" s="43" t="str">
        <x:v>https://www.stwinefrides.com</x:v>
      </x:c>
      <x:c r="O1262" s="43" t="str">
        <x:v>01743369883</x:v>
      </x:c>
      <x:c r="P1262" s="43" t="str"/>
      <x:c r="Q1262" s="43" t="str"/>
      <x:c r="R1262" s="43" t="str">
        <x:v>Queued for contact research</x:v>
      </x:c>
      <x:c r="S1262" s="43" t="str">
        <x:v>Not reviewed</x:v>
      </x:c>
      <x:c r="T1262" s="43" t="str">
        <x:v>Hold</x:v>
      </x:c>
      <x:c r="U1262" s="43" t="str">
        <x:v>No</x:v>
      </x:c>
      <x:c r="V1262" s="44"/>
      <x:c r="W1262" s="43" t="str"/>
      <x:c r="X1262" s="43" t="str"/>
      <x:c r="Y1262" s="43" t="str"/>
      <x:c r="Z1262" s="43" t="str">
        <x:v>https://www.get-information-schools.service.gov.uk/Downloads</x:v>
      </x:c>
    </x:row>
    <x:row r="1263">
      <x:c r="A1263" s="43" t="str">
        <x:v>UK independent</x:v>
      </x:c>
      <x:c r="B1263" s="43" t="str">
        <x:v>147025</x:v>
      </x:c>
      <x:c r="C1263" s="43" t="n">
        <x:f>IF(K1263="Boarding school",30,0)+IF(J1263&gt;=18,20,0)+IF(I1263&lt;=11,10,0)+IF(L1263="Has a sixth form",15,0)+IF(M1263&gt;=200,10,0)+IF(N1263&lt;&gt;"",10,0)</x:f>
        <x:v>20</x:v>
      </x:c>
      <x:c r="D1263" s="43" t="str">
        <x:f>IF(C1263&gt;=85,"A",IF(C1263&gt;=65,"B","C"))</x:f>
        <x:v>C</x:v>
      </x:c>
      <x:c r="E1263" s="43" t="str">
        <x:v>Al-Zahra School</x:v>
      </x:c>
      <x:c r="F1263" s="43" t="str"/>
      <x:c r="G1263" s="43" t="str"/>
      <x:c r="H1263" s="43" t="str">
        <x:v>NW6 6PF</x:v>
      </x:c>
      <x:c r="I1263" s="43" t="n">
        <x:v>8</x:v>
      </x:c>
      <x:c r="J1263" s="43" t="n">
        <x:v>16</x:v>
      </x:c>
      <x:c r="K1263" s="43" t="str">
        <x:v>No boarders</x:v>
      </x:c>
      <x:c r="L1263" s="43" t="str">
        <x:v>Does not have a sixth form</x:v>
      </x:c>
      <x:c r="M1263" s="43" t="n">
        <x:v>103</x:v>
      </x:c>
      <x:c r="N1263" s="43" t="str">
        <x:v>https://alzahra.asazs.co.uk/</x:v>
      </x:c>
      <x:c r="O1263" s="43" t="str">
        <x:v>02073727706</x:v>
      </x:c>
      <x:c r="P1263" s="43" t="str"/>
      <x:c r="Q1263" s="43" t="str"/>
      <x:c r="R1263" s="43" t="str">
        <x:v>Queued for contact research</x:v>
      </x:c>
      <x:c r="S1263" s="43" t="str">
        <x:v>Not reviewed</x:v>
      </x:c>
      <x:c r="T1263" s="43" t="str">
        <x:v>Hold</x:v>
      </x:c>
      <x:c r="U1263" s="43" t="str">
        <x:v>No</x:v>
      </x:c>
      <x:c r="V1263" s="44"/>
      <x:c r="W1263" s="43" t="str"/>
      <x:c r="X1263" s="43" t="str"/>
      <x:c r="Y1263" s="43" t="str"/>
      <x:c r="Z1263" s="43" t="str">
        <x:v>https://www.get-information-schools.service.gov.uk/Downloads</x:v>
      </x:c>
    </x:row>
    <x:row r="1264">
      <x:c r="A1264" s="43" t="str">
        <x:v>UK independent</x:v>
      </x:c>
      <x:c r="B1264" s="43" t="str">
        <x:v>136162</x:v>
      </x:c>
      <x:c r="C1264" s="43" t="n">
        <x:f>IF(K1264="Boarding school",30,0)+IF(J1264&gt;=18,20,0)+IF(I1264&lt;=11,10,0)+IF(L1264="Has a sixth form",15,0)+IF(M1264&gt;=200,10,0)+IF(N1264&lt;&gt;"",10,0)</x:f>
        <x:v>20</x:v>
      </x:c>
      <x:c r="D1264" s="43" t="str">
        <x:f>IF(C1264&gt;=85,"A",IF(C1264&gt;=65,"B","C"))</x:f>
        <x:v>C</x:v>
      </x:c>
      <x:c r="E1264" s="43" t="str">
        <x:v>Annan School</x:v>
      </x:c>
      <x:c r="F1264" s="43" t="str">
        <x:v>Uckfield</x:v>
      </x:c>
      <x:c r="G1264" s="43" t="str">
        <x:v>East Sussex</x:v>
      </x:c>
      <x:c r="H1264" s="43" t="str">
        <x:v>TN22 5RE</x:v>
      </x:c>
      <x:c r="I1264" s="43" t="n">
        <x:v>2</x:v>
      </x:c>
      <x:c r="J1264" s="43" t="n">
        <x:v>11</x:v>
      </x:c>
      <x:c r="K1264" s="43" t="str">
        <x:v>No boarders</x:v>
      </x:c>
      <x:c r="L1264" s="43" t="str">
        <x:v>Does not have a sixth form</x:v>
      </x:c>
      <x:c r="M1264" s="43" t="n">
        <x:v>103</x:v>
      </x:c>
      <x:c r="N1264" s="43" t="str">
        <x:v>https://www.annanschool.co.uk</x:v>
      </x:c>
      <x:c r="O1264" s="43" t="str">
        <x:v>01825841410</x:v>
      </x:c>
      <x:c r="P1264" s="43" t="str"/>
      <x:c r="Q1264" s="43" t="str"/>
      <x:c r="R1264" s="43" t="str">
        <x:v>Queued for contact research</x:v>
      </x:c>
      <x:c r="S1264" s="43" t="str">
        <x:v>Not reviewed</x:v>
      </x:c>
      <x:c r="T1264" s="43" t="str">
        <x:v>Hold</x:v>
      </x:c>
      <x:c r="U1264" s="43" t="str">
        <x:v>No</x:v>
      </x:c>
      <x:c r="V1264" s="44"/>
      <x:c r="W1264" s="43" t="str"/>
      <x:c r="X1264" s="43" t="str"/>
      <x:c r="Y1264" s="43" t="str"/>
      <x:c r="Z1264" s="43" t="str">
        <x:v>https://www.get-information-schools.service.gov.uk/Downloads</x:v>
      </x:c>
    </x:row>
    <x:row r="1265">
      <x:c r="A1265" s="43" t="str">
        <x:v>UK independent</x:v>
      </x:c>
      <x:c r="B1265" s="43" t="str">
        <x:v>101568</x:v>
      </x:c>
      <x:c r="C1265" s="43" t="n">
        <x:f>IF(K1265="Boarding school",30,0)+IF(J1265&gt;=18,20,0)+IF(I1265&lt;=11,10,0)+IF(L1265="Has a sixth form",15,0)+IF(M1265&gt;=200,10,0)+IF(N1265&lt;&gt;"",10,0)</x:f>
        <x:v>20</x:v>
      </x:c>
      <x:c r="D1265" s="43" t="str">
        <x:f>IF(C1265&gt;=85,"A",IF(C1265&gt;=65,"B","C"))</x:f>
        <x:v>C</x:v>
      </x:c>
      <x:c r="E1265" s="43" t="str">
        <x:v>Buckingham Preparatory School</x:v>
      </x:c>
      <x:c r="F1265" s="43" t="str">
        <x:v>Pinner</x:v>
      </x:c>
      <x:c r="G1265" s="43" t="str"/>
      <x:c r="H1265" s="43" t="str">
        <x:v>HA5 5DT</x:v>
      </x:c>
      <x:c r="I1265" s="43" t="n">
        <x:v>2</x:v>
      </x:c>
      <x:c r="J1265" s="43" t="n">
        <x:v>11</x:v>
      </x:c>
      <x:c r="K1265" s="43" t="str">
        <x:v>No boarders</x:v>
      </x:c>
      <x:c r="L1265" s="43" t="str">
        <x:v>Does not have a sixth form</x:v>
      </x:c>
      <x:c r="M1265" s="43" t="n">
        <x:v>103</x:v>
      </x:c>
      <x:c r="N1265" s="43" t="str">
        <x:v>https://www.buckprep.org</x:v>
      </x:c>
      <x:c r="O1265" s="43" t="str">
        <x:v>02088662737</x:v>
      </x:c>
      <x:c r="P1265" s="43" t="str"/>
      <x:c r="Q1265" s="43" t="str"/>
      <x:c r="R1265" s="43" t="str">
        <x:v>Queued for contact research</x:v>
      </x:c>
      <x:c r="S1265" s="43" t="str">
        <x:v>Not reviewed</x:v>
      </x:c>
      <x:c r="T1265" s="43" t="str">
        <x:v>Hold</x:v>
      </x:c>
      <x:c r="U1265" s="43" t="str">
        <x:v>No</x:v>
      </x:c>
      <x:c r="V1265" s="44"/>
      <x:c r="W1265" s="43" t="str"/>
      <x:c r="X1265" s="43" t="str"/>
      <x:c r="Y1265" s="43" t="str"/>
      <x:c r="Z1265" s="43" t="str">
        <x:v>https://www.get-information-schools.service.gov.uk/Downloads</x:v>
      </x:c>
    </x:row>
    <x:row r="1266">
      <x:c r="A1266" s="43" t="str">
        <x:v>UK independent</x:v>
      </x:c>
      <x:c r="B1266" s="43" t="str">
        <x:v>117635</x:v>
      </x:c>
      <x:c r="C1266" s="43" t="n">
        <x:f>IF(K1266="Boarding school",30,0)+IF(J1266&gt;=18,20,0)+IF(I1266&lt;=11,10,0)+IF(L1266="Has a sixth form",15,0)+IF(M1266&gt;=200,10,0)+IF(N1266&lt;&gt;"",10,0)</x:f>
        <x:v>20</x:v>
      </x:c>
      <x:c r="D1266" s="43" t="str">
        <x:f>IF(C1266&gt;=85,"A",IF(C1266&gt;=65,"B","C"))</x:f>
        <x:v>C</x:v>
      </x:c>
      <x:c r="E1266" s="43" t="str">
        <x:v>Charlotte House Preparatory School</x:v>
      </x:c>
      <x:c r="F1266" s="43" t="str">
        <x:v>Rickmansworth</x:v>
      </x:c>
      <x:c r="G1266" s="43" t="str">
        <x:v>Hertfordshire</x:v>
      </x:c>
      <x:c r="H1266" s="43" t="str">
        <x:v>WD3 4DU</x:v>
      </x:c>
      <x:c r="I1266" s="43" t="n">
        <x:v>3</x:v>
      </x:c>
      <x:c r="J1266" s="43" t="n">
        <x:v>11</x:v>
      </x:c>
      <x:c r="K1266" s="43" t="str">
        <x:v>No boarders</x:v>
      </x:c>
      <x:c r="L1266" s="43" t="str">
        <x:v>Does not have a sixth form</x:v>
      </x:c>
      <x:c r="M1266" s="43" t="n">
        <x:v>103</x:v>
      </x:c>
      <x:c r="N1266" s="43" t="str">
        <x:v>https://www.charlottehouseprepschool.co.uk</x:v>
      </x:c>
      <x:c r="O1266" s="43" t="str">
        <x:v>01923772101</x:v>
      </x:c>
      <x:c r="P1266" s="43" t="str"/>
      <x:c r="Q1266" s="43" t="str"/>
      <x:c r="R1266" s="43" t="str">
        <x:v>Queued for contact research</x:v>
      </x:c>
      <x:c r="S1266" s="43" t="str">
        <x:v>Not reviewed</x:v>
      </x:c>
      <x:c r="T1266" s="43" t="str">
        <x:v>Hold</x:v>
      </x:c>
      <x:c r="U1266" s="43" t="str">
        <x:v>No</x:v>
      </x:c>
      <x:c r="V1266" s="44"/>
      <x:c r="W1266" s="43" t="str"/>
      <x:c r="X1266" s="43" t="str"/>
      <x:c r="Y1266" s="43" t="str"/>
      <x:c r="Z1266" s="43" t="str">
        <x:v>https://www.get-information-schools.service.gov.uk/Downloads</x:v>
      </x:c>
    </x:row>
    <x:row r="1267">
      <x:c r="A1267" s="43" t="str">
        <x:v>UK independent</x:v>
      </x:c>
      <x:c r="B1267" s="43" t="str">
        <x:v>120738</x:v>
      </x:c>
      <x:c r="C1267" s="43" t="n">
        <x:f>IF(K1267="Boarding school",30,0)+IF(J1267&gt;=18,20,0)+IF(I1267&lt;=11,10,0)+IF(L1267="Has a sixth form",15,0)+IF(M1267&gt;=200,10,0)+IF(N1267&lt;&gt;"",10,0)</x:f>
        <x:v>20</x:v>
      </x:c>
      <x:c r="D1267" s="43" t="str">
        <x:f>IF(C1267&gt;=85,"A",IF(C1267&gt;=65,"B","C"))</x:f>
        <x:v>C</x:v>
      </x:c>
      <x:c r="E1267" s="43" t="str">
        <x:v>Grantham Preparatory International School</x:v>
      </x:c>
      <x:c r="F1267" s="43" t="str">
        <x:v>Grantham</x:v>
      </x:c>
      <x:c r="G1267" s="43" t="str">
        <x:v>Lincolnshire</x:v>
      </x:c>
      <x:c r="H1267" s="43" t="str">
        <x:v>NG31 7UF</x:v>
      </x:c>
      <x:c r="I1267" s="43" t="n">
        <x:v>3</x:v>
      </x:c>
      <x:c r="J1267" s="43" t="n">
        <x:v>11</x:v>
      </x:c>
      <x:c r="K1267" s="43" t="str">
        <x:v>No boarders</x:v>
      </x:c>
      <x:c r="L1267" s="43" t="str">
        <x:v>Does not have a sixth form</x:v>
      </x:c>
      <x:c r="M1267" s="43" t="n">
        <x:v>103</x:v>
      </x:c>
      <x:c r="N1267" s="43" t="str">
        <x:v>https://tgps.co.uk</x:v>
      </x:c>
      <x:c r="O1267" s="43" t="str">
        <x:v>01476593293</x:v>
      </x:c>
      <x:c r="P1267" s="43" t="str"/>
      <x:c r="Q1267" s="43" t="str"/>
      <x:c r="R1267" s="43" t="str">
        <x:v>Queued for contact research</x:v>
      </x:c>
      <x:c r="S1267" s="43" t="str">
        <x:v>Not reviewed</x:v>
      </x:c>
      <x:c r="T1267" s="43" t="str">
        <x:v>Hold</x:v>
      </x:c>
      <x:c r="U1267" s="43" t="str">
        <x:v>No</x:v>
      </x:c>
      <x:c r="V1267" s="44"/>
      <x:c r="W1267" s="43" t="str"/>
      <x:c r="X1267" s="43" t="str"/>
      <x:c r="Y1267" s="43" t="str"/>
      <x:c r="Z1267" s="43" t="str">
        <x:v>https://www.get-information-schools.service.gov.uk/Downloads</x:v>
      </x:c>
    </x:row>
    <x:row r="1268">
      <x:c r="A1268" s="43" t="str">
        <x:v>UK independent</x:v>
      </x:c>
      <x:c r="B1268" s="43" t="str">
        <x:v>134805</x:v>
      </x:c>
      <x:c r="C1268" s="43" t="n">
        <x:f>IF(K1268="Boarding school",30,0)+IF(J1268&gt;=18,20,0)+IF(I1268&lt;=11,10,0)+IF(L1268="Has a sixth form",15,0)+IF(M1268&gt;=200,10,0)+IF(N1268&lt;&gt;"",10,0)</x:f>
        <x:v>20</x:v>
      </x:c>
      <x:c r="D1268" s="43" t="str">
        <x:f>IF(C1268&gt;=85,"A",IF(C1268&gt;=65,"B","C"))</x:f>
        <x:v>C</x:v>
      </x:c>
      <x:c r="E1268" s="43" t="str">
        <x:v>Jamiatul Uloom Al - Islamia</x:v>
      </x:c>
      <x:c r="F1268" s="43" t="str">
        <x:v>Luton</x:v>
      </x:c>
      <x:c r="G1268" s="43" t="str">
        <x:v>Bedfordshire</x:v>
      </x:c>
      <x:c r="H1268" s="43" t="str">
        <x:v>LU3 1RF</x:v>
      </x:c>
      <x:c r="I1268" s="43" t="n">
        <x:v>10</x:v>
      </x:c>
      <x:c r="J1268" s="43" t="n">
        <x:v>16</x:v>
      </x:c>
      <x:c r="K1268" s="43" t="str">
        <x:v>No boarders</x:v>
      </x:c>
      <x:c r="L1268" s="43" t="str">
        <x:v>Does not have a sixth form</x:v>
      </x:c>
      <x:c r="M1268" s="43" t="n">
        <x:v>103</x:v>
      </x:c>
      <x:c r="N1268" s="43" t="str">
        <x:v>https://www.jamialuton.org</x:v>
      </x:c>
      <x:c r="O1268" s="43" t="str">
        <x:v>01582595535</x:v>
      </x:c>
      <x:c r="P1268" s="43" t="str"/>
      <x:c r="Q1268" s="43" t="str"/>
      <x:c r="R1268" s="43" t="str">
        <x:v>Queued for contact research</x:v>
      </x:c>
      <x:c r="S1268" s="43" t="str">
        <x:v>Not reviewed</x:v>
      </x:c>
      <x:c r="T1268" s="43" t="str">
        <x:v>Hold</x:v>
      </x:c>
      <x:c r="U1268" s="43" t="str">
        <x:v>No</x:v>
      </x:c>
      <x:c r="V1268" s="44"/>
      <x:c r="W1268" s="43" t="str"/>
      <x:c r="X1268" s="43" t="str"/>
      <x:c r="Y1268" s="43" t="str"/>
      <x:c r="Z1268" s="43" t="str">
        <x:v>https://www.get-information-schools.service.gov.uk/Downloads</x:v>
      </x:c>
    </x:row>
    <x:row r="1269">
      <x:c r="A1269" s="43" t="str">
        <x:v>UK independent</x:v>
      </x:c>
      <x:c r="B1269" s="43" t="str">
        <x:v>100545</x:v>
      </x:c>
      <x:c r="C1269" s="43" t="n">
        <x:f>IF(K1269="Boarding school",30,0)+IF(J1269&gt;=18,20,0)+IF(I1269&lt;=11,10,0)+IF(L1269="Has a sixth form",15,0)+IF(M1269&gt;=200,10,0)+IF(N1269&lt;&gt;"",10,0)</x:f>
        <x:v>20</x:v>
      </x:c>
      <x:c r="D1269" s="43" t="str">
        <x:f>IF(C1269&gt;=85,"A",IF(C1269&gt;=65,"B","C"))</x:f>
        <x:v>C</x:v>
      </x:c>
      <x:c r="E1269" s="43" t="str">
        <x:v>La Petite Ecole Francaise</x:v>
      </x:c>
      <x:c r="F1269" s="43" t="str">
        <x:v>London</x:v>
      </x:c>
      <x:c r="G1269" s="43" t="str"/>
      <x:c r="H1269" s="43" t="str">
        <x:v>W10 6EJ</x:v>
      </x:c>
      <x:c r="I1269" s="43" t="n">
        <x:v>2</x:v>
      </x:c>
      <x:c r="J1269" s="43" t="n">
        <x:v>11</x:v>
      </x:c>
      <x:c r="K1269" s="43" t="str">
        <x:v>No boarders</x:v>
      </x:c>
      <x:c r="L1269" s="43" t="str">
        <x:v>Does not have a sixth form</x:v>
      </x:c>
      <x:c r="M1269" s="43" t="n">
        <x:v>103</x:v>
      </x:c>
      <x:c r="N1269" s="43" t="str">
        <x:v>http://www.lapetiteecolefrancaise.co.uk/</x:v>
      </x:c>
      <x:c r="O1269" s="43" t="str">
        <x:v>02089601278</x:v>
      </x:c>
      <x:c r="P1269" s="43" t="str"/>
      <x:c r="Q1269" s="43" t="str"/>
      <x:c r="R1269" s="43" t="str">
        <x:v>Queued for contact research</x:v>
      </x:c>
      <x:c r="S1269" s="43" t="str">
        <x:v>Not reviewed</x:v>
      </x:c>
      <x:c r="T1269" s="43" t="str">
        <x:v>Hold</x:v>
      </x:c>
      <x:c r="U1269" s="43" t="str">
        <x:v>No</x:v>
      </x:c>
      <x:c r="V1269" s="44"/>
      <x:c r="W1269" s="43" t="str"/>
      <x:c r="X1269" s="43" t="str"/>
      <x:c r="Y1269" s="43" t="str"/>
      <x:c r="Z1269" s="43" t="str">
        <x:v>https://www.get-information-schools.service.gov.uk/Downloads</x:v>
      </x:c>
    </x:row>
    <x:row r="1270">
      <x:c r="A1270" s="43" t="str">
        <x:v>UK independent</x:v>
      </x:c>
      <x:c r="B1270" s="43" t="str">
        <x:v>147301</x:v>
      </x:c>
      <x:c r="C1270" s="43" t="n">
        <x:f>IF(K1270="Boarding school",30,0)+IF(J1270&gt;=18,20,0)+IF(I1270&lt;=11,10,0)+IF(L1270="Has a sixth form",15,0)+IF(M1270&gt;=200,10,0)+IF(N1270&lt;&gt;"",10,0)</x:f>
        <x:v>20</x:v>
      </x:c>
      <x:c r="D1270" s="43" t="str">
        <x:f>IF(C1270&gt;=85,"A",IF(C1270&gt;=65,"B","C"))</x:f>
        <x:v>C</x:v>
      </x:c>
      <x:c r="E1270" s="43" t="str">
        <x:v>Edenfield Girls' High School</x:v>
      </x:c>
      <x:c r="F1270" s="43" t="str"/>
      <x:c r="G1270" s="43" t="str">
        <x:v>Lancashire</x:v>
      </x:c>
      <x:c r="H1270" s="43" t="str">
        <x:v>BB9 0PQ</x:v>
      </x:c>
      <x:c r="I1270" s="43" t="n">
        <x:v>11</x:v>
      </x:c>
      <x:c r="J1270" s="43" t="n">
        <x:v>16</x:v>
      </x:c>
      <x:c r="K1270" s="43" t="str">
        <x:v>No boarders</x:v>
      </x:c>
      <x:c r="L1270" s="43" t="str">
        <x:v>Does not have a sixth form</x:v>
      </x:c>
      <x:c r="M1270" s="43" t="n">
        <x:v>102</x:v>
      </x:c>
      <x:c r="N1270" s="43" t="str">
        <x:v>https://www.edenfieldgirlshighschool.com</x:v>
      </x:c>
      <x:c r="O1270" s="43" t="str">
        <x:v>01282476011</x:v>
      </x:c>
      <x:c r="P1270" s="43" t="str"/>
      <x:c r="Q1270" s="43" t="str"/>
      <x:c r="R1270" s="43" t="str">
        <x:v>Queued for contact research</x:v>
      </x:c>
      <x:c r="S1270" s="43" t="str">
        <x:v>Not reviewed</x:v>
      </x:c>
      <x:c r="T1270" s="43" t="str">
        <x:v>Hold</x:v>
      </x:c>
      <x:c r="U1270" s="43" t="str">
        <x:v>No</x:v>
      </x:c>
      <x:c r="V1270" s="44"/>
      <x:c r="W1270" s="43" t="str"/>
      <x:c r="X1270" s="43" t="str"/>
      <x:c r="Y1270" s="43" t="str"/>
      <x:c r="Z1270" s="43" t="str">
        <x:v>https://www.get-information-schools.service.gov.uk/Downloads</x:v>
      </x:c>
    </x:row>
    <x:row r="1271">
      <x:c r="A1271" s="43" t="str">
        <x:v>UK independent</x:v>
      </x:c>
      <x:c r="B1271" s="43" t="str">
        <x:v>123280</x:v>
      </x:c>
      <x:c r="C1271" s="43" t="n">
        <x:f>IF(K1271="Boarding school",30,0)+IF(J1271&gt;=18,20,0)+IF(I1271&lt;=11,10,0)+IF(L1271="Has a sixth form",15,0)+IF(M1271&gt;=200,10,0)+IF(N1271&lt;&gt;"",10,0)</x:f>
        <x:v>20</x:v>
      </x:c>
      <x:c r="D1271" s="43" t="str">
        <x:f>IF(C1271&gt;=85,"A",IF(C1271&gt;=65,"B","C"))</x:f>
        <x:v>C</x:v>
      </x:c>
      <x:c r="E1271" s="43" t="str">
        <x:v>St Mary's Preparatory</x:v>
      </x:c>
      <x:c r="F1271" s="43" t="str"/>
      <x:c r="G1271" s="43" t="str">
        <x:v>Oxfordshire</x:v>
      </x:c>
      <x:c r="H1271" s="43" t="str">
        <x:v>RG9 1HS</x:v>
      </x:c>
      <x:c r="I1271" s="43" t="n">
        <x:v>3</x:v>
      </x:c>
      <x:c r="J1271" s="43" t="n">
        <x:v>11</x:v>
      </x:c>
      <x:c r="K1271" s="43" t="str">
        <x:v>No boarders</x:v>
      </x:c>
      <x:c r="L1271" s="43" t="str">
        <x:v>Does not have a sixth form</x:v>
      </x:c>
      <x:c r="M1271" s="43" t="n">
        <x:v>102</x:v>
      </x:c>
      <x:c r="N1271" s="43" t="str">
        <x:v>https://www.stmarysprep.co.uk</x:v>
      </x:c>
      <x:c r="O1271" s="43" t="str">
        <x:v>441491573118</x:v>
      </x:c>
      <x:c r="P1271" s="43" t="str"/>
      <x:c r="Q1271" s="43" t="str"/>
      <x:c r="R1271" s="43" t="str">
        <x:v>Queued for contact research</x:v>
      </x:c>
      <x:c r="S1271" s="43" t="str">
        <x:v>Not reviewed</x:v>
      </x:c>
      <x:c r="T1271" s="43" t="str">
        <x:v>Hold</x:v>
      </x:c>
      <x:c r="U1271" s="43" t="str">
        <x:v>No</x:v>
      </x:c>
      <x:c r="V1271" s="44"/>
      <x:c r="W1271" s="43" t="str"/>
      <x:c r="X1271" s="43" t="str"/>
      <x:c r="Y1271" s="43" t="str"/>
      <x:c r="Z1271" s="43" t="str">
        <x:v>https://www.get-information-schools.service.gov.uk/Downloads</x:v>
      </x:c>
    </x:row>
    <x:row r="1272">
      <x:c r="A1272" s="43" t="str">
        <x:v>UK independent</x:v>
      </x:c>
      <x:c r="B1272" s="43" t="str">
        <x:v>122932</x:v>
      </x:c>
      <x:c r="C1272" s="43" t="n">
        <x:f>IF(K1272="Boarding school",30,0)+IF(J1272&gt;=18,20,0)+IF(I1272&lt;=11,10,0)+IF(L1272="Has a sixth form",15,0)+IF(M1272&gt;=200,10,0)+IF(N1272&lt;&gt;"",10,0)</x:f>
        <x:v>20</x:v>
      </x:c>
      <x:c r="D1272" s="43" t="str">
        <x:f>IF(C1272&gt;=85,"A",IF(C1272&gt;=65,"B","C"))</x:f>
        <x:v>C</x:v>
      </x:c>
      <x:c r="E1272" s="43" t="str">
        <x:v>Plumtree School</x:v>
      </x:c>
      <x:c r="F1272" s="43" t="str">
        <x:v>Nottingham</x:v>
      </x:c>
      <x:c r="G1272" s="43" t="str">
        <x:v>Nottinghamshire</x:v>
      </x:c>
      <x:c r="H1272" s="43" t="str">
        <x:v>NG12 5ND</x:v>
      </x:c>
      <x:c r="I1272" s="43" t="n">
        <x:v>3</x:v>
      </x:c>
      <x:c r="J1272" s="43" t="n">
        <x:v>11</x:v>
      </x:c>
      <x:c r="K1272" s="43" t="str">
        <x:v>No boarders</x:v>
      </x:c>
      <x:c r="L1272" s="43" t="str">
        <x:v>Not applicable</x:v>
      </x:c>
      <x:c r="M1272" s="43" t="n">
        <x:v>101</x:v>
      </x:c>
      <x:c r="N1272" s="43" t="str">
        <x:v>https://www.plumtreeschool.co.uk</x:v>
      </x:c>
      <x:c r="O1272" s="43" t="str">
        <x:v>01159375859</x:v>
      </x:c>
      <x:c r="P1272" s="43" t="str"/>
      <x:c r="Q1272" s="43" t="str"/>
      <x:c r="R1272" s="43" t="str">
        <x:v>Queued for contact research</x:v>
      </x:c>
      <x:c r="S1272" s="43" t="str">
        <x:v>Not reviewed</x:v>
      </x:c>
      <x:c r="T1272" s="43" t="str">
        <x:v>Hold</x:v>
      </x:c>
      <x:c r="U1272" s="43" t="str">
        <x:v>No</x:v>
      </x:c>
      <x:c r="V1272" s="44"/>
      <x:c r="W1272" s="43" t="str"/>
      <x:c r="X1272" s="43" t="str"/>
      <x:c r="Y1272" s="43" t="str"/>
      <x:c r="Z1272" s="43" t="str">
        <x:v>https://www.get-information-schools.service.gov.uk/Downloads</x:v>
      </x:c>
    </x:row>
    <x:row r="1273">
      <x:c r="A1273" s="43" t="str">
        <x:v>UK independent</x:v>
      </x:c>
      <x:c r="B1273" s="43" t="str">
        <x:v>101955</x:v>
      </x:c>
      <x:c r="C1273" s="43" t="n">
        <x:f>IF(K1273="Boarding school",30,0)+IF(J1273&gt;=18,20,0)+IF(I1273&lt;=11,10,0)+IF(L1273="Has a sixth form",15,0)+IF(M1273&gt;=200,10,0)+IF(N1273&lt;&gt;"",10,0)</x:f>
        <x:v>20</x:v>
      </x:c>
      <x:c r="D1273" s="43" t="str">
        <x:f>IF(C1273&gt;=85,"A",IF(C1273&gt;=65,"B","C"))</x:f>
        <x:v>C</x:v>
      </x:c>
      <x:c r="E1273" s="43" t="str">
        <x:v>Clifton Lodge School</x:v>
      </x:c>
      <x:c r="F1273" s="43" t="str"/>
      <x:c r="G1273" s="43" t="str"/>
      <x:c r="H1273" s="43" t="str">
        <x:v>W5 5BG</x:v>
      </x:c>
      <x:c r="I1273" s="43" t="n">
        <x:v>3</x:v>
      </x:c>
      <x:c r="J1273" s="43" t="n">
        <x:v>11</x:v>
      </x:c>
      <x:c r="K1273" s="43" t="str">
        <x:v>No boarders</x:v>
      </x:c>
      <x:c r="L1273" s="43" t="str">
        <x:v>Does not have a sixth form</x:v>
      </x:c>
      <x:c r="M1273" s="43" t="n">
        <x:v>100</x:v>
      </x:c>
      <x:c r="N1273" s="43" t="str">
        <x:v>https://www.cliftonlodgeschool.co.uk</x:v>
      </x:c>
      <x:c r="O1273" s="43" t="str">
        <x:v>02085793662</x:v>
      </x:c>
      <x:c r="P1273" s="43" t="str"/>
      <x:c r="Q1273" s="43" t="str"/>
      <x:c r="R1273" s="43" t="str">
        <x:v>Queued for contact research</x:v>
      </x:c>
      <x:c r="S1273" s="43" t="str">
        <x:v>Not reviewed</x:v>
      </x:c>
      <x:c r="T1273" s="43" t="str">
        <x:v>Hold</x:v>
      </x:c>
      <x:c r="U1273" s="43" t="str">
        <x:v>No</x:v>
      </x:c>
      <x:c r="V1273" s="44"/>
      <x:c r="W1273" s="43" t="str"/>
      <x:c r="X1273" s="43" t="str"/>
      <x:c r="Y1273" s="43" t="str"/>
      <x:c r="Z1273" s="43" t="str">
        <x:v>https://www.get-information-schools.service.gov.uk/Downloads</x:v>
      </x:c>
    </x:row>
    <x:row r="1274">
      <x:c r="A1274" s="43" t="str">
        <x:v>UK independent</x:v>
      </x:c>
      <x:c r="B1274" s="43" t="str">
        <x:v>110554</x:v>
      </x:c>
      <x:c r="C1274" s="43" t="n">
        <x:f>IF(K1274="Boarding school",30,0)+IF(J1274&gt;=18,20,0)+IF(I1274&lt;=11,10,0)+IF(L1274="Has a sixth form",15,0)+IF(M1274&gt;=200,10,0)+IF(N1274&lt;&gt;"",10,0)</x:f>
        <x:v>20</x:v>
      </x:c>
      <x:c r="D1274" s="43" t="str">
        <x:f>IF(C1274&gt;=85,"A",IF(C1274&gt;=65,"B","C"))</x:f>
        <x:v>C</x:v>
      </x:c>
      <x:c r="E1274" s="43" t="str">
        <x:v>Dair House School</x:v>
      </x:c>
      <x:c r="F1274" s="43" t="str">
        <x:v>Farnham Royal</x:v>
      </x:c>
      <x:c r="G1274" s="43" t="str"/>
      <x:c r="H1274" s="43" t="str">
        <x:v>SL2 3BY</x:v>
      </x:c>
      <x:c r="I1274" s="43" t="n">
        <x:v>2</x:v>
      </x:c>
      <x:c r="J1274" s="43" t="n">
        <x:v>11</x:v>
      </x:c>
      <x:c r="K1274" s="43" t="str">
        <x:v>No boarders</x:v>
      </x:c>
      <x:c r="L1274" s="43" t="str">
        <x:v>Does not have a sixth form</x:v>
      </x:c>
      <x:c r="M1274" s="43" t="n">
        <x:v>100</x:v>
      </x:c>
      <x:c r="N1274" s="43" t="str">
        <x:v>https://www.dairhouse.co.uk</x:v>
      </x:c>
      <x:c r="O1274" s="43" t="str">
        <x:v>01753643964</x:v>
      </x:c>
      <x:c r="P1274" s="43" t="str"/>
      <x:c r="Q1274" s="43" t="str"/>
      <x:c r="R1274" s="43" t="str">
        <x:v>Queued for contact research</x:v>
      </x:c>
      <x:c r="S1274" s="43" t="str">
        <x:v>Not reviewed</x:v>
      </x:c>
      <x:c r="T1274" s="43" t="str">
        <x:v>Hold</x:v>
      </x:c>
      <x:c r="U1274" s="43" t="str">
        <x:v>No</x:v>
      </x:c>
      <x:c r="V1274" s="44"/>
      <x:c r="W1274" s="43" t="str"/>
      <x:c r="X1274" s="43" t="str"/>
      <x:c r="Y1274" s="43" t="str"/>
      <x:c r="Z1274" s="43" t="str">
        <x:v>https://www.get-information-schools.service.gov.uk/Downloads</x:v>
      </x:c>
    </x:row>
    <x:row r="1275">
      <x:c r="A1275" s="43" t="str">
        <x:v>UK independent</x:v>
      </x:c>
      <x:c r="B1275" s="43" t="str">
        <x:v>148157</x:v>
      </x:c>
      <x:c r="C1275" s="43" t="n">
        <x:f>IF(K1275="Boarding school",30,0)+IF(J1275&gt;=18,20,0)+IF(I1275&lt;=11,10,0)+IF(L1275="Has a sixth form",15,0)+IF(M1275&gt;=200,10,0)+IF(N1275&lt;&gt;"",10,0)</x:f>
        <x:v>20</x:v>
      </x:c>
      <x:c r="D1275" s="43" t="str">
        <x:f>IF(C1275&gt;=85,"A",IF(C1275&gt;=65,"B","C"))</x:f>
        <x:v>C</x:v>
      </x:c>
      <x:c r="E1275" s="43" t="str">
        <x:v>Redstone Academy for Girls</x:v>
      </x:c>
      <x:c r="F1275" s="43" t="str">
        <x:v>Birmingham</x:v>
      </x:c>
      <x:c r="G1275" s="43" t="str">
        <x:v>West Midlands</x:v>
      </x:c>
      <x:c r="H1275" s="43" t="str">
        <x:v>B12 9AN</x:v>
      </x:c>
      <x:c r="I1275" s="43" t="n">
        <x:v>11</x:v>
      </x:c>
      <x:c r="J1275" s="43" t="n">
        <x:v>16</x:v>
      </x:c>
      <x:c r="K1275" s="43" t="str">
        <x:v>No boarders</x:v>
      </x:c>
      <x:c r="L1275" s="43" t="str">
        <x:v>Does not have a sixth form</x:v>
      </x:c>
      <x:c r="M1275" s="43" t="n">
        <x:v>100</x:v>
      </x:c>
      <x:c r="N1275" s="43" t="str">
        <x:v>https://www.redstoneacademy.com</x:v>
      </x:c>
      <x:c r="O1275" s="43" t="str">
        <x:v>01214487933</x:v>
      </x:c>
      <x:c r="P1275" s="43" t="str"/>
      <x:c r="Q1275" s="43" t="str"/>
      <x:c r="R1275" s="43" t="str">
        <x:v>Queued for contact research</x:v>
      </x:c>
      <x:c r="S1275" s="43" t="str">
        <x:v>Not reviewed</x:v>
      </x:c>
      <x:c r="T1275" s="43" t="str">
        <x:v>Hold</x:v>
      </x:c>
      <x:c r="U1275" s="43" t="str">
        <x:v>No</x:v>
      </x:c>
      <x:c r="V1275" s="44"/>
      <x:c r="W1275" s="43" t="str"/>
      <x:c r="X1275" s="43" t="str"/>
      <x:c r="Y1275" s="43" t="str"/>
      <x:c r="Z1275" s="43" t="str">
        <x:v>https://www.get-information-schools.service.gov.uk/Downloads</x:v>
      </x:c>
    </x:row>
    <x:row r="1276">
      <x:c r="A1276" s="43" t="str">
        <x:v>UK independent</x:v>
      </x:c>
      <x:c r="B1276" s="43" t="str">
        <x:v>134116</x:v>
      </x:c>
      <x:c r="C1276" s="43" t="n">
        <x:f>IF(K1276="Boarding school",30,0)+IF(J1276&gt;=18,20,0)+IF(I1276&lt;=11,10,0)+IF(L1276="Has a sixth form",15,0)+IF(M1276&gt;=200,10,0)+IF(N1276&lt;&gt;"",10,0)</x:f>
        <x:v>20</x:v>
      </x:c>
      <x:c r="D1276" s="43" t="str">
        <x:f>IF(C1276&gt;=85,"A",IF(C1276&gt;=65,"B","C"))</x:f>
        <x:v>C</x:v>
      </x:c>
      <x:c r="E1276" s="43" t="str">
        <x:v>Springmead Preparatory School</x:v>
      </x:c>
      <x:c r="F1276" s="43" t="str">
        <x:v>Somerset</x:v>
      </x:c>
      <x:c r="G1276" s="43" t="str">
        <x:v>Somerset</x:v>
      </x:c>
      <x:c r="H1276" s="43" t="str">
        <x:v>BA11 6TA</x:v>
      </x:c>
      <x:c r="I1276" s="43" t="n">
        <x:v>2</x:v>
      </x:c>
      <x:c r="J1276" s="43" t="n">
        <x:v>11</x:v>
      </x:c>
      <x:c r="K1276" s="43" t="str">
        <x:v>No boarders</x:v>
      </x:c>
      <x:c r="L1276" s="43" t="str">
        <x:v>Does not have a sixth form</x:v>
      </x:c>
      <x:c r="M1276" s="43" t="n">
        <x:v>100</x:v>
      </x:c>
      <x:c r="N1276" s="43" t="str">
        <x:v>https://www.springmead.com</x:v>
      </x:c>
      <x:c r="O1276" s="43" t="str">
        <x:v>01373831555</x:v>
      </x:c>
      <x:c r="P1276" s="43" t="str"/>
      <x:c r="Q1276" s="43" t="str"/>
      <x:c r="R1276" s="43" t="str">
        <x:v>Queued for contact research</x:v>
      </x:c>
      <x:c r="S1276" s="43" t="str">
        <x:v>Not reviewed</x:v>
      </x:c>
      <x:c r="T1276" s="43" t="str">
        <x:v>Hold</x:v>
      </x:c>
      <x:c r="U1276" s="43" t="str">
        <x:v>No</x:v>
      </x:c>
      <x:c r="V1276" s="44"/>
      <x:c r="W1276" s="43" t="str"/>
      <x:c r="X1276" s="43" t="str"/>
      <x:c r="Y1276" s="43" t="str"/>
      <x:c r="Z1276" s="43" t="str">
        <x:v>https://www.get-information-schools.service.gov.uk/Downloads</x:v>
      </x:c>
    </x:row>
    <x:row r="1277">
      <x:c r="A1277" s="43" t="str">
        <x:v>UK independent</x:v>
      </x:c>
      <x:c r="B1277" s="43" t="str">
        <x:v>135989</x:v>
      </x:c>
      <x:c r="C1277" s="43" t="n">
        <x:f>IF(K1277="Boarding school",30,0)+IF(J1277&gt;=18,20,0)+IF(I1277&lt;=11,10,0)+IF(L1277="Has a sixth form",15,0)+IF(M1277&gt;=200,10,0)+IF(N1277&lt;&gt;"",10,0)</x:f>
        <x:v>20</x:v>
      </x:c>
      <x:c r="D1277" s="43" t="str">
        <x:f>IF(C1277&gt;=85,"A",IF(C1277&gt;=65,"B","C"))</x:f>
        <x:v>C</x:v>
      </x:c>
      <x:c r="E1277" s="43" t="str">
        <x:v>Faraday School</x:v>
      </x:c>
      <x:c r="F1277" s="43" t="str">
        <x:v>London</x:v>
      </x:c>
      <x:c r="G1277" s="43" t="str"/>
      <x:c r="H1277" s="43" t="str">
        <x:v>E14 0FH</x:v>
      </x:c>
      <x:c r="I1277" s="43" t="n">
        <x:v>4</x:v>
      </x:c>
      <x:c r="J1277" s="43" t="n">
        <x:v>11</x:v>
      </x:c>
      <x:c r="K1277" s="43" t="str">
        <x:v>No boarders</x:v>
      </x:c>
      <x:c r="L1277" s="43" t="str">
        <x:v>Does not have a sixth form</x:v>
      </x:c>
      <x:c r="M1277" s="43" t="n">
        <x:v>98</x:v>
      </x:c>
      <x:c r="N1277" s="43" t="str">
        <x:v>https://www.faradayschool.co.uk</x:v>
      </x:c>
      <x:c r="O1277" s="43" t="str">
        <x:v>02077199342</x:v>
      </x:c>
      <x:c r="P1277" s="43" t="str"/>
      <x:c r="Q1277" s="43" t="str"/>
      <x:c r="R1277" s="43" t="str">
        <x:v>Queued for contact research</x:v>
      </x:c>
      <x:c r="S1277" s="43" t="str">
        <x:v>Not reviewed</x:v>
      </x:c>
      <x:c r="T1277" s="43" t="str">
        <x:v>Hold</x:v>
      </x:c>
      <x:c r="U1277" s="43" t="str">
        <x:v>No</x:v>
      </x:c>
      <x:c r="V1277" s="44"/>
      <x:c r="W1277" s="43" t="str"/>
      <x:c r="X1277" s="43" t="str"/>
      <x:c r="Y1277" s="43" t="str"/>
      <x:c r="Z1277" s="43" t="str">
        <x:v>https://www.get-information-schools.service.gov.uk/Downloads</x:v>
      </x:c>
    </x:row>
    <x:row r="1278">
      <x:c r="A1278" s="43" t="str">
        <x:v>UK independent</x:v>
      </x:c>
      <x:c r="B1278" s="43" t="str">
        <x:v>115412</x:v>
      </x:c>
      <x:c r="C1278" s="43" t="n">
        <x:f>IF(K1278="Boarding school",30,0)+IF(J1278&gt;=18,20,0)+IF(I1278&lt;=11,10,0)+IF(L1278="Has a sixth form",15,0)+IF(M1278&gt;=200,10,0)+IF(N1278&lt;&gt;"",10,0)</x:f>
        <x:v>20</x:v>
      </x:c>
      <x:c r="D1278" s="43" t="str">
        <x:f>IF(C1278&gt;=85,"A",IF(C1278&gt;=65,"B","C"))</x:f>
        <x:v>C</x:v>
      </x:c>
      <x:c r="E1278" s="43" t="str">
        <x:v>Heathcote School</x:v>
      </x:c>
      <x:c r="F1278" s="43" t="str">
        <x:v>Chelmsford</x:v>
      </x:c>
      <x:c r="G1278" s="43" t="str">
        <x:v>Essex</x:v>
      </x:c>
      <x:c r="H1278" s="43" t="str">
        <x:v>CM3 4QB</x:v>
      </x:c>
      <x:c r="I1278" s="43" t="n">
        <x:v>2</x:v>
      </x:c>
      <x:c r="J1278" s="43" t="n">
        <x:v>11</x:v>
      </x:c>
      <x:c r="K1278" s="43" t="str">
        <x:v>No boarders</x:v>
      </x:c>
      <x:c r="L1278" s="43" t="str">
        <x:v>Does not have a sixth form</x:v>
      </x:c>
      <x:c r="M1278" s="43" t="n">
        <x:v>98</x:v>
      </x:c>
      <x:c r="N1278" s="43" t="str">
        <x:v>http://www.heathcoteschool.co.uk/</x:v>
      </x:c>
      <x:c r="O1278" s="43" t="str">
        <x:v>01245223131</x:v>
      </x:c>
      <x:c r="P1278" s="43" t="str"/>
      <x:c r="Q1278" s="43" t="str"/>
      <x:c r="R1278" s="43" t="str">
        <x:v>Queued for contact research</x:v>
      </x:c>
      <x:c r="S1278" s="43" t="str">
        <x:v>Not reviewed</x:v>
      </x:c>
      <x:c r="T1278" s="43" t="str">
        <x:v>Hold</x:v>
      </x:c>
      <x:c r="U1278" s="43" t="str">
        <x:v>No</x:v>
      </x:c>
      <x:c r="V1278" s="44"/>
      <x:c r="W1278" s="43" t="str"/>
      <x:c r="X1278" s="43" t="str"/>
      <x:c r="Y1278" s="43" t="str"/>
      <x:c r="Z1278" s="43" t="str">
        <x:v>https://www.get-information-schools.service.gov.uk/Downloads</x:v>
      </x:c>
    </x:row>
    <x:row r="1279">
      <x:c r="A1279" s="43" t="str">
        <x:v>UK independent</x:v>
      </x:c>
      <x:c r="B1279" s="43" t="str">
        <x:v>102618</x:v>
      </x:c>
      <x:c r="C1279" s="43" t="n">
        <x:f>IF(K1279="Boarding school",30,0)+IF(J1279&gt;=18,20,0)+IF(I1279&lt;=11,10,0)+IF(L1279="Has a sixth form",15,0)+IF(M1279&gt;=200,10,0)+IF(N1279&lt;&gt;"",10,0)</x:f>
        <x:v>20</x:v>
      </x:c>
      <x:c r="D1279" s="43" t="str">
        <x:f>IF(C1279&gt;=85,"A",IF(C1279&gt;=65,"B","C"))</x:f>
        <x:v>C</x:v>
      </x:c>
      <x:c r="E1279" s="43" t="str">
        <x:v>Westbury House School</x:v>
      </x:c>
      <x:c r="F1279" s="43" t="str">
        <x:v>New Malden</x:v>
      </x:c>
      <x:c r="G1279" s="43" t="str">
        <x:v>Surrey</x:v>
      </x:c>
      <x:c r="H1279" s="43" t="str">
        <x:v>KT3 5AS</x:v>
      </x:c>
      <x:c r="I1279" s="43" t="n">
        <x:v>2</x:v>
      </x:c>
      <x:c r="J1279" s="43" t="n">
        <x:v>11</x:v>
      </x:c>
      <x:c r="K1279" s="43" t="str">
        <x:v>No boarders</x:v>
      </x:c>
      <x:c r="L1279" s="43" t="str">
        <x:v>Does not have a sixth form</x:v>
      </x:c>
      <x:c r="M1279" s="43" t="n">
        <x:v>98</x:v>
      </x:c>
      <x:c r="N1279" s="43" t="str">
        <x:v>https://www.westburyhouse.surrey.sch.uk/</x:v>
      </x:c>
      <x:c r="O1279" s="43" t="str">
        <x:v>02089425885</x:v>
      </x:c>
      <x:c r="P1279" s="43" t="str"/>
      <x:c r="Q1279" s="43" t="str"/>
      <x:c r="R1279" s="43" t="str">
        <x:v>Queued for contact research</x:v>
      </x:c>
      <x:c r="S1279" s="43" t="str">
        <x:v>Not reviewed</x:v>
      </x:c>
      <x:c r="T1279" s="43" t="str">
        <x:v>Hold</x:v>
      </x:c>
      <x:c r="U1279" s="43" t="str">
        <x:v>No</x:v>
      </x:c>
      <x:c r="V1279" s="44"/>
      <x:c r="W1279" s="43" t="str"/>
      <x:c r="X1279" s="43" t="str"/>
      <x:c r="Y1279" s="43" t="str"/>
      <x:c r="Z1279" s="43" t="str">
        <x:v>https://www.get-information-schools.service.gov.uk/Downloads</x:v>
      </x:c>
    </x:row>
    <x:row r="1280">
      <x:c r="A1280" s="43" t="str">
        <x:v>UK independent</x:v>
      </x:c>
      <x:c r="B1280" s="43" t="str">
        <x:v>139235</x:v>
      </x:c>
      <x:c r="C1280" s="43" t="n">
        <x:f>IF(K1280="Boarding school",30,0)+IF(J1280&gt;=18,20,0)+IF(I1280&lt;=11,10,0)+IF(L1280="Has a sixth form",15,0)+IF(M1280&gt;=200,10,0)+IF(N1280&lt;&gt;"",10,0)</x:f>
        <x:v>20</x:v>
      </x:c>
      <x:c r="D1280" s="43" t="str">
        <x:f>IF(C1280&gt;=85,"A",IF(C1280&gt;=65,"B","C"))</x:f>
        <x:v>C</x:v>
      </x:c>
      <x:c r="E1280" s="43" t="str">
        <x:v>Burton Hathow Preparatory School</x:v>
      </x:c>
      <x:c r="F1280" s="43" t="str">
        <x:v>Lincoln</x:v>
      </x:c>
      <x:c r="G1280" s="43" t="str"/>
      <x:c r="H1280" s="43" t="str">
        <x:v>LN1 2BB</x:v>
      </x:c>
      <x:c r="I1280" s="43" t="n">
        <x:v>2</x:v>
      </x:c>
      <x:c r="J1280" s="43" t="n">
        <x:v>11</x:v>
      </x:c>
      <x:c r="K1280" s="43" t="str">
        <x:v>No boarders</x:v>
      </x:c>
      <x:c r="L1280" s="43" t="str">
        <x:v>Does not have a sixth form</x:v>
      </x:c>
      <x:c r="M1280" s="43" t="n">
        <x:v>96</x:v>
      </x:c>
      <x:c r="N1280" s="43" t="str">
        <x:v>https://www.burtonhathow.co.uk</x:v>
      </x:c>
      <x:c r="O1280" s="43" t="str">
        <x:v>01522702657</x:v>
      </x:c>
      <x:c r="P1280" s="43" t="str"/>
      <x:c r="Q1280" s="43" t="str"/>
      <x:c r="R1280" s="43" t="str">
        <x:v>Queued for contact research</x:v>
      </x:c>
      <x:c r="S1280" s="43" t="str">
        <x:v>Not reviewed</x:v>
      </x:c>
      <x:c r="T1280" s="43" t="str">
        <x:v>Hold</x:v>
      </x:c>
      <x:c r="U1280" s="43" t="str">
        <x:v>No</x:v>
      </x:c>
      <x:c r="V1280" s="44"/>
      <x:c r="W1280" s="43" t="str"/>
      <x:c r="X1280" s="43" t="str"/>
      <x:c r="Y1280" s="43" t="str"/>
      <x:c r="Z1280" s="43" t="str">
        <x:v>https://www.get-information-schools.service.gov.uk/Downloads</x:v>
      </x:c>
    </x:row>
    <x:row r="1281">
      <x:c r="A1281" s="43" t="str">
        <x:v>UK independent</x:v>
      </x:c>
      <x:c r="B1281" s="43" t="str">
        <x:v>134577</x:v>
      </x:c>
      <x:c r="C1281" s="43" t="n">
        <x:f>IF(K1281="Boarding school",30,0)+IF(J1281&gt;=18,20,0)+IF(I1281&lt;=11,10,0)+IF(L1281="Has a sixth form",15,0)+IF(M1281&gt;=200,10,0)+IF(N1281&lt;&gt;"",10,0)</x:f>
        <x:v>20</x:v>
      </x:c>
      <x:c r="D1281" s="43" t="str">
        <x:f>IF(C1281&gt;=85,"A",IF(C1281&gt;=65,"B","C"))</x:f>
        <x:v>C</x:v>
      </x:c>
      <x:c r="E1281" s="43" t="str">
        <x:v>Zakariya Primary School</x:v>
      </x:c>
      <x:c r="F1281" s="43" t="str">
        <x:v>London</x:v>
      </x:c>
      <x:c r="G1281" s="43" t="str"/>
      <x:c r="H1281" s="43" t="str">
        <x:v>E6 1EN</x:v>
      </x:c>
      <x:c r="I1281" s="43" t="n">
        <x:v>5</x:v>
      </x:c>
      <x:c r="J1281" s="43" t="n">
        <x:v>11</x:v>
      </x:c>
      <x:c r="K1281" s="43" t="str">
        <x:v>No boarders</x:v>
      </x:c>
      <x:c r="L1281" s="43" t="str">
        <x:v>Does not have a sixth form</x:v>
      </x:c>
      <x:c r="M1281" s="43" t="n">
        <x:v>96</x:v>
      </x:c>
      <x:c r="N1281" s="43" t="str">
        <x:v>https://www.zakariyaschool.org</x:v>
      </x:c>
      <x:c r="O1281" s="43" t="str">
        <x:v>02085556258</x:v>
      </x:c>
      <x:c r="P1281" s="43" t="str"/>
      <x:c r="Q1281" s="43" t="str"/>
      <x:c r="R1281" s="43" t="str">
        <x:v>Queued for contact research</x:v>
      </x:c>
      <x:c r="S1281" s="43" t="str">
        <x:v>Not reviewed</x:v>
      </x:c>
      <x:c r="T1281" s="43" t="str">
        <x:v>Hold</x:v>
      </x:c>
      <x:c r="U1281" s="43" t="str">
        <x:v>No</x:v>
      </x:c>
      <x:c r="V1281" s="44"/>
      <x:c r="W1281" s="43" t="str"/>
      <x:c r="X1281" s="43" t="str"/>
      <x:c r="Y1281" s="43" t="str"/>
      <x:c r="Z1281" s="43" t="str">
        <x:v>https://www.get-information-schools.service.gov.uk/Downloads</x:v>
      </x:c>
    </x:row>
    <x:row r="1282">
      <x:c r="A1282" s="43" t="str">
        <x:v>UK independent</x:v>
      </x:c>
      <x:c r="B1282" s="43" t="str">
        <x:v>120743</x:v>
      </x:c>
      <x:c r="C1282" s="43" t="n">
        <x:f>IF(K1282="Boarding school",30,0)+IF(J1282&gt;=18,20,0)+IF(I1282&lt;=11,10,0)+IF(L1282="Has a sixth form",15,0)+IF(M1282&gt;=200,10,0)+IF(N1282&lt;&gt;"",10,0)</x:f>
        <x:v>20</x:v>
      </x:c>
      <x:c r="D1282" s="43" t="str">
        <x:f>IF(C1282&gt;=85,"A",IF(C1282&gt;=65,"B","C"))</x:f>
        <x:v>C</x:v>
      </x:c>
      <x:c r="E1282" s="43" t="str">
        <x:v>Greenwich House School</x:v>
      </x:c>
      <x:c r="F1282" s="43" t="str">
        <x:v>Louth</x:v>
      </x:c>
      <x:c r="G1282" s="43" t="str">
        <x:v>Lincolnshire</x:v>
      </x:c>
      <x:c r="H1282" s="43" t="str">
        <x:v>LN11 0HE</x:v>
      </x:c>
      <x:c r="I1282" s="43" t="n">
        <x:v>3</x:v>
      </x:c>
      <x:c r="J1282" s="43" t="n">
        <x:v>11</x:v>
      </x:c>
      <x:c r="K1282" s="43" t="str">
        <x:v>No boarders</x:v>
      </x:c>
      <x:c r="L1282" s="43" t="str">
        <x:v>Does not have a sixth form</x:v>
      </x:c>
      <x:c r="M1282" s="43" t="n">
        <x:v>95</x:v>
      </x:c>
      <x:c r="N1282" s="43" t="str">
        <x:v>https://www.greenwichhouseschool.com</x:v>
      </x:c>
      <x:c r="O1282" s="43" t="str">
        <x:v>01507609252</x:v>
      </x:c>
      <x:c r="P1282" s="43" t="str"/>
      <x:c r="Q1282" s="43" t="str"/>
      <x:c r="R1282" s="43" t="str">
        <x:v>Queued for contact research</x:v>
      </x:c>
      <x:c r="S1282" s="43" t="str">
        <x:v>Not reviewed</x:v>
      </x:c>
      <x:c r="T1282" s="43" t="str">
        <x:v>Hold</x:v>
      </x:c>
      <x:c r="U1282" s="43" t="str">
        <x:v>No</x:v>
      </x:c>
      <x:c r="V1282" s="44"/>
      <x:c r="W1282" s="43" t="str"/>
      <x:c r="X1282" s="43" t="str"/>
      <x:c r="Y1282" s="43" t="str"/>
      <x:c r="Z1282" s="43" t="str">
        <x:v>https://www.get-information-schools.service.gov.uk/Downloads</x:v>
      </x:c>
    </x:row>
    <x:row r="1283">
      <x:c r="A1283" s="43" t="str">
        <x:v>UK independent</x:v>
      </x:c>
      <x:c r="B1283" s="43" t="str">
        <x:v>126526</x:v>
      </x:c>
      <x:c r="C1283" s="43" t="n">
        <x:f>IF(K1283="Boarding school",30,0)+IF(J1283&gt;=18,20,0)+IF(I1283&lt;=11,10,0)+IF(L1283="Has a sixth form",15,0)+IF(M1283&gt;=200,10,0)+IF(N1283&lt;&gt;"",10,0)</x:f>
        <x:v>20</x:v>
      </x:c>
      <x:c r="D1283" s="43" t="str">
        <x:f>IF(C1283&gt;=85,"A",IF(C1283&gt;=65,"B","C"))</x:f>
        <x:v>C</x:v>
      </x:c>
      <x:c r="E1283" s="43" t="str">
        <x:v>St Francis School</x:v>
      </x:c>
      <x:c r="F1283" s="43" t="str">
        <x:v>Pewsey</x:v>
      </x:c>
      <x:c r="G1283" s="43" t="str">
        <x:v>Wiltshire</x:v>
      </x:c>
      <x:c r="H1283" s="43" t="str">
        <x:v>SN9 5NT</x:v>
      </x:c>
      <x:c r="I1283" s="43" t="n">
        <x:v>1</x:v>
      </x:c>
      <x:c r="J1283" s="43" t="n">
        <x:v>13</x:v>
      </x:c>
      <x:c r="K1283" s="43" t="str">
        <x:v>No boarders</x:v>
      </x:c>
      <x:c r="L1283" s="43" t="str">
        <x:v>Does not have a sixth form</x:v>
      </x:c>
      <x:c r="M1283" s="43" t="n">
        <x:v>95</x:v>
      </x:c>
      <x:c r="N1283" s="43" t="str">
        <x:v>http://www.stfpewsey.co.uk</x:v>
      </x:c>
      <x:c r="O1283" s="43" t="str">
        <x:v>01672563228</x:v>
      </x:c>
      <x:c r="P1283" s="43" t="str"/>
      <x:c r="Q1283" s="43" t="str"/>
      <x:c r="R1283" s="43" t="str">
        <x:v>Queued for contact research</x:v>
      </x:c>
      <x:c r="S1283" s="43" t="str">
        <x:v>Not reviewed</x:v>
      </x:c>
      <x:c r="T1283" s="43" t="str">
        <x:v>Hold</x:v>
      </x:c>
      <x:c r="U1283" s="43" t="str">
        <x:v>No</x:v>
      </x:c>
      <x:c r="V1283" s="44"/>
      <x:c r="W1283" s="43" t="str"/>
      <x:c r="X1283" s="43" t="str"/>
      <x:c r="Y1283" s="43" t="str"/>
      <x:c r="Z1283" s="43" t="str">
        <x:v>https://www.get-information-schools.service.gov.uk/Downloads</x:v>
      </x:c>
    </x:row>
    <x:row r="1284">
      <x:c r="A1284" s="43" t="str">
        <x:v>UK independent</x:v>
      </x:c>
      <x:c r="B1284" s="43" t="str">
        <x:v>145416</x:v>
      </x:c>
      <x:c r="C1284" s="43" t="n">
        <x:f>IF(K1284="Boarding school",30,0)+IF(J1284&gt;=18,20,0)+IF(I1284&lt;=11,10,0)+IF(L1284="Has a sixth form",15,0)+IF(M1284&gt;=200,10,0)+IF(N1284&lt;&gt;"",10,0)</x:f>
        <x:v>20</x:v>
      </x:c>
      <x:c r="D1284" s="43" t="str">
        <x:f>IF(C1284&gt;=85,"A",IF(C1284&gt;=65,"B","C"))</x:f>
        <x:v>C</x:v>
      </x:c>
      <x:c r="E1284" s="43" t="str">
        <x:v>Al-Madani Independent Grammar School</x:v>
      </x:c>
      <x:c r="F1284" s="43" t="str"/>
      <x:c r="G1284" s="43" t="str"/>
      <x:c r="H1284" s="43" t="str">
        <x:v>SL1 6FE</x:v>
      </x:c>
      <x:c r="I1284" s="43" t="n">
        <x:v>11</x:v>
      </x:c>
      <x:c r="J1284" s="43" t="n">
        <x:v>16</x:v>
      </x:c>
      <x:c r="K1284" s="43" t="str">
        <x:v>No boarders</x:v>
      </x:c>
      <x:c r="L1284" s="43" t="str">
        <x:v>Does not have a sixth form</x:v>
      </x:c>
      <x:c r="M1284" s="43" t="n">
        <x:v>94</x:v>
      </x:c>
      <x:c r="N1284" s="43" t="str">
        <x:v>https://amigs.uk</x:v>
      </x:c>
      <x:c r="O1284" s="43" t="str">
        <x:v>01753202203</x:v>
      </x:c>
      <x:c r="P1284" s="43" t="str"/>
      <x:c r="Q1284" s="43" t="str"/>
      <x:c r="R1284" s="43" t="str">
        <x:v>Queued for contact research</x:v>
      </x:c>
      <x:c r="S1284" s="43" t="str">
        <x:v>Not reviewed</x:v>
      </x:c>
      <x:c r="T1284" s="43" t="str">
        <x:v>Hold</x:v>
      </x:c>
      <x:c r="U1284" s="43" t="str">
        <x:v>No</x:v>
      </x:c>
      <x:c r="V1284" s="44"/>
      <x:c r="W1284" s="43" t="str"/>
      <x:c r="X1284" s="43" t="str"/>
      <x:c r="Y1284" s="43" t="str"/>
      <x:c r="Z1284" s="43" t="str">
        <x:v>https://www.get-information-schools.service.gov.uk/Downloads</x:v>
      </x:c>
    </x:row>
    <x:row r="1285">
      <x:c r="A1285" s="43" t="str">
        <x:v>UK independent</x:v>
      </x:c>
      <x:c r="B1285" s="43" t="str">
        <x:v>137275</x:v>
      </x:c>
      <x:c r="C1285" s="43" t="n">
        <x:f>IF(K1285="Boarding school",30,0)+IF(J1285&gt;=18,20,0)+IF(I1285&lt;=11,10,0)+IF(L1285="Has a sixth form",15,0)+IF(M1285&gt;=200,10,0)+IF(N1285&lt;&gt;"",10,0)</x:f>
        <x:v>20</x:v>
      </x:c>
      <x:c r="D1285" s="43" t="str">
        <x:f>IF(C1285&gt;=85,"A",IF(C1285&gt;=65,"B","C"))</x:f>
        <x:v>C</x:v>
      </x:c>
      <x:c r="E1285" s="43" t="str">
        <x:v>Edstart</x:v>
      </x:c>
      <x:c r="F1285" s="43" t="str"/>
      <x:c r="G1285" s="43" t="str"/>
      <x:c r="H1285" s="43" t="str">
        <x:v>M6 6DW</x:v>
      </x:c>
      <x:c r="I1285" s="43" t="n">
        <x:v>11</x:v>
      </x:c>
      <x:c r="J1285" s="43" t="n">
        <x:v>16</x:v>
      </x:c>
      <x:c r="K1285" s="43" t="str">
        <x:v>No boarders</x:v>
      </x:c>
      <x:c r="L1285" s="43" t="str">
        <x:v>Does not have a sixth form</x:v>
      </x:c>
      <x:c r="M1285" s="43" t="n">
        <x:v>94</x:v>
      </x:c>
      <x:c r="N1285" s="43" t="str">
        <x:v>https://www.edstartschools.com</x:v>
      </x:c>
      <x:c r="O1285" s="43" t="str">
        <x:v>03003034414</x:v>
      </x:c>
      <x:c r="P1285" s="43" t="str"/>
      <x:c r="Q1285" s="43" t="str"/>
      <x:c r="R1285" s="43" t="str">
        <x:v>Queued for contact research</x:v>
      </x:c>
      <x:c r="S1285" s="43" t="str">
        <x:v>Not reviewed</x:v>
      </x:c>
      <x:c r="T1285" s="43" t="str">
        <x:v>Hold</x:v>
      </x:c>
      <x:c r="U1285" s="43" t="str">
        <x:v>No</x:v>
      </x:c>
      <x:c r="V1285" s="44"/>
      <x:c r="W1285" s="43" t="str"/>
      <x:c r="X1285" s="43" t="str"/>
      <x:c r="Y1285" s="43" t="str"/>
      <x:c r="Z1285" s="43" t="str">
        <x:v>https://www.get-information-schools.service.gov.uk/Downloads</x:v>
      </x:c>
    </x:row>
    <x:row r="1286">
      <x:c r="A1286" s="43" t="str">
        <x:v>UK independent</x:v>
      </x:c>
      <x:c r="B1286" s="43" t="str">
        <x:v>136123</x:v>
      </x:c>
      <x:c r="C1286" s="43" t="n">
        <x:f>IF(K1286="Boarding school",30,0)+IF(J1286&gt;=18,20,0)+IF(I1286&lt;=11,10,0)+IF(L1286="Has a sixth form",15,0)+IF(M1286&gt;=200,10,0)+IF(N1286&lt;&gt;"",10,0)</x:f>
        <x:v>20</x:v>
      </x:c>
      <x:c r="D1286" s="43" t="str">
        <x:f>IF(C1286&gt;=85,"A",IF(C1286&gt;=65,"B","C"))</x:f>
        <x:v>C</x:v>
      </x:c>
      <x:c r="E1286" s="43" t="str">
        <x:v>Hazrat Khadijatul Kubra Girls School</x:v>
      </x:c>
      <x:c r="F1286" s="43" t="str">
        <x:v>Birmingham</x:v>
      </x:c>
      <x:c r="G1286" s="43" t="str">
        <x:v>West Midlands</x:v>
      </x:c>
      <x:c r="H1286" s="43" t="str">
        <x:v>B10 0BP</x:v>
      </x:c>
      <x:c r="I1286" s="43" t="n">
        <x:v>11</x:v>
      </x:c>
      <x:c r="J1286" s="43" t="n">
        <x:v>16</x:v>
      </x:c>
      <x:c r="K1286" s="43" t="str">
        <x:v>No boarders</x:v>
      </x:c>
      <x:c r="L1286" s="43" t="str">
        <x:v>Does not have a sixth form</x:v>
      </x:c>
      <x:c r="M1286" s="43" t="n">
        <x:v>94</x:v>
      </x:c>
      <x:c r="N1286" s="43" t="str">
        <x:v>https://www.hkkg.bham.sch.uk</x:v>
      </x:c>
      <x:c r="O1286" s="43" t="str">
        <x:v>01217737496</x:v>
      </x:c>
      <x:c r="P1286" s="43" t="str"/>
      <x:c r="Q1286" s="43" t="str"/>
      <x:c r="R1286" s="43" t="str">
        <x:v>Queued for contact research</x:v>
      </x:c>
      <x:c r="S1286" s="43" t="str">
        <x:v>Not reviewed</x:v>
      </x:c>
      <x:c r="T1286" s="43" t="str">
        <x:v>Hold</x:v>
      </x:c>
      <x:c r="U1286" s="43" t="str">
        <x:v>No</x:v>
      </x:c>
      <x:c r="V1286" s="44"/>
      <x:c r="W1286" s="43" t="str"/>
      <x:c r="X1286" s="43" t="str"/>
      <x:c r="Y1286" s="43" t="str"/>
      <x:c r="Z1286" s="43" t="str">
        <x:v>https://www.get-information-schools.service.gov.uk/Downloads</x:v>
      </x:c>
    </x:row>
    <x:row r="1287">
      <x:c r="A1287" s="43" t="str">
        <x:v>UK independent</x:v>
      </x:c>
      <x:c r="B1287" s="43" t="str">
        <x:v>138777</x:v>
      </x:c>
      <x:c r="C1287" s="43" t="n">
        <x:f>IF(K1287="Boarding school",30,0)+IF(J1287&gt;=18,20,0)+IF(I1287&lt;=11,10,0)+IF(L1287="Has a sixth form",15,0)+IF(M1287&gt;=200,10,0)+IF(N1287&lt;&gt;"",10,0)</x:f>
        <x:v>20</x:v>
      </x:c>
      <x:c r="D1287" s="43" t="str">
        <x:f>IF(C1287&gt;=85,"A",IF(C1287&gt;=65,"B","C"))</x:f>
        <x:v>C</x:v>
      </x:c>
      <x:c r="E1287" s="43" t="str">
        <x:v>La Petite Ecole Bilingue</x:v>
      </x:c>
      <x:c r="F1287" s="43" t="str">
        <x:v>London</x:v>
      </x:c>
      <x:c r="G1287" s="43" t="str"/>
      <x:c r="H1287" s="43" t="str">
        <x:v>NW5 4NL</x:v>
      </x:c>
      <x:c r="I1287" s="43" t="n">
        <x:v>3</x:v>
      </x:c>
      <x:c r="J1287" s="43" t="n">
        <x:v>11</x:v>
      </x:c>
      <x:c r="K1287" s="43" t="str">
        <x:v>No boarders</x:v>
      </x:c>
      <x:c r="L1287" s="43" t="str">
        <x:v>Does not have a sixth form</x:v>
      </x:c>
      <x:c r="M1287" s="43" t="n">
        <x:v>94</x:v>
      </x:c>
      <x:c r="N1287" s="43" t="str">
        <x:v>https://www.sis-lpeblkt.com</x:v>
      </x:c>
      <x:c r="O1287" s="43" t="str">
        <x:v>02072842620</x:v>
      </x:c>
      <x:c r="P1287" s="43" t="str"/>
      <x:c r="Q1287" s="43" t="str"/>
      <x:c r="R1287" s="43" t="str">
        <x:v>Queued for contact research</x:v>
      </x:c>
      <x:c r="S1287" s="43" t="str">
        <x:v>Not reviewed</x:v>
      </x:c>
      <x:c r="T1287" s="43" t="str">
        <x:v>Hold</x:v>
      </x:c>
      <x:c r="U1287" s="43" t="str">
        <x:v>No</x:v>
      </x:c>
      <x:c r="V1287" s="44"/>
      <x:c r="W1287" s="43" t="str"/>
      <x:c r="X1287" s="43" t="str"/>
      <x:c r="Y1287" s="43" t="str"/>
      <x:c r="Z1287" s="43" t="str">
        <x:v>https://www.get-information-schools.service.gov.uk/Downloads</x:v>
      </x:c>
    </x:row>
    <x:row r="1288">
      <x:c r="A1288" s="43" t="str">
        <x:v>UK independent</x:v>
      </x:c>
      <x:c r="B1288" s="43" t="str">
        <x:v>132736</x:v>
      </x:c>
      <x:c r="C1288" s="43" t="n">
        <x:f>IF(K1288="Boarding school",30,0)+IF(J1288&gt;=18,20,0)+IF(I1288&lt;=11,10,0)+IF(L1288="Has a sixth form",15,0)+IF(M1288&gt;=200,10,0)+IF(N1288&lt;&gt;"",10,0)</x:f>
        <x:v>20</x:v>
      </x:c>
      <x:c r="D1288" s="43" t="str">
        <x:f>IF(C1288&gt;=85,"A",IF(C1288&gt;=65,"B","C"))</x:f>
        <x:v>C</x:v>
      </x:c>
      <x:c r="E1288" s="43" t="str">
        <x:v>Tawhid Boys School, Tawhid Educational Trust</x:v>
      </x:c>
      <x:c r="F1288" s="43" t="str">
        <x:v>London</x:v>
      </x:c>
      <x:c r="G1288" s="43" t="str"/>
      <x:c r="H1288" s="43" t="str">
        <x:v>N16 6PA</x:v>
      </x:c>
      <x:c r="I1288" s="43" t="n">
        <x:v>11</x:v>
      </x:c>
      <x:c r="J1288" s="43" t="n">
        <x:v>16</x:v>
      </x:c>
      <x:c r="K1288" s="43" t="str">
        <x:v>No boarders</x:v>
      </x:c>
      <x:c r="L1288" s="43" t="str">
        <x:v>Does not have a sixth form</x:v>
      </x:c>
      <x:c r="M1288" s="43" t="n">
        <x:v>94</x:v>
      </x:c>
      <x:c r="N1288" s="43" t="str">
        <x:v>http://www.tawhid.org.uk/</x:v>
      </x:c>
      <x:c r="O1288" s="43" t="str">
        <x:v>02088062999</x:v>
      </x:c>
      <x:c r="P1288" s="43" t="str"/>
      <x:c r="Q1288" s="43" t="str"/>
      <x:c r="R1288" s="43" t="str">
        <x:v>Queued for contact research</x:v>
      </x:c>
      <x:c r="S1288" s="43" t="str">
        <x:v>Not reviewed</x:v>
      </x:c>
      <x:c r="T1288" s="43" t="str">
        <x:v>Hold</x:v>
      </x:c>
      <x:c r="U1288" s="43" t="str">
        <x:v>No</x:v>
      </x:c>
      <x:c r="V1288" s="44"/>
      <x:c r="W1288" s="43" t="str"/>
      <x:c r="X1288" s="43" t="str"/>
      <x:c r="Y1288" s="43" t="str"/>
      <x:c r="Z1288" s="43" t="str">
        <x:v>https://www.get-information-schools.service.gov.uk/Downloads</x:v>
      </x:c>
    </x:row>
    <x:row r="1289">
      <x:c r="A1289" s="43" t="str">
        <x:v>UK independent</x:v>
      </x:c>
      <x:c r="B1289" s="43" t="str">
        <x:v>147170</x:v>
      </x:c>
      <x:c r="C1289" s="43" t="n">
        <x:f>IF(K1289="Boarding school",30,0)+IF(J1289&gt;=18,20,0)+IF(I1289&lt;=11,10,0)+IF(L1289="Has a sixth form",15,0)+IF(M1289&gt;=200,10,0)+IF(N1289&lt;&gt;"",10,0)</x:f>
        <x:v>20</x:v>
      </x:c>
      <x:c r="D1289" s="43" t="str">
        <x:f>IF(C1289&gt;=85,"A",IF(C1289&gt;=65,"B","C"))</x:f>
        <x:v>C</x:v>
      </x:c>
      <x:c r="E1289" s="43" t="str">
        <x:v>Castles Education</x:v>
      </x:c>
      <x:c r="F1289" s="43" t="str">
        <x:v>Gainsborough</x:v>
      </x:c>
      <x:c r="G1289" s="43" t="str">
        <x:v>Lincolnshire</x:v>
      </x:c>
      <x:c r="H1289" s="43" t="str">
        <x:v>DN21 2SU</x:v>
      </x:c>
      <x:c r="I1289" s="43" t="n">
        <x:v>7</x:v>
      </x:c>
      <x:c r="J1289" s="43" t="n">
        <x:v>16</x:v>
      </x:c>
      <x:c r="K1289" s="43" t="str">
        <x:v>No boarders</x:v>
      </x:c>
      <x:c r="L1289" s="43" t="str">
        <x:v>Does not have a sixth form</x:v>
      </x:c>
      <x:c r="M1289" s="43" t="n">
        <x:v>93</x:v>
      </x:c>
      <x:c r="N1289" s="43" t="str">
        <x:v>https://www.castleseducation.co.uk</x:v>
      </x:c>
      <x:c r="O1289" s="43" t="str">
        <x:v>01427253117</x:v>
      </x:c>
      <x:c r="P1289" s="43" t="str"/>
      <x:c r="Q1289" s="43" t="str"/>
      <x:c r="R1289" s="43" t="str">
        <x:v>Queued for contact research</x:v>
      </x:c>
      <x:c r="S1289" s="43" t="str">
        <x:v>Not reviewed</x:v>
      </x:c>
      <x:c r="T1289" s="43" t="str">
        <x:v>Hold</x:v>
      </x:c>
      <x:c r="U1289" s="43" t="str">
        <x:v>No</x:v>
      </x:c>
      <x:c r="V1289" s="44"/>
      <x:c r="W1289" s="43" t="str"/>
      <x:c r="X1289" s="43" t="str"/>
      <x:c r="Y1289" s="43" t="str"/>
      <x:c r="Z1289" s="43" t="str">
        <x:v>https://www.get-information-schools.service.gov.uk/Downloads</x:v>
      </x:c>
    </x:row>
    <x:row r="1290">
      <x:c r="A1290" s="43" t="str">
        <x:v>UK independent</x:v>
      </x:c>
      <x:c r="B1290" s="43" t="str">
        <x:v>107449</x:v>
      </x:c>
      <x:c r="C1290" s="43" t="n">
        <x:f>IF(K1290="Boarding school",30,0)+IF(J1290&gt;=18,20,0)+IF(I1290&lt;=11,10,0)+IF(L1290="Has a sixth form",15,0)+IF(M1290&gt;=200,10,0)+IF(N1290&lt;&gt;"",10,0)</x:f>
        <x:v>20</x:v>
      </x:c>
      <x:c r="D1290" s="43" t="str">
        <x:f>IF(C1290&gt;=85,"A",IF(C1290&gt;=65,"B","C"))</x:f>
        <x:v>C</x:v>
      </x:c>
      <x:c r="E1290" s="43" t="str">
        <x:v>Ghyll Royd School and Pre-School</x:v>
      </x:c>
      <x:c r="F1290" s="43" t="str">
        <x:v>Ilkley</x:v>
      </x:c>
      <x:c r="G1290" s="43" t="str">
        <x:v>West Yorkshire</x:v>
      </x:c>
      <x:c r="H1290" s="43" t="str">
        <x:v>LS29 7HW</x:v>
      </x:c>
      <x:c r="I1290" s="43" t="n">
        <x:v>2</x:v>
      </x:c>
      <x:c r="J1290" s="43" t="n">
        <x:v>11</x:v>
      </x:c>
      <x:c r="K1290" s="43" t="str">
        <x:v>No boarders</x:v>
      </x:c>
      <x:c r="L1290" s="43" t="str">
        <x:v>Does not have a sixth form</x:v>
      </x:c>
      <x:c r="M1290" s="43" t="n">
        <x:v>92</x:v>
      </x:c>
      <x:c r="N1290" s="43" t="str">
        <x:v>https://www.ghyllroydschool.co.uk</x:v>
      </x:c>
      <x:c r="O1290" s="43" t="str">
        <x:v>441943865575</x:v>
      </x:c>
      <x:c r="P1290" s="43" t="str"/>
      <x:c r="Q1290" s="43" t="str"/>
      <x:c r="R1290" s="43" t="str">
        <x:v>Queued for contact research</x:v>
      </x:c>
      <x:c r="S1290" s="43" t="str">
        <x:v>Not reviewed</x:v>
      </x:c>
      <x:c r="T1290" s="43" t="str">
        <x:v>Hold</x:v>
      </x:c>
      <x:c r="U1290" s="43" t="str">
        <x:v>No</x:v>
      </x:c>
      <x:c r="V1290" s="44"/>
      <x:c r="W1290" s="43" t="str"/>
      <x:c r="X1290" s="43" t="str"/>
      <x:c r="Y1290" s="43" t="str"/>
      <x:c r="Z1290" s="43" t="str">
        <x:v>https://www.get-information-schools.service.gov.uk/Downloads</x:v>
      </x:c>
    </x:row>
    <x:row r="1291">
      <x:c r="A1291" s="43" t="str">
        <x:v>UK independent</x:v>
      </x:c>
      <x:c r="B1291" s="43" t="str">
        <x:v>134243</x:v>
      </x:c>
      <x:c r="C1291" s="43" t="n">
        <x:f>IF(K1291="Boarding school",30,0)+IF(J1291&gt;=18,20,0)+IF(I1291&lt;=11,10,0)+IF(L1291="Has a sixth form",15,0)+IF(M1291&gt;=200,10,0)+IF(N1291&lt;&gt;"",10,0)</x:f>
        <x:v>20</x:v>
      </x:c>
      <x:c r="D1291" s="43" t="str">
        <x:f>IF(C1291&gt;=85,"A",IF(C1291&gt;=65,"B","C"))</x:f>
        <x:v>C</x:v>
      </x:c>
      <x:c r="E1291" s="43" t="str">
        <x:v>Suffah Primary School</x:v>
      </x:c>
      <x:c r="F1291" s="43" t="str">
        <x:v>Hounslow</x:v>
      </x:c>
      <x:c r="G1291" s="43" t="str"/>
      <x:c r="H1291" s="43" t="str">
        <x:v>TW4 5HU</x:v>
      </x:c>
      <x:c r="I1291" s="43" t="n">
        <x:v>3</x:v>
      </x:c>
      <x:c r="J1291" s="43" t="n">
        <x:v>11</x:v>
      </x:c>
      <x:c r="K1291" s="43" t="str">
        <x:v>No boarders</x:v>
      </x:c>
      <x:c r="L1291" s="43" t="str">
        <x:v>Does not have a sixth form</x:v>
      </x:c>
      <x:c r="M1291" s="43" t="n">
        <x:v>92</x:v>
      </x:c>
      <x:c r="N1291" s="43" t="str">
        <x:v>https://suffahschool.hounslow.sch.uk/</x:v>
      </x:c>
      <x:c r="O1291" s="43" t="str">
        <x:v>02085729817</x:v>
      </x:c>
      <x:c r="P1291" s="43" t="str"/>
      <x:c r="Q1291" s="43" t="str"/>
      <x:c r="R1291" s="43" t="str">
        <x:v>Queued for contact research</x:v>
      </x:c>
      <x:c r="S1291" s="43" t="str">
        <x:v>Not reviewed</x:v>
      </x:c>
      <x:c r="T1291" s="43" t="str">
        <x:v>Hold</x:v>
      </x:c>
      <x:c r="U1291" s="43" t="str">
        <x:v>No</x:v>
      </x:c>
      <x:c r="V1291" s="44"/>
      <x:c r="W1291" s="43" t="str"/>
      <x:c r="X1291" s="43" t="str"/>
      <x:c r="Y1291" s="43" t="str"/>
      <x:c r="Z1291" s="43" t="str">
        <x:v>https://www.get-information-schools.service.gov.uk/Downloads</x:v>
      </x:c>
    </x:row>
    <x:row r="1292">
      <x:c r="A1292" s="43" t="str">
        <x:v>UK independent</x:v>
      </x:c>
      <x:c r="B1292" s="43" t="str">
        <x:v>131937</x:v>
      </x:c>
      <x:c r="C1292" s="43" t="n">
        <x:f>IF(K1292="Boarding school",30,0)+IF(J1292&gt;=18,20,0)+IF(I1292&lt;=11,10,0)+IF(L1292="Has a sixth form",15,0)+IF(M1292&gt;=200,10,0)+IF(N1292&lt;&gt;"",10,0)</x:f>
        <x:v>20</x:v>
      </x:c>
      <x:c r="D1292" s="43" t="str">
        <x:f>IF(C1292&gt;=85,"A",IF(C1292&gt;=65,"B","C"))</x:f>
        <x:v>C</x:v>
      </x:c>
      <x:c r="E1292" s="43" t="str">
        <x:v>Waldorf Cambridge School</x:v>
      </x:c>
      <x:c r="F1292" s="43" t="str">
        <x:v>Fulbourn</x:v>
      </x:c>
      <x:c r="G1292" s="43" t="str">
        <x:v>Cambridgeshire</x:v>
      </x:c>
      <x:c r="H1292" s="43" t="str">
        <x:v>CB21 5DZ</x:v>
      </x:c>
      <x:c r="I1292" s="43" t="n">
        <x:v>2</x:v>
      </x:c>
      <x:c r="J1292" s="43" t="n">
        <x:v>17</x:v>
      </x:c>
      <x:c r="K1292" s="43" t="str">
        <x:v>No boarders</x:v>
      </x:c>
      <x:c r="L1292" s="43" t="str">
        <x:v>Does not have a sixth form</x:v>
      </x:c>
      <x:c r="M1292" s="43" t="n">
        <x:v>92</x:v>
      </x:c>
      <x:c r="N1292" s="43" t="str">
        <x:v>https://www.waldorfcambridge.uk</x:v>
      </x:c>
      <x:c r="O1292" s="43" t="str">
        <x:v>01223882727</x:v>
      </x:c>
      <x:c r="P1292" s="43" t="str"/>
      <x:c r="Q1292" s="43" t="str"/>
      <x:c r="R1292" s="43" t="str">
        <x:v>Queued for contact research</x:v>
      </x:c>
      <x:c r="S1292" s="43" t="str">
        <x:v>Not reviewed</x:v>
      </x:c>
      <x:c r="T1292" s="43" t="str">
        <x:v>Hold</x:v>
      </x:c>
      <x:c r="U1292" s="43" t="str">
        <x:v>No</x:v>
      </x:c>
      <x:c r="V1292" s="44"/>
      <x:c r="W1292" s="43" t="str"/>
      <x:c r="X1292" s="43" t="str"/>
      <x:c r="Y1292" s="43" t="str"/>
      <x:c r="Z1292" s="43" t="str">
        <x:v>https://www.get-information-schools.service.gov.uk/Downloads</x:v>
      </x:c>
    </x:row>
    <x:row r="1293">
      <x:c r="A1293" s="43" t="str">
        <x:v>UK independent</x:v>
      </x:c>
      <x:c r="B1293" s="43" t="str">
        <x:v>134585</x:v>
      </x:c>
      <x:c r="C1293" s="43" t="n">
        <x:f>IF(K1293="Boarding school",30,0)+IF(J1293&gt;=18,20,0)+IF(I1293&lt;=11,10,0)+IF(L1293="Has a sixth form",15,0)+IF(M1293&gt;=200,10,0)+IF(N1293&lt;&gt;"",10,0)</x:f>
        <x:v>20</x:v>
      </x:c>
      <x:c r="D1293" s="43" t="str">
        <x:f>IF(C1293&gt;=85,"A",IF(C1293&gt;=65,"B","C"))</x:f>
        <x:v>C</x:v>
      </x:c>
      <x:c r="E1293" s="43" t="str">
        <x:v>Al-Khair School</x:v>
      </x:c>
      <x:c r="F1293" s="43" t="str">
        <x:v>Croydon</x:v>
      </x:c>
      <x:c r="G1293" s="43" t="str">
        <x:v>Surrey</x:v>
      </x:c>
      <x:c r="H1293" s="43" t="str">
        <x:v>CR0 6BE</x:v>
      </x:c>
      <x:c r="I1293" s="43" t="n">
        <x:v>11</x:v>
      </x:c>
      <x:c r="J1293" s="43" t="n">
        <x:v>16</x:v>
      </x:c>
      <x:c r="K1293" s="43" t="str">
        <x:v>No boarders</x:v>
      </x:c>
      <x:c r="L1293" s="43" t="str">
        <x:v>Does not have a sixth form</x:v>
      </x:c>
      <x:c r="M1293" s="43" t="n">
        <x:v>91</x:v>
      </x:c>
      <x:c r="N1293" s="43" t="str">
        <x:v>https://alkhairschool.org.uk</x:v>
      </x:c>
      <x:c r="O1293" s="43" t="str">
        <x:v>02086628664</x:v>
      </x:c>
      <x:c r="P1293" s="43" t="str"/>
      <x:c r="Q1293" s="43" t="str"/>
      <x:c r="R1293" s="43" t="str">
        <x:v>Queued for contact research</x:v>
      </x:c>
      <x:c r="S1293" s="43" t="str">
        <x:v>Not reviewed</x:v>
      </x:c>
      <x:c r="T1293" s="43" t="str">
        <x:v>Hold</x:v>
      </x:c>
      <x:c r="U1293" s="43" t="str">
        <x:v>No</x:v>
      </x:c>
      <x:c r="V1293" s="44"/>
      <x:c r="W1293" s="43" t="str"/>
      <x:c r="X1293" s="43" t="str"/>
      <x:c r="Y1293" s="43" t="str"/>
      <x:c r="Z1293" s="43" t="str">
        <x:v>https://www.get-information-schools.service.gov.uk/Downloads</x:v>
      </x:c>
    </x:row>
    <x:row r="1294">
      <x:c r="A1294" s="43" t="str">
        <x:v>UK independent</x:v>
      </x:c>
      <x:c r="B1294" s="43" t="str">
        <x:v>147027</x:v>
      </x:c>
      <x:c r="C1294" s="43" t="n">
        <x:f>IF(K1294="Boarding school",30,0)+IF(J1294&gt;=18,20,0)+IF(I1294&lt;=11,10,0)+IF(L1294="Has a sixth form",15,0)+IF(M1294&gt;=200,10,0)+IF(N1294&lt;&gt;"",10,0)</x:f>
        <x:v>20</x:v>
      </x:c>
      <x:c r="D1294" s="43" t="str">
        <x:f>IF(C1294&gt;=85,"A",IF(C1294&gt;=65,"B","C"))</x:f>
        <x:v>C</x:v>
      </x:c>
      <x:c r="E1294" s="43" t="str">
        <x:v>Al-Khair Secondary Girls</x:v>
      </x:c>
      <x:c r="F1294" s="43" t="str"/>
      <x:c r="G1294" s="43" t="str">
        <x:v>Surrey</x:v>
      </x:c>
      <x:c r="H1294" s="43" t="str">
        <x:v>CR0 6BE</x:v>
      </x:c>
      <x:c r="I1294" s="43" t="n">
        <x:v>11</x:v>
      </x:c>
      <x:c r="J1294" s="43" t="n">
        <x:v>16</x:v>
      </x:c>
      <x:c r="K1294" s="43" t="str">
        <x:v>No boarders</x:v>
      </x:c>
      <x:c r="L1294" s="43" t="str">
        <x:v>Does not have a sixth form</x:v>
      </x:c>
      <x:c r="M1294" s="43" t="n">
        <x:v>91</x:v>
      </x:c>
      <x:c r="N1294" s="43" t="str">
        <x:v>http://alkhairschool.org.uk/</x:v>
      </x:c>
      <x:c r="O1294" s="43" t="str">
        <x:v>02086628664</x:v>
      </x:c>
      <x:c r="P1294" s="43" t="str"/>
      <x:c r="Q1294" s="43" t="str"/>
      <x:c r="R1294" s="43" t="str">
        <x:v>Queued for contact research</x:v>
      </x:c>
      <x:c r="S1294" s="43" t="str">
        <x:v>Not reviewed</x:v>
      </x:c>
      <x:c r="T1294" s="43" t="str">
        <x:v>Hold</x:v>
      </x:c>
      <x:c r="U1294" s="43" t="str">
        <x:v>No</x:v>
      </x:c>
      <x:c r="V1294" s="44"/>
      <x:c r="W1294" s="43" t="str"/>
      <x:c r="X1294" s="43" t="str"/>
      <x:c r="Y1294" s="43" t="str"/>
      <x:c r="Z1294" s="43" t="str">
        <x:v>https://www.get-information-schools.service.gov.uk/Downloads</x:v>
      </x:c>
    </x:row>
    <x:row r="1295">
      <x:c r="A1295" s="43" t="str">
        <x:v>UK independent</x:v>
      </x:c>
      <x:c r="B1295" s="43" t="str">
        <x:v>131291</x:v>
      </x:c>
      <x:c r="C1295" s="43" t="n">
        <x:f>IF(K1295="Boarding school",30,0)+IF(J1295&gt;=18,20,0)+IF(I1295&lt;=11,10,0)+IF(L1295="Has a sixth form",15,0)+IF(M1295&gt;=200,10,0)+IF(N1295&lt;&gt;"",10,0)</x:f>
        <x:v>20</x:v>
      </x:c>
      <x:c r="D1295" s="43" t="str">
        <x:f>IF(C1295&gt;=85,"A",IF(C1295&gt;=65,"B","C"))</x:f>
        <x:v>C</x:v>
      </x:c>
      <x:c r="E1295" s="43" t="str">
        <x:v>The Academy School</x:v>
      </x:c>
      <x:c r="F1295" s="43" t="str">
        <x:v>London</x:v>
      </x:c>
      <x:c r="G1295" s="43" t="str"/>
      <x:c r="H1295" s="43" t="str">
        <x:v>NW3 1NG</x:v>
      </x:c>
      <x:c r="I1295" s="43" t="n">
        <x:v>6</x:v>
      </x:c>
      <x:c r="J1295" s="43" t="n">
        <x:v>14</x:v>
      </x:c>
      <x:c r="K1295" s="43" t="str">
        <x:v>No boarders</x:v>
      </x:c>
      <x:c r="L1295" s="43" t="str">
        <x:v>Does not have a sixth form</x:v>
      </x:c>
      <x:c r="M1295" s="43" t="n">
        <x:v>91</x:v>
      </x:c>
      <x:c r="N1295" s="43" t="str">
        <x:v>http://www.academyschoolhampstead.com/</x:v>
      </x:c>
      <x:c r="O1295" s="43" t="str">
        <x:v>02074356621</x:v>
      </x:c>
      <x:c r="P1295" s="43" t="str"/>
      <x:c r="Q1295" s="43" t="str"/>
      <x:c r="R1295" s="43" t="str">
        <x:v>Queued for contact research</x:v>
      </x:c>
      <x:c r="S1295" s="43" t="str">
        <x:v>Not reviewed</x:v>
      </x:c>
      <x:c r="T1295" s="43" t="str">
        <x:v>Hold</x:v>
      </x:c>
      <x:c r="U1295" s="43" t="str">
        <x:v>No</x:v>
      </x:c>
      <x:c r="V1295" s="44"/>
      <x:c r="W1295" s="43" t="str"/>
      <x:c r="X1295" s="43" t="str"/>
      <x:c r="Y1295" s="43" t="str"/>
      <x:c r="Z1295" s="43" t="str">
        <x:v>https://www.get-information-schools.service.gov.uk/Downloads</x:v>
      </x:c>
    </x:row>
    <x:row r="1296">
      <x:c r="A1296" s="43" t="str">
        <x:v>UK independent</x:v>
      </x:c>
      <x:c r="B1296" s="43" t="str">
        <x:v>107168</x:v>
      </x:c>
      <x:c r="C1296" s="43" t="n">
        <x:f>IF(K1296="Boarding school",30,0)+IF(J1296&gt;=18,20,0)+IF(I1296&lt;=11,10,0)+IF(L1296="Has a sixth form",15,0)+IF(M1296&gt;=200,10,0)+IF(N1296&lt;&gt;"",10,0)</x:f>
        <x:v>20</x:v>
      </x:c>
      <x:c r="D1296" s="43" t="str">
        <x:f>IF(C1296&gt;=85,"A",IF(C1296&gt;=65,"B","C"))</x:f>
        <x:v>C</x:v>
      </x:c>
      <x:c r="E1296" s="43" t="str">
        <x:v>Bethany School</x:v>
      </x:c>
      <x:c r="F1296" s="43" t="str">
        <x:v>Sheffield</x:v>
      </x:c>
      <x:c r="G1296" s="43" t="str">
        <x:v>South Yorkshire</x:v>
      </x:c>
      <x:c r="H1296" s="43" t="str">
        <x:v>S3 7PS</x:v>
      </x:c>
      <x:c r="I1296" s="43" t="n">
        <x:v>4</x:v>
      </x:c>
      <x:c r="J1296" s="43" t="n">
        <x:v>16</x:v>
      </x:c>
      <x:c r="K1296" s="43" t="str">
        <x:v>No boarders</x:v>
      </x:c>
      <x:c r="L1296" s="43" t="str">
        <x:v>Does not have a sixth form</x:v>
      </x:c>
      <x:c r="M1296" s="43" t="n">
        <x:v>90</x:v>
      </x:c>
      <x:c r="N1296" s="43" t="str">
        <x:v>https://www.bethanyschoolsheffield.org</x:v>
      </x:c>
      <x:c r="O1296" s="43" t="str">
        <x:v>01142726994</x:v>
      </x:c>
      <x:c r="P1296" s="43" t="str"/>
      <x:c r="Q1296" s="43" t="str"/>
      <x:c r="R1296" s="43" t="str">
        <x:v>Queued for contact research</x:v>
      </x:c>
      <x:c r="S1296" s="43" t="str">
        <x:v>Not reviewed</x:v>
      </x:c>
      <x:c r="T1296" s="43" t="str">
        <x:v>Hold</x:v>
      </x:c>
      <x:c r="U1296" s="43" t="str">
        <x:v>No</x:v>
      </x:c>
      <x:c r="V1296" s="44"/>
      <x:c r="W1296" s="43" t="str"/>
      <x:c r="X1296" s="43" t="str"/>
      <x:c r="Y1296" s="43" t="str"/>
      <x:c r="Z1296" s="43" t="str">
        <x:v>https://www.get-information-schools.service.gov.uk/Downloads</x:v>
      </x:c>
    </x:row>
    <x:row r="1297">
      <x:c r="A1297" s="43" t="str">
        <x:v>UK independent</x:v>
      </x:c>
      <x:c r="B1297" s="43" t="str">
        <x:v>147236</x:v>
      </x:c>
      <x:c r="C1297" s="43" t="n">
        <x:f>IF(K1297="Boarding school",30,0)+IF(J1297&gt;=18,20,0)+IF(I1297&lt;=11,10,0)+IF(L1297="Has a sixth form",15,0)+IF(M1297&gt;=200,10,0)+IF(N1297&lt;&gt;"",10,0)</x:f>
        <x:v>20</x:v>
      </x:c>
      <x:c r="D1297" s="43" t="str">
        <x:f>IF(C1297&gt;=85,"A",IF(C1297&gt;=65,"B","C"))</x:f>
        <x:v>C</x:v>
      </x:c>
      <x:c r="E1297" s="43" t="str">
        <x:v>Excellence Girls Academy</x:v>
      </x:c>
      <x:c r="F1297" s="43" t="str">
        <x:v>Stoke-on-Trent</x:v>
      </x:c>
      <x:c r="G1297" s="43" t="str">
        <x:v>Staffordshire</x:v>
      </x:c>
      <x:c r="H1297" s="43" t="str">
        <x:v>ST4 2ER</x:v>
      </x:c>
      <x:c r="I1297" s="43" t="n">
        <x:v>9</x:v>
      </x:c>
      <x:c r="J1297" s="43" t="n">
        <x:v>16</x:v>
      </x:c>
      <x:c r="K1297" s="43" t="str">
        <x:v>No boarders</x:v>
      </x:c>
      <x:c r="L1297" s="43" t="str">
        <x:v>Does not have a sixth form</x:v>
      </x:c>
      <x:c r="M1297" s="43" t="n">
        <x:v>90</x:v>
      </x:c>
      <x:c r="N1297" s="43" t="str">
        <x:v>https://www.excellencegirlsacademy.co.uk</x:v>
      </x:c>
      <x:c r="O1297" s="43" t="str">
        <x:v>01782390807</x:v>
      </x:c>
      <x:c r="P1297" s="43" t="str"/>
      <x:c r="Q1297" s="43" t="str"/>
      <x:c r="R1297" s="43" t="str">
        <x:v>Queued for contact research</x:v>
      </x:c>
      <x:c r="S1297" s="43" t="str">
        <x:v>Not reviewed</x:v>
      </x:c>
      <x:c r="T1297" s="43" t="str">
        <x:v>Hold</x:v>
      </x:c>
      <x:c r="U1297" s="43" t="str">
        <x:v>No</x:v>
      </x:c>
      <x:c r="V1297" s="44"/>
      <x:c r="W1297" s="43" t="str"/>
      <x:c r="X1297" s="43" t="str"/>
      <x:c r="Y1297" s="43" t="str"/>
      <x:c r="Z1297" s="43" t="str">
        <x:v>https://www.get-information-schools.service.gov.uk/Downloads</x:v>
      </x:c>
    </x:row>
    <x:row r="1298">
      <x:c r="A1298" s="43" t="str">
        <x:v>UK independent</x:v>
      </x:c>
      <x:c r="B1298" s="43" t="str">
        <x:v>132190</x:v>
      </x:c>
      <x:c r="C1298" s="43" t="n">
        <x:f>IF(K1298="Boarding school",30,0)+IF(J1298&gt;=18,20,0)+IF(I1298&lt;=11,10,0)+IF(L1298="Has a sixth form",15,0)+IF(M1298&gt;=200,10,0)+IF(N1298&lt;&gt;"",10,0)</x:f>
        <x:v>20</x:v>
      </x:c>
      <x:c r="D1298" s="43" t="str">
        <x:f>IF(C1298&gt;=85,"A",IF(C1298&gt;=65,"B","C"))</x:f>
        <x:v>C</x:v>
      </x:c>
      <x:c r="E1298" s="43" t="str">
        <x:v>Fig Tree Primary School</x:v>
      </x:c>
      <x:c r="F1298" s="43" t="str">
        <x:v>Nottingham</x:v>
      </x:c>
      <x:c r="G1298" s="43" t="str">
        <x:v>Nottinghamshire</x:v>
      </x:c>
      <x:c r="H1298" s="43" t="str">
        <x:v>NG7 4AF</x:v>
      </x:c>
      <x:c r="I1298" s="43" t="n">
        <x:v>5</x:v>
      </x:c>
      <x:c r="J1298" s="43" t="n">
        <x:v>11</x:v>
      </x:c>
      <x:c r="K1298" s="43" t="str">
        <x:v>No boarders</x:v>
      </x:c>
      <x:c r="L1298" s="43" t="str">
        <x:v>Does not have a sixth form</x:v>
      </x:c>
      <x:c r="M1298" s="43" t="n">
        <x:v>90</x:v>
      </x:c>
      <x:c r="N1298" s="43" t="str">
        <x:v>https://www.figtreeprimary.com</x:v>
      </x:c>
      <x:c r="O1298" s="43" t="str">
        <x:v>01159788152</x:v>
      </x:c>
      <x:c r="P1298" s="43" t="str"/>
      <x:c r="Q1298" s="43" t="str"/>
      <x:c r="R1298" s="43" t="str">
        <x:v>Queued for contact research</x:v>
      </x:c>
      <x:c r="S1298" s="43" t="str">
        <x:v>Not reviewed</x:v>
      </x:c>
      <x:c r="T1298" s="43" t="str">
        <x:v>Hold</x:v>
      </x:c>
      <x:c r="U1298" s="43" t="str">
        <x:v>No</x:v>
      </x:c>
      <x:c r="V1298" s="44"/>
      <x:c r="W1298" s="43" t="str"/>
      <x:c r="X1298" s="43" t="str"/>
      <x:c r="Y1298" s="43" t="str"/>
      <x:c r="Z1298" s="43" t="str">
        <x:v>https://www.get-information-schools.service.gov.uk/Downloads</x:v>
      </x:c>
    </x:row>
    <x:row r="1299">
      <x:c r="A1299" s="43" t="str">
        <x:v>UK independent</x:v>
      </x:c>
      <x:c r="B1299" s="43" t="str">
        <x:v>106276</x:v>
      </x:c>
      <x:c r="C1299" s="43" t="n">
        <x:f>IF(K1299="Boarding school",30,0)+IF(J1299&gt;=18,20,0)+IF(I1299&lt;=11,10,0)+IF(L1299="Has a sixth form",15,0)+IF(M1299&gt;=200,10,0)+IF(N1299&lt;&gt;"",10,0)</x:f>
        <x:v>20</x:v>
      </x:c>
      <x:c r="D1299" s="43" t="str">
        <x:f>IF(C1299&gt;=85,"A",IF(C1299&gt;=65,"B","C"))</x:f>
        <x:v>C</x:v>
      </x:c>
      <x:c r="E1299" s="43" t="str">
        <x:v>Trinity School</x:v>
      </x:c>
      <x:c r="F1299" s="43" t="str">
        <x:v>Stalybridge</x:v>
      </x:c>
      <x:c r="G1299" s="43" t="str">
        <x:v>Cheshire</x:v>
      </x:c>
      <x:c r="H1299" s="43" t="str">
        <x:v>SK15 1SH</x:v>
      </x:c>
      <x:c r="I1299" s="43" t="n">
        <x:v>3</x:v>
      </x:c>
      <x:c r="J1299" s="43" t="n">
        <x:v>16</x:v>
      </x:c>
      <x:c r="K1299" s="43" t="str">
        <x:v>No boarders</x:v>
      </x:c>
      <x:c r="L1299" s="43" t="str">
        <x:v>Does not have a sixth form</x:v>
      </x:c>
      <x:c r="M1299" s="43" t="n">
        <x:v>90</x:v>
      </x:c>
      <x:c r="N1299" s="43" t="str">
        <x:v>https://www.trinityschool.org.uk</x:v>
      </x:c>
      <x:c r="O1299" s="43" t="str">
        <x:v>01613030674</x:v>
      </x:c>
      <x:c r="P1299" s="43" t="str"/>
      <x:c r="Q1299" s="43" t="str"/>
      <x:c r="R1299" s="43" t="str">
        <x:v>Queued for contact research</x:v>
      </x:c>
      <x:c r="S1299" s="43" t="str">
        <x:v>Not reviewed</x:v>
      </x:c>
      <x:c r="T1299" s="43" t="str">
        <x:v>Hold</x:v>
      </x:c>
      <x:c r="U1299" s="43" t="str">
        <x:v>No</x:v>
      </x:c>
      <x:c r="V1299" s="44"/>
      <x:c r="W1299" s="43" t="str"/>
      <x:c r="X1299" s="43" t="str"/>
      <x:c r="Y1299" s="43" t="str"/>
      <x:c r="Z1299" s="43" t="str">
        <x:v>https://www.get-information-schools.service.gov.uk/Downloads</x:v>
      </x:c>
    </x:row>
    <x:row r="1300">
      <x:c r="A1300" s="43" t="str">
        <x:v>UK independent</x:v>
      </x:c>
      <x:c r="B1300" s="43" t="str">
        <x:v>148190</x:v>
      </x:c>
      <x:c r="C1300" s="43" t="n">
        <x:f>IF(K1300="Boarding school",30,0)+IF(J1300&gt;=18,20,0)+IF(I1300&lt;=11,10,0)+IF(L1300="Has a sixth form",15,0)+IF(M1300&gt;=200,10,0)+IF(N1300&lt;&gt;"",10,0)</x:f>
        <x:v>20</x:v>
      </x:c>
      <x:c r="D1300" s="43" t="str">
        <x:f>IF(C1300&gt;=85,"A",IF(C1300&gt;=65,"B","C"))</x:f>
        <x:v>C</x:v>
      </x:c>
      <x:c r="E1300" s="43" t="str">
        <x:v>Unique Academy</x:v>
      </x:c>
      <x:c r="F1300" s="43" t="str">
        <x:v>Hounslow</x:v>
      </x:c>
      <x:c r="G1300" s="43" t="str">
        <x:v>Middlesex</x:v>
      </x:c>
      <x:c r="H1300" s="43" t="str">
        <x:v>TW5 9WA</x:v>
      </x:c>
      <x:c r="I1300" s="43" t="n">
        <x:v>2</x:v>
      </x:c>
      <x:c r="J1300" s="43" t="n">
        <x:v>11</x:v>
      </x:c>
      <x:c r="K1300" s="43" t="str">
        <x:v>No boarders</x:v>
      </x:c>
      <x:c r="L1300" s="43" t="str">
        <x:v>Does not have a sixth form</x:v>
      </x:c>
      <x:c r="M1300" s="43" t="n">
        <x:v>90</x:v>
      </x:c>
      <x:c r="N1300" s="43" t="str">
        <x:v>https://www.uniqueacademy.education</x:v>
      </x:c>
      <x:c r="O1300" s="43" t="str">
        <x:v>02080045481</x:v>
      </x:c>
      <x:c r="P1300" s="43" t="str"/>
      <x:c r="Q1300" s="43" t="str"/>
      <x:c r="R1300" s="43" t="str">
        <x:v>Queued for contact research</x:v>
      </x:c>
      <x:c r="S1300" s="43" t="str">
        <x:v>Not reviewed</x:v>
      </x:c>
      <x:c r="T1300" s="43" t="str">
        <x:v>Hold</x:v>
      </x:c>
      <x:c r="U1300" s="43" t="str">
        <x:v>No</x:v>
      </x:c>
      <x:c r="V1300" s="44"/>
      <x:c r="W1300" s="43" t="str"/>
      <x:c r="X1300" s="43" t="str"/>
      <x:c r="Y1300" s="43" t="str"/>
      <x:c r="Z1300" s="43" t="str">
        <x:v>https://www.get-information-schools.service.gov.uk/Downloads</x:v>
      </x:c>
    </x:row>
    <x:row r="1301">
      <x:c r="A1301" s="43" t="str">
        <x:v>UK independent</x:v>
      </x:c>
      <x:c r="B1301" s="43" t="str">
        <x:v>102871</x:v>
      </x:c>
      <x:c r="C1301" s="43" t="n">
        <x:f>IF(K1301="Boarding school",30,0)+IF(J1301&gt;=18,20,0)+IF(I1301&lt;=11,10,0)+IF(L1301="Has a sixth form",15,0)+IF(M1301&gt;=200,10,0)+IF(N1301&lt;&gt;"",10,0)</x:f>
        <x:v>20</x:v>
      </x:c>
      <x:c r="D1301" s="43" t="str">
        <x:f>IF(C1301&gt;=85,"A",IF(C1301&gt;=65,"B","C"))</x:f>
        <x:v>C</x:v>
      </x:c>
      <x:c r="E1301" s="43" t="str">
        <x:v>Snaresbrook Prep School</x:v>
      </x:c>
      <x:c r="F1301" s="43" t="str">
        <x:v>London</x:v>
      </x:c>
      <x:c r="G1301" s="43" t="str"/>
      <x:c r="H1301" s="43" t="str">
        <x:v>E18 2EA</x:v>
      </x:c>
      <x:c r="I1301" s="43" t="n">
        <x:v>3</x:v>
      </x:c>
      <x:c r="J1301" s="43" t="n">
        <x:v>11</x:v>
      </x:c>
      <x:c r="K1301" s="43" t="str">
        <x:v>No boarders</x:v>
      </x:c>
      <x:c r="L1301" s="43" t="str">
        <x:v>Does not have a sixth form</x:v>
      </x:c>
      <x:c r="M1301" s="43" t="n">
        <x:v>89</x:v>
      </x:c>
      <x:c r="N1301" s="43" t="str">
        <x:v>https://www.snaresbrookprep.org</x:v>
      </x:c>
      <x:c r="O1301" s="43" t="str">
        <x:v>02089892394</x:v>
      </x:c>
      <x:c r="P1301" s="43" t="str"/>
      <x:c r="Q1301" s="43" t="str"/>
      <x:c r="R1301" s="43" t="str">
        <x:v>Queued for contact research</x:v>
      </x:c>
      <x:c r="S1301" s="43" t="str">
        <x:v>Not reviewed</x:v>
      </x:c>
      <x:c r="T1301" s="43" t="str">
        <x:v>Hold</x:v>
      </x:c>
      <x:c r="U1301" s="43" t="str">
        <x:v>No</x:v>
      </x:c>
      <x:c r="V1301" s="44"/>
      <x:c r="W1301" s="43" t="str"/>
      <x:c r="X1301" s="43" t="str"/>
      <x:c r="Y1301" s="43" t="str"/>
      <x:c r="Z1301" s="43" t="str">
        <x:v>https://www.get-information-schools.service.gov.uk/Downloads</x:v>
      </x:c>
    </x:row>
    <x:row r="1302">
      <x:c r="A1302" s="43" t="str">
        <x:v>UK independent</x:v>
      </x:c>
      <x:c r="B1302" s="43" t="str">
        <x:v>115415</x:v>
      </x:c>
      <x:c r="C1302" s="43" t="n">
        <x:f>IF(K1302="Boarding school",30,0)+IF(J1302&gt;=18,20,0)+IF(I1302&lt;=11,10,0)+IF(L1302="Has a sixth form",15,0)+IF(M1302&gt;=200,10,0)+IF(N1302&lt;&gt;"",10,0)</x:f>
        <x:v>20</x:v>
      </x:c>
      <x:c r="D1302" s="43" t="str">
        <x:f>IF(C1302&gt;=85,"A",IF(C1302&gt;=65,"B","C"))</x:f>
        <x:v>C</x:v>
      </x:c>
      <x:c r="E1302" s="43" t="str">
        <x:v>St Philomena's School</x:v>
      </x:c>
      <x:c r="F1302" s="43" t="str">
        <x:v>Frinton-on-Sea</x:v>
      </x:c>
      <x:c r="G1302" s="43" t="str">
        <x:v>Essex</x:v>
      </x:c>
      <x:c r="H1302" s="43" t="str">
        <x:v>CO13 9HQ</x:v>
      </x:c>
      <x:c r="I1302" s="43" t="n">
        <x:v>4</x:v>
      </x:c>
      <x:c r="J1302" s="43" t="n">
        <x:v>11</x:v>
      </x:c>
      <x:c r="K1302" s="43" t="str">
        <x:v>No boarders</x:v>
      </x:c>
      <x:c r="L1302" s="43" t="str">
        <x:v>Does not have a sixth form</x:v>
      </x:c>
      <x:c r="M1302" s="43" t="n">
        <x:v>89</x:v>
      </x:c>
      <x:c r="N1302" s="43" t="str">
        <x:v>https://www.stphilomenas.com</x:v>
      </x:c>
      <x:c r="O1302" s="43" t="str">
        <x:v>01255674492</x:v>
      </x:c>
      <x:c r="P1302" s="43" t="str"/>
      <x:c r="Q1302" s="43" t="str"/>
      <x:c r="R1302" s="43" t="str">
        <x:v>Queued for contact research</x:v>
      </x:c>
      <x:c r="S1302" s="43" t="str">
        <x:v>Not reviewed</x:v>
      </x:c>
      <x:c r="T1302" s="43" t="str">
        <x:v>Hold</x:v>
      </x:c>
      <x:c r="U1302" s="43" t="str">
        <x:v>No</x:v>
      </x:c>
      <x:c r="V1302" s="44"/>
      <x:c r="W1302" s="43" t="str"/>
      <x:c r="X1302" s="43" t="str"/>
      <x:c r="Y1302" s="43" t="str"/>
      <x:c r="Z1302" s="43" t="str">
        <x:v>https://www.get-information-schools.service.gov.uk/Downloads</x:v>
      </x:c>
    </x:row>
    <x:row r="1303">
      <x:c r="A1303" s="43" t="str">
        <x:v>UK independent</x:v>
      </x:c>
      <x:c r="B1303" s="43" t="str">
        <x:v>126523</x:v>
      </x:c>
      <x:c r="C1303" s="43" t="n">
        <x:f>IF(K1303="Boarding school",30,0)+IF(J1303&gt;=18,20,0)+IF(I1303&lt;=11,10,0)+IF(L1303="Has a sixth form",15,0)+IF(M1303&gt;=200,10,0)+IF(N1303&lt;&gt;"",10,0)</x:f>
        <x:v>20</x:v>
      </x:c>
      <x:c r="D1303" s="43" t="str">
        <x:f>IF(C1303&gt;=85,"A",IF(C1303&gt;=65,"B","C"))</x:f>
        <x:v>C</x:v>
      </x:c>
      <x:c r="E1303" s="43" t="str">
        <x:v>Avondale Preparatory School</x:v>
      </x:c>
      <x:c r="F1303" s="43" t="str">
        <x:v>Salisbury</x:v>
      </x:c>
      <x:c r="G1303" s="43" t="str">
        <x:v>Wiltshire</x:v>
      </x:c>
      <x:c r="H1303" s="43" t="str">
        <x:v>SP4 9DR</x:v>
      </x:c>
      <x:c r="I1303" s="43" t="n">
        <x:v>2</x:v>
      </x:c>
      <x:c r="J1303" s="43" t="n">
        <x:v>11</x:v>
      </x:c>
      <x:c r="K1303" s="43" t="str">
        <x:v>No boarders</x:v>
      </x:c>
      <x:c r="L1303" s="43" t="str">
        <x:v>Does not have a sixth form</x:v>
      </x:c>
      <x:c r="M1303" s="43" t="n">
        <x:v>88</x:v>
      </x:c>
      <x:c r="N1303" s="43" t="str">
        <x:v>https://www.avondaleschool.org</x:v>
      </x:c>
      <x:c r="O1303" s="43" t="str">
        <x:v>01980632387</x:v>
      </x:c>
      <x:c r="P1303" s="43" t="str"/>
      <x:c r="Q1303" s="43" t="str"/>
      <x:c r="R1303" s="43" t="str">
        <x:v>Queued for contact research</x:v>
      </x:c>
      <x:c r="S1303" s="43" t="str">
        <x:v>Not reviewed</x:v>
      </x:c>
      <x:c r="T1303" s="43" t="str">
        <x:v>Hold</x:v>
      </x:c>
      <x:c r="U1303" s="43" t="str">
        <x:v>No</x:v>
      </x:c>
      <x:c r="V1303" s="44"/>
      <x:c r="W1303" s="43" t="str"/>
      <x:c r="X1303" s="43" t="str"/>
      <x:c r="Y1303" s="43" t="str"/>
      <x:c r="Z1303" s="43" t="str">
        <x:v>https://www.get-information-schools.service.gov.uk/Downloads</x:v>
      </x:c>
    </x:row>
    <x:row r="1304">
      <x:c r="A1304" s="43" t="str">
        <x:v>UK independent</x:v>
      </x:c>
      <x:c r="B1304" s="43" t="str">
        <x:v>107450</x:v>
      </x:c>
      <x:c r="C1304" s="43" t="n">
        <x:f>IF(K1304="Boarding school",30,0)+IF(J1304&gt;=18,20,0)+IF(I1304&lt;=11,10,0)+IF(L1304="Has a sixth form",15,0)+IF(M1304&gt;=200,10,0)+IF(N1304&lt;&gt;"",10,0)</x:f>
        <x:v>20</x:v>
      </x:c>
      <x:c r="D1304" s="43" t="str">
        <x:f>IF(C1304&gt;=85,"A",IF(C1304&gt;=65,"B","C"))</x:f>
        <x:v>C</x:v>
      </x:c>
      <x:c r="E1304" s="43" t="str">
        <x:v>Moorfield School &amp; Nursery</x:v>
      </x:c>
      <x:c r="F1304" s="43" t="str">
        <x:v>Ilkley</x:v>
      </x:c>
      <x:c r="G1304" s="43" t="str">
        <x:v>West Yorkshire</x:v>
      </x:c>
      <x:c r="H1304" s="43" t="str">
        <x:v>LS29 8RL</x:v>
      </x:c>
      <x:c r="I1304" s="43" t="n">
        <x:v>2</x:v>
      </x:c>
      <x:c r="J1304" s="43" t="n">
        <x:v>11</x:v>
      </x:c>
      <x:c r="K1304" s="43" t="str">
        <x:v>No boarders</x:v>
      </x:c>
      <x:c r="L1304" s="43" t="str">
        <x:v>Does not have a sixth form</x:v>
      </x:c>
      <x:c r="M1304" s="43" t="n">
        <x:v>88</x:v>
      </x:c>
      <x:c r="N1304" s="43" t="str">
        <x:v>https://www.moorfieldschool.co.uk</x:v>
      </x:c>
      <x:c r="O1304" s="43" t="str">
        <x:v>01943607285</x:v>
      </x:c>
      <x:c r="P1304" s="43" t="str"/>
      <x:c r="Q1304" s="43" t="str"/>
      <x:c r="R1304" s="43" t="str">
        <x:v>Queued for contact research</x:v>
      </x:c>
      <x:c r="S1304" s="43" t="str">
        <x:v>Not reviewed</x:v>
      </x:c>
      <x:c r="T1304" s="43" t="str">
        <x:v>Hold</x:v>
      </x:c>
      <x:c r="U1304" s="43" t="str">
        <x:v>No</x:v>
      </x:c>
      <x:c r="V1304" s="44"/>
      <x:c r="W1304" s="43" t="str"/>
      <x:c r="X1304" s="43" t="str"/>
      <x:c r="Y1304" s="43" t="str"/>
      <x:c r="Z1304" s="43" t="str">
        <x:v>https://www.get-information-schools.service.gov.uk/Downloads</x:v>
      </x:c>
    </x:row>
    <x:row r="1305">
      <x:c r="A1305" s="43" t="str">
        <x:v>UK independent</x:v>
      </x:c>
      <x:c r="B1305" s="43" t="str">
        <x:v>113008</x:v>
      </x:c>
      <x:c r="C1305" s="43" t="n">
        <x:f>IF(K1305="Boarding school",30,0)+IF(J1305&gt;=18,20,0)+IF(I1305&lt;=11,10,0)+IF(L1305="Has a sixth form",15,0)+IF(M1305&gt;=200,10,0)+IF(N1305&lt;&gt;"",10,0)</x:f>
        <x:v>20</x:v>
      </x:c>
      <x:c r="D1305" s="43" t="str">
        <x:f>IF(C1305&gt;=85,"A",IF(C1305&gt;=65,"B","C"))</x:f>
        <x:v>C</x:v>
      </x:c>
      <x:c r="E1305" s="43" t="str">
        <x:v>St Wystan's School</x:v>
      </x:c>
      <x:c r="F1305" s="43" t="str">
        <x:v>Derby</x:v>
      </x:c>
      <x:c r="G1305" s="43" t="str">
        <x:v>Derbyshire</x:v>
      </x:c>
      <x:c r="H1305" s="43" t="str">
        <x:v>DE65 6GE</x:v>
      </x:c>
      <x:c r="I1305" s="43" t="n">
        <x:v>4</x:v>
      </x:c>
      <x:c r="J1305" s="43" t="n">
        <x:v>11</x:v>
      </x:c>
      <x:c r="K1305" s="43" t="str">
        <x:v>No boarders</x:v>
      </x:c>
      <x:c r="L1305" s="43" t="str">
        <x:v>Does not have a sixth form</x:v>
      </x:c>
      <x:c r="M1305" s="43" t="n">
        <x:v>88</x:v>
      </x:c>
      <x:c r="N1305" s="43" t="str">
        <x:v>https://www.stwystans.org.uk</x:v>
      </x:c>
      <x:c r="O1305" s="43" t="str">
        <x:v>01283703258</x:v>
      </x:c>
      <x:c r="P1305" s="43" t="str"/>
      <x:c r="Q1305" s="43" t="str"/>
      <x:c r="R1305" s="43" t="str">
        <x:v>Queued for contact research</x:v>
      </x:c>
      <x:c r="S1305" s="43" t="str">
        <x:v>Not reviewed</x:v>
      </x:c>
      <x:c r="T1305" s="43" t="str">
        <x:v>Hold</x:v>
      </x:c>
      <x:c r="U1305" s="43" t="str">
        <x:v>No</x:v>
      </x:c>
      <x:c r="V1305" s="44"/>
      <x:c r="W1305" s="43" t="str"/>
      <x:c r="X1305" s="43" t="str"/>
      <x:c r="Y1305" s="43" t="str"/>
      <x:c r="Z1305" s="43" t="str">
        <x:v>https://www.get-information-schools.service.gov.uk/Downloads</x:v>
      </x:c>
    </x:row>
    <x:row r="1306">
      <x:c r="A1306" s="43" t="str">
        <x:v>UK independent</x:v>
      </x:c>
      <x:c r="B1306" s="43" t="str">
        <x:v>136746</x:v>
      </x:c>
      <x:c r="C1306" s="43" t="n">
        <x:f>IF(K1306="Boarding school",30,0)+IF(J1306&gt;=18,20,0)+IF(I1306&lt;=11,10,0)+IF(L1306="Has a sixth form",15,0)+IF(M1306&gt;=200,10,0)+IF(N1306&lt;&gt;"",10,0)</x:f>
        <x:v>20</x:v>
      </x:c>
      <x:c r="D1306" s="43" t="str">
        <x:f>IF(C1306&gt;=85,"A",IF(C1306&gt;=65,"B","C"))</x:f>
        <x:v>C</x:v>
      </x:c>
      <x:c r="E1306" s="43" t="str">
        <x:v>Al Madina School for Girls</x:v>
      </x:c>
      <x:c r="F1306" s="43" t="str">
        <x:v>Barking</x:v>
      </x:c>
      <x:c r="G1306" s="43" t="str">
        <x:v>Essex</x:v>
      </x:c>
      <x:c r="H1306" s="43" t="str">
        <x:v>IG11 8PY</x:v>
      </x:c>
      <x:c r="I1306" s="43" t="n">
        <x:v>11</x:v>
      </x:c>
      <x:c r="J1306" s="43" t="n">
        <x:v>16</x:v>
      </x:c>
      <x:c r="K1306" s="43" t="str">
        <x:v>No boarders</x:v>
      </x:c>
      <x:c r="L1306" s="43" t="str">
        <x:v>Does not have a sixth form</x:v>
      </x:c>
      <x:c r="M1306" s="43" t="n">
        <x:v>87</x:v>
      </x:c>
      <x:c r="N1306" s="43" t="str">
        <x:v>https://www.asgedu.org.uk</x:v>
      </x:c>
      <x:c r="O1306" s="43" t="str">
        <x:v>02084785115</x:v>
      </x:c>
      <x:c r="P1306" s="43" t="str"/>
      <x:c r="Q1306" s="43" t="str"/>
      <x:c r="R1306" s="43" t="str">
        <x:v>Queued for contact research</x:v>
      </x:c>
      <x:c r="S1306" s="43" t="str">
        <x:v>Not reviewed</x:v>
      </x:c>
      <x:c r="T1306" s="43" t="str">
        <x:v>Hold</x:v>
      </x:c>
      <x:c r="U1306" s="43" t="str">
        <x:v>No</x:v>
      </x:c>
      <x:c r="V1306" s="44"/>
      <x:c r="W1306" s="43" t="str"/>
      <x:c r="X1306" s="43" t="str"/>
      <x:c r="Y1306" s="43" t="str"/>
      <x:c r="Z1306" s="43" t="str">
        <x:v>https://www.get-information-schools.service.gov.uk/Downloads</x:v>
      </x:c>
    </x:row>
    <x:row r="1307">
      <x:c r="A1307" s="43" t="str">
        <x:v>UK independent</x:v>
      </x:c>
      <x:c r="B1307" s="43" t="str">
        <x:v>135882</x:v>
      </x:c>
      <x:c r="C1307" s="43" t="n">
        <x:f>IF(K1307="Boarding school",30,0)+IF(J1307&gt;=18,20,0)+IF(I1307&lt;=11,10,0)+IF(L1307="Has a sixth form",15,0)+IF(M1307&gt;=200,10,0)+IF(N1307&lt;&gt;"",10,0)</x:f>
        <x:v>20</x:v>
      </x:c>
      <x:c r="D1307" s="43" t="str">
        <x:f>IF(C1307&gt;=85,"A",IF(C1307&gt;=65,"B","C"))</x:f>
        <x:v>C</x:v>
      </x:c>
      <x:c r="E1307" s="43" t="str">
        <x:v>The Wisdom Academy</x:v>
      </x:c>
      <x:c r="F1307" s="43" t="str">
        <x:v>Birmingham</x:v>
      </x:c>
      <x:c r="G1307" s="43" t="str">
        <x:v>West Midlands</x:v>
      </x:c>
      <x:c r="H1307" s="43" t="str">
        <x:v>B6 5UH</x:v>
      </x:c>
      <x:c r="I1307" s="43" t="n">
        <x:v>4</x:v>
      </x:c>
      <x:c r="J1307" s="43" t="n">
        <x:v>11</x:v>
      </x:c>
      <x:c r="K1307" s="43" t="str">
        <x:v>No boarders</x:v>
      </x:c>
      <x:c r="L1307" s="43" t="str">
        <x:v>Does not have a sixth form</x:v>
      </x:c>
      <x:c r="M1307" s="43" t="n">
        <x:v>87</x:v>
      </x:c>
      <x:c r="N1307" s="43" t="str">
        <x:v>https://www.thewisdomacademy.co.uk</x:v>
      </x:c>
      <x:c r="O1307" s="43" t="str">
        <x:v>01217143094</x:v>
      </x:c>
      <x:c r="P1307" s="43" t="str"/>
      <x:c r="Q1307" s="43" t="str"/>
      <x:c r="R1307" s="43" t="str">
        <x:v>Queued for contact research</x:v>
      </x:c>
      <x:c r="S1307" s="43" t="str">
        <x:v>Not reviewed</x:v>
      </x:c>
      <x:c r="T1307" s="43" t="str">
        <x:v>Hold</x:v>
      </x:c>
      <x:c r="U1307" s="43" t="str">
        <x:v>No</x:v>
      </x:c>
      <x:c r="V1307" s="44"/>
      <x:c r="W1307" s="43" t="str"/>
      <x:c r="X1307" s="43" t="str"/>
      <x:c r="Y1307" s="43" t="str"/>
      <x:c r="Z1307" s="43" t="str">
        <x:v>https://www.get-information-schools.service.gov.uk/Downloads</x:v>
      </x:c>
    </x:row>
    <x:row r="1308">
      <x:c r="A1308" s="43" t="str">
        <x:v>UK independent</x:v>
      </x:c>
      <x:c r="B1308" s="43" t="str">
        <x:v>132848</x:v>
      </x:c>
      <x:c r="C1308" s="43" t="n">
        <x:f>IF(K1308="Boarding school",30,0)+IF(J1308&gt;=18,20,0)+IF(I1308&lt;=11,10,0)+IF(L1308="Has a sixth form",15,0)+IF(M1308&gt;=200,10,0)+IF(N1308&lt;&gt;"",10,0)</x:f>
        <x:v>20</x:v>
      </x:c>
      <x:c r="D1308" s="43" t="str">
        <x:f>IF(C1308&gt;=85,"A",IF(C1308&gt;=65,"B","C"))</x:f>
        <x:v>C</x:v>
      </x:c>
      <x:c r="E1308" s="43" t="str">
        <x:v>Lantern of Knowledge Secondary School</x:v>
      </x:c>
      <x:c r="F1308" s="43" t="str">
        <x:v>London</x:v>
      </x:c>
      <x:c r="G1308" s="43" t="str"/>
      <x:c r="H1308" s="43" t="str">
        <x:v>E10 6QT</x:v>
      </x:c>
      <x:c r="I1308" s="43" t="n">
        <x:v>10</x:v>
      </x:c>
      <x:c r="J1308" s="43" t="n">
        <x:v>16</x:v>
      </x:c>
      <x:c r="K1308" s="43" t="str">
        <x:v>No boarders</x:v>
      </x:c>
      <x:c r="L1308" s="43" t="str">
        <x:v>Does not have a sixth form</x:v>
      </x:c>
      <x:c r="M1308" s="43" t="n">
        <x:v>86</x:v>
      </x:c>
      <x:c r="N1308" s="43" t="str">
        <x:v>https://www.lanternofknowledge.org.uk</x:v>
      </x:c>
      <x:c r="O1308" s="43" t="str">
        <x:v>02085395183</x:v>
      </x:c>
      <x:c r="P1308" s="43" t="str"/>
      <x:c r="Q1308" s="43" t="str"/>
      <x:c r="R1308" s="43" t="str">
        <x:v>Queued for contact research</x:v>
      </x:c>
      <x:c r="S1308" s="43" t="str">
        <x:v>Not reviewed</x:v>
      </x:c>
      <x:c r="T1308" s="43" t="str">
        <x:v>Hold</x:v>
      </x:c>
      <x:c r="U1308" s="43" t="str">
        <x:v>No</x:v>
      </x:c>
      <x:c r="V1308" s="44"/>
      <x:c r="W1308" s="43" t="str"/>
      <x:c r="X1308" s="43" t="str"/>
      <x:c r="Y1308" s="43" t="str"/>
      <x:c r="Z1308" s="43" t="str">
        <x:v>https://www.get-information-schools.service.gov.uk/Downloads</x:v>
      </x:c>
    </x:row>
    <x:row r="1309">
      <x:c r="A1309" s="43" t="str">
        <x:v>UK independent</x:v>
      </x:c>
      <x:c r="B1309" s="43" t="str">
        <x:v>122938</x:v>
      </x:c>
      <x:c r="C1309" s="43" t="n">
        <x:f>IF(K1309="Boarding school",30,0)+IF(J1309&gt;=18,20,0)+IF(I1309&lt;=11,10,0)+IF(L1309="Has a sixth form",15,0)+IF(M1309&gt;=200,10,0)+IF(N1309&lt;&gt;"",10,0)</x:f>
        <x:v>20</x:v>
      </x:c>
      <x:c r="D1309" s="43" t="str">
        <x:f>IF(C1309&gt;=85,"A",IF(C1309&gt;=65,"B","C"))</x:f>
        <x:v>C</x:v>
      </x:c>
      <x:c r="E1309" s="43" t="str">
        <x:v>Salterford House School</x:v>
      </x:c>
      <x:c r="F1309" s="43" t="str">
        <x:v>Nottingham</x:v>
      </x:c>
      <x:c r="G1309" s="43" t="str">
        <x:v>Nottinghamshire</x:v>
      </x:c>
      <x:c r="H1309" s="43" t="str">
        <x:v>NG14 6NZ</x:v>
      </x:c>
      <x:c r="I1309" s="43" t="n">
        <x:v>2</x:v>
      </x:c>
      <x:c r="J1309" s="43" t="n">
        <x:v>12</x:v>
      </x:c>
      <x:c r="K1309" s="43" t="str">
        <x:v>No boarders</x:v>
      </x:c>
      <x:c r="L1309" s="43" t="str">
        <x:v>Does not have a sixth form</x:v>
      </x:c>
      <x:c r="M1309" s="43" t="n">
        <x:v>86</x:v>
      </x:c>
      <x:c r="N1309" s="43" t="str">
        <x:v>https://www.salterfordhouseschool.co.uk</x:v>
      </x:c>
      <x:c r="O1309" s="43" t="str">
        <x:v>01159652127</x:v>
      </x:c>
      <x:c r="P1309" s="43" t="str"/>
      <x:c r="Q1309" s="43" t="str"/>
      <x:c r="R1309" s="43" t="str">
        <x:v>Queued for contact research</x:v>
      </x:c>
      <x:c r="S1309" s="43" t="str">
        <x:v>Not reviewed</x:v>
      </x:c>
      <x:c r="T1309" s="43" t="str">
        <x:v>Hold</x:v>
      </x:c>
      <x:c r="U1309" s="43" t="str">
        <x:v>No</x:v>
      </x:c>
      <x:c r="V1309" s="44"/>
      <x:c r="W1309" s="43" t="str"/>
      <x:c r="X1309" s="43" t="str"/>
      <x:c r="Y1309" s="43" t="str"/>
      <x:c r="Z1309" s="43" t="str">
        <x:v>https://www.get-information-schools.service.gov.uk/Downloads</x:v>
      </x:c>
    </x:row>
    <x:row r="1310">
      <x:c r="A1310" s="43" t="str">
        <x:v>UK independent</x:v>
      </x:c>
      <x:c r="B1310" s="43" t="str">
        <x:v>136046</x:v>
      </x:c>
      <x:c r="C1310" s="43" t="n">
        <x:f>IF(K1310="Boarding school",30,0)+IF(J1310&gt;=18,20,0)+IF(I1310&lt;=11,10,0)+IF(L1310="Has a sixth form",15,0)+IF(M1310&gt;=200,10,0)+IF(N1310&lt;&gt;"",10,0)</x:f>
        <x:v>20</x:v>
      </x:c>
      <x:c r="D1310" s="43" t="str">
        <x:f>IF(C1310&gt;=85,"A",IF(C1310&gt;=65,"B","C"))</x:f>
        <x:v>C</x:v>
      </x:c>
      <x:c r="E1310" s="43" t="str">
        <x:v>Lady Nafisa School</x:v>
      </x:c>
      <x:c r="F1310" s="43" t="str"/>
      <x:c r="G1310" s="43" t="str">
        <x:v>Middlesex</x:v>
      </x:c>
      <x:c r="H1310" s="43" t="str">
        <x:v>UB7 0JG</x:v>
      </x:c>
      <x:c r="I1310" s="43" t="n">
        <x:v>11</x:v>
      </x:c>
      <x:c r="J1310" s="43" t="n">
        <x:v>16</x:v>
      </x:c>
      <x:c r="K1310" s="43" t="str">
        <x:v>No boarders</x:v>
      </x:c>
      <x:c r="L1310" s="43" t="str">
        <x:v>Does not have a sixth form</x:v>
      </x:c>
      <x:c r="M1310" s="43" t="n">
        <x:v>85</x:v>
      </x:c>
      <x:c r="N1310" s="43" t="str">
        <x:v>https://www.ladynafisa.org</x:v>
      </x:c>
      <x:c r="O1310" s="43" t="str">
        <x:v>02087070001</x:v>
      </x:c>
      <x:c r="P1310" s="43" t="str"/>
      <x:c r="Q1310" s="43" t="str"/>
      <x:c r="R1310" s="43" t="str">
        <x:v>Queued for contact research</x:v>
      </x:c>
      <x:c r="S1310" s="43" t="str">
        <x:v>Not reviewed</x:v>
      </x:c>
      <x:c r="T1310" s="43" t="str">
        <x:v>Hold</x:v>
      </x:c>
      <x:c r="U1310" s="43" t="str">
        <x:v>No</x:v>
      </x:c>
      <x:c r="V1310" s="44"/>
      <x:c r="W1310" s="43" t="str"/>
      <x:c r="X1310" s="43" t="str"/>
      <x:c r="Y1310" s="43" t="str"/>
      <x:c r="Z1310" s="43" t="str">
        <x:v>https://www.get-information-schools.service.gov.uk/Downloads</x:v>
      </x:c>
    </x:row>
    <x:row r="1311">
      <x:c r="A1311" s="43" t="str">
        <x:v>UK independent</x:v>
      </x:c>
      <x:c r="B1311" s="43" t="str">
        <x:v>107453</x:v>
      </x:c>
      <x:c r="C1311" s="43" t="n">
        <x:f>IF(K1311="Boarding school",30,0)+IF(J1311&gt;=18,20,0)+IF(I1311&lt;=11,10,0)+IF(L1311="Has a sixth form",15,0)+IF(M1311&gt;=200,10,0)+IF(N1311&lt;&gt;"",10,0)</x:f>
        <x:v>20</x:v>
      </x:c>
      <x:c r="D1311" s="43" t="str">
        <x:f>IF(C1311&gt;=85,"A",IF(C1311&gt;=65,"B","C"))</x:f>
        <x:v>C</x:v>
      </x:c>
      <x:c r="E1311" s="43" t="str">
        <x:v>Westville House School</x:v>
      </x:c>
      <x:c r="F1311" s="43" t="str">
        <x:v>Ilkley</x:v>
      </x:c>
      <x:c r="G1311" s="43" t="str">
        <x:v>West Yorkshire</x:v>
      </x:c>
      <x:c r="H1311" s="43" t="str">
        <x:v>LS29 0DQ</x:v>
      </x:c>
      <x:c r="I1311" s="43" t="n">
        <x:v>2</x:v>
      </x:c>
      <x:c r="J1311" s="43" t="n">
        <x:v>11</x:v>
      </x:c>
      <x:c r="K1311" s="43" t="str">
        <x:v>No boarders</x:v>
      </x:c>
      <x:c r="L1311" s="43" t="str">
        <x:v>Does not have a sixth form</x:v>
      </x:c>
      <x:c r="M1311" s="43" t="n">
        <x:v>85</x:v>
      </x:c>
      <x:c r="N1311" s="43" t="str">
        <x:v>https://www.westvillehouseschool.co.uk</x:v>
      </x:c>
      <x:c r="O1311" s="43" t="str">
        <x:v>01943608053</x:v>
      </x:c>
      <x:c r="P1311" s="43" t="str"/>
      <x:c r="Q1311" s="43" t="str"/>
      <x:c r="R1311" s="43" t="str">
        <x:v>Queued for contact research</x:v>
      </x:c>
      <x:c r="S1311" s="43" t="str">
        <x:v>Not reviewed</x:v>
      </x:c>
      <x:c r="T1311" s="43" t="str">
        <x:v>Hold</x:v>
      </x:c>
      <x:c r="U1311" s="43" t="str">
        <x:v>No</x:v>
      </x:c>
      <x:c r="V1311" s="44"/>
      <x:c r="W1311" s="43" t="str"/>
      <x:c r="X1311" s="43" t="str"/>
      <x:c r="Y1311" s="43" t="str"/>
      <x:c r="Z1311" s="43" t="str">
        <x:v>https://www.get-information-schools.service.gov.uk/Downloads</x:v>
      </x:c>
    </x:row>
    <x:row r="1312">
      <x:c r="A1312" s="43" t="str">
        <x:v>UK independent</x:v>
      </x:c>
      <x:c r="B1312" s="43" t="str">
        <x:v>101383</x:v>
      </x:c>
      <x:c r="C1312" s="43" t="n">
        <x:f>IF(K1312="Boarding school",30,0)+IF(J1312&gt;=18,20,0)+IF(I1312&lt;=11,10,0)+IF(L1312="Has a sixth form",15,0)+IF(M1312&gt;=200,10,0)+IF(N1312&lt;&gt;"",10,0)</x:f>
        <x:v>20</x:v>
      </x:c>
      <x:c r="D1312" s="43" t="str">
        <x:f>IF(C1312&gt;=85,"A",IF(C1312&gt;=65,"B","C"))</x:f>
        <x:v>C</x:v>
      </x:c>
      <x:c r="E1312" s="43" t="str">
        <x:v>St Martin's School</x:v>
      </x:c>
      <x:c r="F1312" s="43" t="str"/>
      <x:c r="G1312" s="43" t="str"/>
      <x:c r="H1312" s="43" t="str">
        <x:v>NW7 3RG</x:v>
      </x:c>
      <x:c r="I1312" s="43" t="n">
        <x:v>3</x:v>
      </x:c>
      <x:c r="J1312" s="43" t="n">
        <x:v>11</x:v>
      </x:c>
      <x:c r="K1312" s="43" t="str">
        <x:v>No boarders</x:v>
      </x:c>
      <x:c r="L1312" s="43" t="str">
        <x:v>Does not have a sixth form</x:v>
      </x:c>
      <x:c r="M1312" s="43" t="n">
        <x:v>84</x:v>
      </x:c>
      <x:c r="N1312" s="43" t="str">
        <x:v>https://www.stmartinsmillhill.co.uk</x:v>
      </x:c>
      <x:c r="O1312" s="43" t="str">
        <x:v>02089591965</x:v>
      </x:c>
      <x:c r="P1312" s="43" t="str"/>
      <x:c r="Q1312" s="43" t="str"/>
      <x:c r="R1312" s="43" t="str">
        <x:v>Queued for contact research</x:v>
      </x:c>
      <x:c r="S1312" s="43" t="str">
        <x:v>Not reviewed</x:v>
      </x:c>
      <x:c r="T1312" s="43" t="str">
        <x:v>Hold</x:v>
      </x:c>
      <x:c r="U1312" s="43" t="str">
        <x:v>No</x:v>
      </x:c>
      <x:c r="V1312" s="44"/>
      <x:c r="W1312" s="43" t="str"/>
      <x:c r="X1312" s="43" t="str"/>
      <x:c r="Y1312" s="43" t="str"/>
      <x:c r="Z1312" s="43" t="str">
        <x:v>https://www.get-information-schools.service.gov.uk/Downloads</x:v>
      </x:c>
    </x:row>
    <x:row r="1313">
      <x:c r="A1313" s="43" t="str">
        <x:v>UK independent</x:v>
      </x:c>
      <x:c r="B1313" s="43" t="str">
        <x:v>103753</x:v>
      </x:c>
      <x:c r="C1313" s="43" t="n">
        <x:f>IF(K1313="Boarding school",30,0)+IF(J1313&gt;=18,20,0)+IF(I1313&lt;=11,10,0)+IF(L1313="Has a sixth form",15,0)+IF(M1313&gt;=200,10,0)+IF(N1313&lt;&gt;"",10,0)</x:f>
        <x:v>20</x:v>
      </x:c>
      <x:c r="D1313" s="43" t="str">
        <x:f>IF(C1313&gt;=85,"A",IF(C1313&gt;=65,"B","C"))</x:f>
        <x:v>C</x:v>
      </x:c>
      <x:c r="E1313" s="43" t="str">
        <x:v>Lote Tree Primary School</x:v>
      </x:c>
      <x:c r="F1313" s="43" t="str">
        <x:v>Coventry</x:v>
      </x:c>
      <x:c r="G1313" s="43" t="str">
        <x:v>West Midlands</x:v>
      </x:c>
      <x:c r="H1313" s="43" t="str">
        <x:v>CV6 5JQ</x:v>
      </x:c>
      <x:c r="I1313" s="43" t="n">
        <x:v>2</x:v>
      </x:c>
      <x:c r="J1313" s="43" t="n">
        <x:v>11</x:v>
      </x:c>
      <x:c r="K1313" s="43" t="str">
        <x:v>No boarders</x:v>
      </x:c>
      <x:c r="L1313" s="43" t="str">
        <x:v>Does not have a sixth form</x:v>
      </x:c>
      <x:c r="M1313" s="43" t="n">
        <x:v>83</x:v>
      </x:c>
      <x:c r="N1313" s="43" t="str">
        <x:v>https://www.lotetreeprimary.com</x:v>
      </x:c>
      <x:c r="O1313" s="43" t="str">
        <x:v>02476261803</x:v>
      </x:c>
      <x:c r="P1313" s="43" t="str"/>
      <x:c r="Q1313" s="43" t="str"/>
      <x:c r="R1313" s="43" t="str">
        <x:v>Queued for contact research</x:v>
      </x:c>
      <x:c r="S1313" s="43" t="str">
        <x:v>Not reviewed</x:v>
      </x:c>
      <x:c r="T1313" s="43" t="str">
        <x:v>Hold</x:v>
      </x:c>
      <x:c r="U1313" s="43" t="str">
        <x:v>No</x:v>
      </x:c>
      <x:c r="V1313" s="44"/>
      <x:c r="W1313" s="43" t="str"/>
      <x:c r="X1313" s="43" t="str"/>
      <x:c r="Y1313" s="43" t="str"/>
      <x:c r="Z1313" s="43" t="str">
        <x:v>https://www.get-information-schools.service.gov.uk/Downloads</x:v>
      </x:c>
    </x:row>
    <x:row r="1314">
      <x:c r="A1314" s="43" t="str">
        <x:v>UK independent</x:v>
      </x:c>
      <x:c r="B1314" s="43" t="str">
        <x:v>123319</x:v>
      </x:c>
      <x:c r="C1314" s="43" t="n">
        <x:f>IF(K1314="Boarding school",30,0)+IF(J1314&gt;=18,20,0)+IF(I1314&lt;=11,10,0)+IF(L1314="Has a sixth form",15,0)+IF(M1314&gt;=200,10,0)+IF(N1314&lt;&gt;"",10,0)</x:f>
        <x:v>20</x:v>
      </x:c>
      <x:c r="D1314" s="43" t="str">
        <x:f>IF(C1314&gt;=85,"A",IF(C1314&gt;=65,"B","C"))</x:f>
        <x:v>C</x:v>
      </x:c>
      <x:c r="E1314" s="43" t="str">
        <x:v>Windrush Valley School</x:v>
      </x:c>
      <x:c r="F1314" s="43" t="str">
        <x:v>Chipping Norton</x:v>
      </x:c>
      <x:c r="G1314" s="43" t="str">
        <x:v>Oxfordshire</x:v>
      </x:c>
      <x:c r="H1314" s="43" t="str">
        <x:v>OX7 6AN</x:v>
      </x:c>
      <x:c r="I1314" s="43" t="n">
        <x:v>3</x:v>
      </x:c>
      <x:c r="J1314" s="43" t="n">
        <x:v>11</x:v>
      </x:c>
      <x:c r="K1314" s="43" t="str">
        <x:v>No boarders</x:v>
      </x:c>
      <x:c r="L1314" s="43" t="str">
        <x:v>Does not have a sixth form</x:v>
      </x:c>
      <x:c r="M1314" s="43" t="n">
        <x:v>83</x:v>
      </x:c>
      <x:c r="N1314" s="43" t="str">
        <x:v>https://www.windrushvalleyschool.co.uk</x:v>
      </x:c>
      <x:c r="O1314" s="43" t="str">
        <x:v>01993831793</x:v>
      </x:c>
      <x:c r="P1314" s="43" t="str"/>
      <x:c r="Q1314" s="43" t="str"/>
      <x:c r="R1314" s="43" t="str">
        <x:v>Queued for contact research</x:v>
      </x:c>
      <x:c r="S1314" s="43" t="str">
        <x:v>Not reviewed</x:v>
      </x:c>
      <x:c r="T1314" s="43" t="str">
        <x:v>Hold</x:v>
      </x:c>
      <x:c r="U1314" s="43" t="str">
        <x:v>No</x:v>
      </x:c>
      <x:c r="V1314" s="44"/>
      <x:c r="W1314" s="43" t="str"/>
      <x:c r="X1314" s="43" t="str"/>
      <x:c r="Y1314" s="43" t="str"/>
      <x:c r="Z1314" s="43" t="str">
        <x:v>https://www.get-information-schools.service.gov.uk/Downloads</x:v>
      </x:c>
    </x:row>
    <x:row r="1315">
      <x:c r="A1315" s="43" t="str">
        <x:v>UK independent</x:v>
      </x:c>
      <x:c r="B1315" s="43" t="str">
        <x:v>115805</x:v>
      </x:c>
      <x:c r="C1315" s="43" t="n">
        <x:f>IF(K1315="Boarding school",30,0)+IF(J1315&gt;=18,20,0)+IF(I1315&lt;=11,10,0)+IF(L1315="Has a sixth form",15,0)+IF(M1315&gt;=200,10,0)+IF(N1315&lt;&gt;"",10,0)</x:f>
        <x:v>20</x:v>
      </x:c>
      <x:c r="D1315" s="43" t="str">
        <x:f>IF(C1315&gt;=85,"A",IF(C1315&gt;=65,"B","C"))</x:f>
        <x:v>C</x:v>
      </x:c>
      <x:c r="E1315" s="43" t="str">
        <x:v>Hopelands Preparatory School</x:v>
      </x:c>
      <x:c r="F1315" s="43" t="str"/>
      <x:c r="G1315" s="43" t="str"/>
      <x:c r="H1315" s="43" t="str">
        <x:v>GL10 2AD</x:v>
      </x:c>
      <x:c r="I1315" s="43" t="n">
        <x:v>3</x:v>
      </x:c>
      <x:c r="J1315" s="43" t="n">
        <x:v>11</x:v>
      </x:c>
      <x:c r="K1315" s="43" t="str">
        <x:v>No boarders</x:v>
      </x:c>
      <x:c r="L1315" s="43" t="str">
        <x:v>Does not have a sixth form</x:v>
      </x:c>
      <x:c r="M1315" s="43" t="n">
        <x:v>82</x:v>
      </x:c>
      <x:c r="N1315" s="43" t="str">
        <x:v>https://www.hopelands.org.uk</x:v>
      </x:c>
      <x:c r="O1315" s="43" t="str">
        <x:v>01453822164</x:v>
      </x:c>
      <x:c r="P1315" s="43" t="str"/>
      <x:c r="Q1315" s="43" t="str"/>
      <x:c r="R1315" s="43" t="str">
        <x:v>Queued for contact research</x:v>
      </x:c>
      <x:c r="S1315" s="43" t="str">
        <x:v>Not reviewed</x:v>
      </x:c>
      <x:c r="T1315" s="43" t="str">
        <x:v>Hold</x:v>
      </x:c>
      <x:c r="U1315" s="43" t="str">
        <x:v>No</x:v>
      </x:c>
      <x:c r="V1315" s="44"/>
      <x:c r="W1315" s="43" t="str"/>
      <x:c r="X1315" s="43" t="str"/>
      <x:c r="Y1315" s="43" t="str"/>
      <x:c r="Z1315" s="43" t="str">
        <x:v>https://www.get-information-schools.service.gov.uk/Downloads</x:v>
      </x:c>
    </x:row>
    <x:row r="1316">
      <x:c r="A1316" s="43" t="str">
        <x:v>UK independent</x:v>
      </x:c>
      <x:c r="B1316" s="43" t="str">
        <x:v>136747</x:v>
      </x:c>
      <x:c r="C1316" s="43" t="n">
        <x:f>IF(K1316="Boarding school",30,0)+IF(J1316&gt;=18,20,0)+IF(I1316&lt;=11,10,0)+IF(L1316="Has a sixth form",15,0)+IF(M1316&gt;=200,10,0)+IF(N1316&lt;&gt;"",10,0)</x:f>
        <x:v>20</x:v>
      </x:c>
      <x:c r="D1316" s="43" t="str">
        <x:f>IF(C1316&gt;=85,"A",IF(C1316&gt;=65,"B","C"))</x:f>
        <x:v>C</x:v>
      </x:c>
      <x:c r="E1316" s="43" t="str">
        <x:v>SIAL</x:v>
      </x:c>
      <x:c r="F1316" s="43" t="str">
        <x:v>London</x:v>
      </x:c>
      <x:c r="G1316" s="43" t="str"/>
      <x:c r="H1316" s="43" t="str">
        <x:v>W11 4UH</x:v>
      </x:c>
      <x:c r="I1316" s="43" t="n">
        <x:v>2</x:v>
      </x:c>
      <x:c r="J1316" s="43" t="n">
        <x:v>14</x:v>
      </x:c>
      <x:c r="K1316" s="43" t="str">
        <x:v>No boarders</x:v>
      </x:c>
      <x:c r="L1316" s="43" t="str">
        <x:v>Does not have a sixth form</x:v>
      </x:c>
      <x:c r="M1316" s="43" t="n">
        <x:v>82</x:v>
      </x:c>
      <x:c r="N1316" s="43" t="str">
        <x:v>https://sial.school/</x:v>
      </x:c>
      <x:c r="O1316" s="43" t="str">
        <x:v>02076035353</x:v>
      </x:c>
      <x:c r="P1316" s="43" t="str"/>
      <x:c r="Q1316" s="43" t="str"/>
      <x:c r="R1316" s="43" t="str">
        <x:v>Queued for contact research</x:v>
      </x:c>
      <x:c r="S1316" s="43" t="str">
        <x:v>Not reviewed</x:v>
      </x:c>
      <x:c r="T1316" s="43" t="str">
        <x:v>Hold</x:v>
      </x:c>
      <x:c r="U1316" s="43" t="str">
        <x:v>No</x:v>
      </x:c>
      <x:c r="V1316" s="44"/>
      <x:c r="W1316" s="43" t="str"/>
      <x:c r="X1316" s="43" t="str"/>
      <x:c r="Y1316" s="43" t="str"/>
      <x:c r="Z1316" s="43" t="str">
        <x:v>https://www.get-information-schools.service.gov.uk/Downloads</x:v>
      </x:c>
    </x:row>
    <x:row r="1317">
      <x:c r="A1317" s="43" t="str">
        <x:v>UK independent</x:v>
      </x:c>
      <x:c r="B1317" s="43" t="str">
        <x:v>150101</x:v>
      </x:c>
      <x:c r="C1317" s="43" t="n">
        <x:f>IF(K1317="Boarding school",30,0)+IF(J1317&gt;=18,20,0)+IF(I1317&lt;=11,10,0)+IF(L1317="Has a sixth form",15,0)+IF(M1317&gt;=200,10,0)+IF(N1317&lt;&gt;"",10,0)</x:f>
        <x:v>20</x:v>
      </x:c>
      <x:c r="D1317" s="43" t="str">
        <x:f>IF(C1317&gt;=85,"A",IF(C1317&gt;=65,"B","C"))</x:f>
        <x:v>C</x:v>
      </x:c>
      <x:c r="E1317" s="43" t="str">
        <x:v>The Pioneers Academy</x:v>
      </x:c>
      <x:c r="F1317" s="43" t="str">
        <x:v>Birmingham</x:v>
      </x:c>
      <x:c r="G1317" s="43" t="str">
        <x:v>West Midlands</x:v>
      </x:c>
      <x:c r="H1317" s="43" t="str">
        <x:v>B6 5UH</x:v>
      </x:c>
      <x:c r="I1317" s="43" t="n">
        <x:v>11</x:v>
      </x:c>
      <x:c r="J1317" s="43" t="n">
        <x:v>16</x:v>
      </x:c>
      <x:c r="K1317" s="43" t="str">
        <x:v>No boarders</x:v>
      </x:c>
      <x:c r="L1317" s="43" t="str">
        <x:v>Does not have a sixth form</x:v>
      </x:c>
      <x:c r="M1317" s="43" t="n">
        <x:v>82</x:v>
      </x:c>
      <x:c r="N1317" s="43" t="str">
        <x:v>https://www.thepioneersacademy.com/</x:v>
      </x:c>
      <x:c r="O1317" s="43" t="str">
        <x:v>01215721447</x:v>
      </x:c>
      <x:c r="P1317" s="43" t="str"/>
      <x:c r="Q1317" s="43" t="str"/>
      <x:c r="R1317" s="43" t="str">
        <x:v>Queued for contact research</x:v>
      </x:c>
      <x:c r="S1317" s="43" t="str">
        <x:v>Not reviewed</x:v>
      </x:c>
      <x:c r="T1317" s="43" t="str">
        <x:v>Hold</x:v>
      </x:c>
      <x:c r="U1317" s="43" t="str">
        <x:v>No</x:v>
      </x:c>
      <x:c r="V1317" s="44"/>
      <x:c r="W1317" s="43" t="str"/>
      <x:c r="X1317" s="43" t="str"/>
      <x:c r="Y1317" s="43" t="str"/>
      <x:c r="Z1317" s="43" t="str">
        <x:v>https://www.get-information-schools.service.gov.uk/Downloads</x:v>
      </x:c>
    </x:row>
    <x:row r="1318">
      <x:c r="A1318" s="43" t="str">
        <x:v>UK independent</x:v>
      </x:c>
      <x:c r="B1318" s="43" t="str">
        <x:v>112459</x:v>
      </x:c>
      <x:c r="C1318" s="43" t="n">
        <x:f>IF(K1318="Boarding school",30,0)+IF(J1318&gt;=18,20,0)+IF(I1318&lt;=11,10,0)+IF(L1318="Has a sixth form",15,0)+IF(M1318&gt;=200,10,0)+IF(N1318&lt;&gt;"",10,0)</x:f>
        <x:v>20</x:v>
      </x:c>
      <x:c r="D1318" s="43" t="str">
        <x:f>IF(C1318&gt;=85,"A",IF(C1318&gt;=65,"B","C"))</x:f>
        <x:v>C</x:v>
      </x:c>
      <x:c r="E1318" s="43" t="str">
        <x:v>Hunter Hall School</x:v>
      </x:c>
      <x:c r="F1318" s="43" t="str">
        <x:v>Penrith</x:v>
      </x:c>
      <x:c r="G1318" s="43" t="str">
        <x:v>Cumbria</x:v>
      </x:c>
      <x:c r="H1318" s="43" t="str">
        <x:v>CA11 8UA</x:v>
      </x:c>
      <x:c r="I1318" s="43" t="n">
        <x:v>2</x:v>
      </x:c>
      <x:c r="J1318" s="43" t="n">
        <x:v>11</x:v>
      </x:c>
      <x:c r="K1318" s="43" t="str">
        <x:v>No boarders</x:v>
      </x:c>
      <x:c r="L1318" s="43" t="str">
        <x:v>Does not have a sixth form</x:v>
      </x:c>
      <x:c r="M1318" s="43" t="n">
        <x:v>80</x:v>
      </x:c>
      <x:c r="N1318" s="43" t="str">
        <x:v>https://www.hunterhall.co.uk</x:v>
      </x:c>
      <x:c r="O1318" s="43" t="str">
        <x:v>01768891291</x:v>
      </x:c>
      <x:c r="P1318" s="43" t="str"/>
      <x:c r="Q1318" s="43" t="str"/>
      <x:c r="R1318" s="43" t="str">
        <x:v>Queued for contact research</x:v>
      </x:c>
      <x:c r="S1318" s="43" t="str">
        <x:v>Not reviewed</x:v>
      </x:c>
      <x:c r="T1318" s="43" t="str">
        <x:v>Hold</x:v>
      </x:c>
      <x:c r="U1318" s="43" t="str">
        <x:v>No</x:v>
      </x:c>
      <x:c r="V1318" s="44"/>
      <x:c r="W1318" s="43" t="str"/>
      <x:c r="X1318" s="43" t="str"/>
      <x:c r="Y1318" s="43" t="str"/>
      <x:c r="Z1318" s="43" t="str">
        <x:v>https://www.get-information-schools.service.gov.uk/Downloads</x:v>
      </x:c>
    </x:row>
    <x:row r="1319">
      <x:c r="A1319" s="43" t="str">
        <x:v>UK independent</x:v>
      </x:c>
      <x:c r="B1319" s="43" t="str">
        <x:v>138406</x:v>
      </x:c>
      <x:c r="C1319" s="43" t="n">
        <x:f>IF(K1319="Boarding school",30,0)+IF(J1319&gt;=18,20,0)+IF(I1319&lt;=11,10,0)+IF(L1319="Has a sixth form",15,0)+IF(M1319&gt;=200,10,0)+IF(N1319&lt;&gt;"",10,0)</x:f>
        <x:v>20</x:v>
      </x:c>
      <x:c r="D1319" s="43" t="str">
        <x:f>IF(C1319&gt;=85,"A",IF(C1319&gt;=65,"B","C"))</x:f>
        <x:v>C</x:v>
      </x:c>
      <x:c r="E1319" s="43" t="str">
        <x:v>Wandsworth Preparatory School</x:v>
      </x:c>
      <x:c r="F1319" s="43" t="str">
        <x:v>London</x:v>
      </x:c>
      <x:c r="G1319" s="43" t="str"/>
      <x:c r="H1319" s="43" t="str">
        <x:v>SW18 2PQ</x:v>
      </x:c>
      <x:c r="I1319" s="43" t="n">
        <x:v>3</x:v>
      </x:c>
      <x:c r="J1319" s="43" t="n">
        <x:v>11</x:v>
      </x:c>
      <x:c r="K1319" s="43" t="str">
        <x:v>No boarders</x:v>
      </x:c>
      <x:c r="L1319" s="43" t="str">
        <x:v>Does not have a sixth form</x:v>
      </x:c>
      <x:c r="M1319" s="43" t="n">
        <x:v>80</x:v>
      </x:c>
      <x:c r="N1319" s="43" t="str">
        <x:v>https://www.wandsworthprep.com</x:v>
      </x:c>
      <x:c r="O1319" s="43" t="str">
        <x:v>02088704133</x:v>
      </x:c>
      <x:c r="P1319" s="43" t="str"/>
      <x:c r="Q1319" s="43" t="str"/>
      <x:c r="R1319" s="43" t="str">
        <x:v>Queued for contact research</x:v>
      </x:c>
      <x:c r="S1319" s="43" t="str">
        <x:v>Not reviewed</x:v>
      </x:c>
      <x:c r="T1319" s="43" t="str">
        <x:v>Hold</x:v>
      </x:c>
      <x:c r="U1319" s="43" t="str">
        <x:v>No</x:v>
      </x:c>
      <x:c r="V1319" s="44"/>
      <x:c r="W1319" s="43" t="str"/>
      <x:c r="X1319" s="43" t="str"/>
      <x:c r="Y1319" s="43" t="str"/>
      <x:c r="Z1319" s="43" t="str">
        <x:v>https://www.get-information-schools.service.gov.uk/Downloads</x:v>
      </x:c>
    </x:row>
    <x:row r="1320">
      <x:c r="A1320" s="43" t="str">
        <x:v>UK independent</x:v>
      </x:c>
      <x:c r="B1320" s="43" t="str">
        <x:v>100516</x:v>
      </x:c>
      <x:c r="C1320" s="43" t="n">
        <x:f>IF(K1320="Boarding school",30,0)+IF(J1320&gt;=18,20,0)+IF(I1320&lt;=11,10,0)+IF(L1320="Has a sixth form",15,0)+IF(M1320&gt;=200,10,0)+IF(N1320&lt;&gt;"",10,0)</x:f>
        <x:v>20</x:v>
      </x:c>
      <x:c r="D1320" s="43" t="str">
        <x:f>IF(C1320&gt;=85,"A",IF(C1320&gt;=65,"B","C"))</x:f>
        <x:v>C</x:v>
      </x:c>
      <x:c r="E1320" s="43" t="str">
        <x:v>St Philip's School</x:v>
      </x:c>
      <x:c r="F1320" s="43" t="str">
        <x:v>London</x:v>
      </x:c>
      <x:c r="G1320" s="43" t="str"/>
      <x:c r="H1320" s="43" t="str">
        <x:v>SW7 4NE</x:v>
      </x:c>
      <x:c r="I1320" s="43" t="n">
        <x:v>4</x:v>
      </x:c>
      <x:c r="J1320" s="43" t="n">
        <x:v>13</x:v>
      </x:c>
      <x:c r="K1320" s="43" t="str">
        <x:v>No boarders</x:v>
      </x:c>
      <x:c r="L1320" s="43" t="str">
        <x:v>Does not have a sixth form</x:v>
      </x:c>
      <x:c r="M1320" s="43" t="n">
        <x:v>79</x:v>
      </x:c>
      <x:c r="N1320" s="43" t="str">
        <x:v>https://www.stpschool.co.uk</x:v>
      </x:c>
      <x:c r="O1320" s="43" t="str">
        <x:v>02073733944</x:v>
      </x:c>
      <x:c r="P1320" s="43" t="str"/>
      <x:c r="Q1320" s="43" t="str"/>
      <x:c r="R1320" s="43" t="str">
        <x:v>Queued for contact research</x:v>
      </x:c>
      <x:c r="S1320" s="43" t="str">
        <x:v>Not reviewed</x:v>
      </x:c>
      <x:c r="T1320" s="43" t="str">
        <x:v>Hold</x:v>
      </x:c>
      <x:c r="U1320" s="43" t="str">
        <x:v>No</x:v>
      </x:c>
      <x:c r="V1320" s="44"/>
      <x:c r="W1320" s="43" t="str"/>
      <x:c r="X1320" s="43" t="str"/>
      <x:c r="Y1320" s="43" t="str"/>
      <x:c r="Z1320" s="43" t="str">
        <x:v>https://www.get-information-schools.service.gov.uk/Downloads</x:v>
      </x:c>
    </x:row>
    <x:row r="1321">
      <x:c r="A1321" s="43" t="str">
        <x:v>UK independent</x:v>
      </x:c>
      <x:c r="B1321" s="43" t="str">
        <x:v>101080</x:v>
      </x:c>
      <x:c r="C1321" s="43" t="n">
        <x:f>IF(K1321="Boarding school",30,0)+IF(J1321&gt;=18,20,0)+IF(I1321&lt;=11,10,0)+IF(L1321="Has a sixth form",15,0)+IF(M1321&gt;=200,10,0)+IF(N1321&lt;&gt;"",10,0)</x:f>
        <x:v>20</x:v>
      </x:c>
      <x:c r="D1321" s="43" t="str">
        <x:f>IF(C1321&gt;=85,"A",IF(C1321&gt;=65,"B","C"))</x:f>
        <x:v>C</x:v>
      </x:c>
      <x:c r="E1321" s="43" t="str">
        <x:v>Eveline Day School</x:v>
      </x:c>
      <x:c r="F1321" s="43" t="str">
        <x:v>London</x:v>
      </x:c>
      <x:c r="G1321" s="43" t="str"/>
      <x:c r="H1321" s="43" t="str">
        <x:v>SW17 7BQ</x:v>
      </x:c>
      <x:c r="I1321" s="43" t="n">
        <x:v>2</x:v>
      </x:c>
      <x:c r="J1321" s="43" t="n">
        <x:v>11</x:v>
      </x:c>
      <x:c r="K1321" s="43" t="str">
        <x:v>No boarders</x:v>
      </x:c>
      <x:c r="L1321" s="43" t="str">
        <x:v>Does not have a sixth form</x:v>
      </x:c>
      <x:c r="M1321" s="43" t="n">
        <x:v>78</x:v>
      </x:c>
      <x:c r="N1321" s="43" t="str">
        <x:v>https://www.evelinedayschool.com/</x:v>
      </x:c>
      <x:c r="O1321" s="43" t="str">
        <x:v>02086733188</x:v>
      </x:c>
      <x:c r="P1321" s="43" t="str"/>
      <x:c r="Q1321" s="43" t="str"/>
      <x:c r="R1321" s="43" t="str">
        <x:v>Queued for contact research</x:v>
      </x:c>
      <x:c r="S1321" s="43" t="str">
        <x:v>Not reviewed</x:v>
      </x:c>
      <x:c r="T1321" s="43" t="str">
        <x:v>Hold</x:v>
      </x:c>
      <x:c r="U1321" s="43" t="str">
        <x:v>No</x:v>
      </x:c>
      <x:c r="V1321" s="44"/>
      <x:c r="W1321" s="43" t="str"/>
      <x:c r="X1321" s="43" t="str"/>
      <x:c r="Y1321" s="43" t="str"/>
      <x:c r="Z1321" s="43" t="str">
        <x:v>https://www.get-information-schools.service.gov.uk/Downloads</x:v>
      </x:c>
    </x:row>
    <x:row r="1322">
      <x:c r="A1322" s="43" t="str">
        <x:v>UK independent</x:v>
      </x:c>
      <x:c r="B1322" s="43" t="str">
        <x:v>118123</x:v>
      </x:c>
      <x:c r="C1322" s="43" t="n">
        <x:f>IF(K1322="Boarding school",30,0)+IF(J1322&gt;=18,20,0)+IF(I1322&lt;=11,10,0)+IF(L1322="Has a sixth form",15,0)+IF(M1322&gt;=200,10,0)+IF(N1322&lt;&gt;"",10,0)</x:f>
        <x:v>20</x:v>
      </x:c>
      <x:c r="D1322" s="43" t="str">
        <x:f>IF(C1322&gt;=85,"A",IF(C1322&gt;=65,"B","C"))</x:f>
        <x:v>C</x:v>
      </x:c>
      <x:c r="E1322" s="43" t="str">
        <x:v>Froebel House School</x:v>
      </x:c>
      <x:c r="F1322" s="43" t="str">
        <x:v>Hull</x:v>
      </x:c>
      <x:c r="G1322" s="43" t="str"/>
      <x:c r="H1322" s="43" t="str">
        <x:v>HU5 3JP</x:v>
      </x:c>
      <x:c r="I1322" s="43" t="n">
        <x:v>3</x:v>
      </x:c>
      <x:c r="J1322" s="43" t="n">
        <x:v>11</x:v>
      </x:c>
      <x:c r="K1322" s="43" t="str">
        <x:v>No boarders</x:v>
      </x:c>
      <x:c r="L1322" s="43" t="str">
        <x:v>Does not have a sixth form</x:v>
      </x:c>
      <x:c r="M1322" s="43" t="n">
        <x:v>78</x:v>
      </x:c>
      <x:c r="N1322" s="43" t="str">
        <x:v>https://www.froebelhouse.co.uk</x:v>
      </x:c>
      <x:c r="O1322" s="43" t="str">
        <x:v>01482342272</x:v>
      </x:c>
      <x:c r="P1322" s="43" t="str"/>
      <x:c r="Q1322" s="43" t="str"/>
      <x:c r="R1322" s="43" t="str">
        <x:v>Queued for contact research</x:v>
      </x:c>
      <x:c r="S1322" s="43" t="str">
        <x:v>Not reviewed</x:v>
      </x:c>
      <x:c r="T1322" s="43" t="str">
        <x:v>Hold</x:v>
      </x:c>
      <x:c r="U1322" s="43" t="str">
        <x:v>No</x:v>
      </x:c>
      <x:c r="V1322" s="44"/>
      <x:c r="W1322" s="43" t="str"/>
      <x:c r="X1322" s="43" t="str"/>
      <x:c r="Y1322" s="43" t="str"/>
      <x:c r="Z1322" s="43" t="str">
        <x:v>https://www.get-information-schools.service.gov.uk/Downloads</x:v>
      </x:c>
    </x:row>
    <x:row r="1323">
      <x:c r="A1323" s="43" t="str">
        <x:v>UK independent</x:v>
      </x:c>
      <x:c r="B1323" s="43" t="str">
        <x:v>138801</x:v>
      </x:c>
      <x:c r="C1323" s="43" t="n">
        <x:f>IF(K1323="Boarding school",30,0)+IF(J1323&gt;=18,20,0)+IF(I1323&lt;=11,10,0)+IF(L1323="Has a sixth form",15,0)+IF(M1323&gt;=200,10,0)+IF(N1323&lt;&gt;"",10,0)</x:f>
        <x:v>20</x:v>
      </x:c>
      <x:c r="D1323" s="43" t="str">
        <x:f>IF(C1323&gt;=85,"A",IF(C1323&gt;=65,"B","C"))</x:f>
        <x:v>C</x:v>
      </x:c>
      <x:c r="E1323" s="43" t="str">
        <x:v>Hafs Academy</x:v>
      </x:c>
      <x:c r="F1323" s="43" t="str">
        <x:v>London</x:v>
      </x:c>
      <x:c r="G1323" s="43" t="str"/>
      <x:c r="H1323" s="43" t="str">
        <x:v>E15 1JW</x:v>
      </x:c>
      <x:c r="I1323" s="43" t="n">
        <x:v>7</x:v>
      </x:c>
      <x:c r="J1323" s="43" t="n">
        <x:v>16</x:v>
      </x:c>
      <x:c r="K1323" s="43" t="str">
        <x:v>No boarders</x:v>
      </x:c>
      <x:c r="L1323" s="43" t="str">
        <x:v>Does not have a sixth form</x:v>
      </x:c>
      <x:c r="M1323" s="43" t="n">
        <x:v>77</x:v>
      </x:c>
      <x:c r="N1323" s="43" t="str">
        <x:v>https://www.hafsacademy.org</x:v>
      </x:c>
      <x:c r="O1323" s="43" t="str">
        <x:v>02085554260</x:v>
      </x:c>
      <x:c r="P1323" s="43" t="str"/>
      <x:c r="Q1323" s="43" t="str"/>
      <x:c r="R1323" s="43" t="str">
        <x:v>Queued for contact research</x:v>
      </x:c>
      <x:c r="S1323" s="43" t="str">
        <x:v>Not reviewed</x:v>
      </x:c>
      <x:c r="T1323" s="43" t="str">
        <x:v>Hold</x:v>
      </x:c>
      <x:c r="U1323" s="43" t="str">
        <x:v>No</x:v>
      </x:c>
      <x:c r="V1323" s="44"/>
      <x:c r="W1323" s="43" t="str"/>
      <x:c r="X1323" s="43" t="str"/>
      <x:c r="Y1323" s="43" t="str"/>
      <x:c r="Z1323" s="43" t="str">
        <x:v>https://www.get-information-schools.service.gov.uk/Downloads</x:v>
      </x:c>
    </x:row>
    <x:row r="1324">
      <x:c r="A1324" s="43" t="str">
        <x:v>UK independent</x:v>
      </x:c>
      <x:c r="B1324" s="43" t="str">
        <x:v>149692</x:v>
      </x:c>
      <x:c r="C1324" s="43" t="n">
        <x:f>IF(K1324="Boarding school",30,0)+IF(J1324&gt;=18,20,0)+IF(I1324&lt;=11,10,0)+IF(L1324="Has a sixth form",15,0)+IF(M1324&gt;=200,10,0)+IF(N1324&lt;&gt;"",10,0)</x:f>
        <x:v>20</x:v>
      </x:c>
      <x:c r="D1324" s="43" t="str">
        <x:f>IF(C1324&gt;=85,"A",IF(C1324&gt;=65,"B","C"))</x:f>
        <x:v>C</x:v>
      </x:c>
      <x:c r="E1324" s="43" t="str">
        <x:v>Kneller Hall Junior School</x:v>
      </x:c>
      <x:c r="F1324" s="43" t="str">
        <x:v>Richmond</x:v>
      </x:c>
      <x:c r="G1324" s="43" t="str"/>
      <x:c r="H1324" s="43" t="str">
        <x:v>TW9 2SS</x:v>
      </x:c>
      <x:c r="I1324" s="43" t="n">
        <x:v>2</x:v>
      </x:c>
      <x:c r="J1324" s="43" t="n">
        <x:v>11</x:v>
      </x:c>
      <x:c r="K1324" s="43" t="str">
        <x:v>No boarders</x:v>
      </x:c>
      <x:c r="L1324" s="43" t="str">
        <x:v>Does not have a sixth form</x:v>
      </x:c>
      <x:c r="M1324" s="43" t="n">
        <x:v>77</x:v>
      </x:c>
      <x:c r="N1324" s="43" t="str">
        <x:v>https://prep.radnor-twickenham.org/</x:v>
      </x:c>
      <x:c r="O1324" s="43" t="str">
        <x:v>02038695871</x:v>
      </x:c>
      <x:c r="P1324" s="43" t="str"/>
      <x:c r="Q1324" s="43" t="str"/>
      <x:c r="R1324" s="43" t="str">
        <x:v>Queued for contact research</x:v>
      </x:c>
      <x:c r="S1324" s="43" t="str">
        <x:v>Not reviewed</x:v>
      </x:c>
      <x:c r="T1324" s="43" t="str">
        <x:v>Hold</x:v>
      </x:c>
      <x:c r="U1324" s="43" t="str">
        <x:v>No</x:v>
      </x:c>
      <x:c r="V1324" s="44"/>
      <x:c r="W1324" s="43" t="str"/>
      <x:c r="X1324" s="43" t="str"/>
      <x:c r="Y1324" s="43" t="str"/>
      <x:c r="Z1324" s="43" t="str">
        <x:v>https://www.get-information-schools.service.gov.uk/Downloads</x:v>
      </x:c>
    </x:row>
    <x:row r="1325">
      <x:c r="A1325" s="43" t="str">
        <x:v>UK independent</x:v>
      </x:c>
      <x:c r="B1325" s="43" t="str">
        <x:v>115810</x:v>
      </x:c>
      <x:c r="C1325" s="43" t="n">
        <x:f>IF(K1325="Boarding school",30,0)+IF(J1325&gt;=18,20,0)+IF(I1325&lt;=11,10,0)+IF(L1325="Has a sixth form",15,0)+IF(M1325&gt;=200,10,0)+IF(N1325&lt;&gt;"",10,0)</x:f>
        <x:v>20</x:v>
      </x:c>
      <x:c r="D1325" s="43" t="str">
        <x:f>IF(C1325&gt;=85,"A",IF(C1325&gt;=65,"B","C"))</x:f>
        <x:v>C</x:v>
      </x:c>
      <x:c r="E1325" s="43" t="str">
        <x:v>Al-Ashraf Secondary School for Girls</x:v>
      </x:c>
      <x:c r="F1325" s="43" t="str">
        <x:v>Gloucester</x:v>
      </x:c>
      <x:c r="G1325" s="43" t="str">
        <x:v>Gloucestershire</x:v>
      </x:c>
      <x:c r="H1325" s="43" t="str">
        <x:v>GL1 4AW</x:v>
      </x:c>
      <x:c r="I1325" s="43" t="n">
        <x:v>11</x:v>
      </x:c>
      <x:c r="J1325" s="43" t="n">
        <x:v>16</x:v>
      </x:c>
      <x:c r="K1325" s="43" t="str">
        <x:v>No boarders</x:v>
      </x:c>
      <x:c r="L1325" s="43" t="str">
        <x:v>Does not have a sixth form</x:v>
      </x:c>
      <x:c r="M1325" s="43" t="n">
        <x:v>76</x:v>
      </x:c>
      <x:c r="N1325" s="43" t="str">
        <x:v>https://secondary.al-ashraf.org.uk/</x:v>
      </x:c>
      <x:c r="O1325" s="43" t="str">
        <x:v>01452300465</x:v>
      </x:c>
      <x:c r="P1325" s="43" t="str"/>
      <x:c r="Q1325" s="43" t="str"/>
      <x:c r="R1325" s="43" t="str">
        <x:v>Queued for contact research</x:v>
      </x:c>
      <x:c r="S1325" s="43" t="str">
        <x:v>Not reviewed</x:v>
      </x:c>
      <x:c r="T1325" s="43" t="str">
        <x:v>Hold</x:v>
      </x:c>
      <x:c r="U1325" s="43" t="str">
        <x:v>No</x:v>
      </x:c>
      <x:c r="V1325" s="44"/>
      <x:c r="W1325" s="43" t="str"/>
      <x:c r="X1325" s="43" t="str"/>
      <x:c r="Y1325" s="43" t="str"/>
      <x:c r="Z1325" s="43" t="str">
        <x:v>https://www.get-information-schools.service.gov.uk/Downloads</x:v>
      </x:c>
    </x:row>
    <x:row r="1326">
      <x:c r="A1326" s="43" t="str">
        <x:v>UK independent</x:v>
      </x:c>
      <x:c r="B1326" s="43" t="str">
        <x:v>118965</x:v>
      </x:c>
      <x:c r="C1326" s="43" t="n">
        <x:f>IF(K1326="Boarding school",30,0)+IF(J1326&gt;=18,20,0)+IF(I1326&lt;=11,10,0)+IF(L1326="Has a sixth form",15,0)+IF(M1326&gt;=200,10,0)+IF(N1326&lt;&gt;"",10,0)</x:f>
        <x:v>20</x:v>
      </x:c>
      <x:c r="D1326" s="43" t="str">
        <x:f>IF(C1326&gt;=85,"A",IF(C1326&gt;=65,"B","C"))</x:f>
        <x:v>C</x:v>
      </x:c>
      <x:c r="E1326" s="43" t="str">
        <x:v>Steephill School</x:v>
      </x:c>
      <x:c r="F1326" s="43" t="str">
        <x:v>Longfield</x:v>
      </x:c>
      <x:c r="G1326" s="43" t="str">
        <x:v>Kent</x:v>
      </x:c>
      <x:c r="H1326" s="43" t="str">
        <x:v>DA3 7BG</x:v>
      </x:c>
      <x:c r="I1326" s="43" t="n">
        <x:v>3</x:v>
      </x:c>
      <x:c r="J1326" s="43" t="n">
        <x:v>11</x:v>
      </x:c>
      <x:c r="K1326" s="43" t="str">
        <x:v>No boarders</x:v>
      </x:c>
      <x:c r="L1326" s="43" t="str">
        <x:v>Does not have a sixth form</x:v>
      </x:c>
      <x:c r="M1326" s="43" t="n">
        <x:v>76</x:v>
      </x:c>
      <x:c r="N1326" s="43" t="str">
        <x:v>https://www.steephill.co.uk</x:v>
      </x:c>
      <x:c r="O1326" s="43" t="str">
        <x:v>01474702107</x:v>
      </x:c>
      <x:c r="P1326" s="43" t="str"/>
      <x:c r="Q1326" s="43" t="str"/>
      <x:c r="R1326" s="43" t="str">
        <x:v>Queued for contact research</x:v>
      </x:c>
      <x:c r="S1326" s="43" t="str">
        <x:v>Not reviewed</x:v>
      </x:c>
      <x:c r="T1326" s="43" t="str">
        <x:v>Hold</x:v>
      </x:c>
      <x:c r="U1326" s="43" t="str">
        <x:v>No</x:v>
      </x:c>
      <x:c r="V1326" s="44"/>
      <x:c r="W1326" s="43" t="str"/>
      <x:c r="X1326" s="43" t="str"/>
      <x:c r="Y1326" s="43" t="str"/>
      <x:c r="Z1326" s="43" t="str">
        <x:v>https://www.get-information-schools.service.gov.uk/Downloads</x:v>
      </x:c>
    </x:row>
    <x:row r="1327">
      <x:c r="A1327" s="43" t="str">
        <x:v>UK independent</x:v>
      </x:c>
      <x:c r="B1327" s="43" t="str">
        <x:v>135483</x:v>
      </x:c>
      <x:c r="C1327" s="43" t="n">
        <x:f>IF(K1327="Boarding school",30,0)+IF(J1327&gt;=18,20,0)+IF(I1327&lt;=11,10,0)+IF(L1327="Has a sixth form",15,0)+IF(M1327&gt;=200,10,0)+IF(N1327&lt;&gt;"",10,0)</x:f>
        <x:v>20</x:v>
      </x:c>
      <x:c r="D1327" s="43" t="str">
        <x:f>IF(C1327&gt;=85,"A",IF(C1327&gt;=65,"B","C"))</x:f>
        <x:v>C</x:v>
      </x:c>
      <x:c r="E1327" s="43" t="str">
        <x:v>Abu Bakr Boys School</x:v>
      </x:c>
      <x:c r="F1327" s="43" t="str">
        <x:v>Walsall</x:v>
      </x:c>
      <x:c r="G1327" s="43" t="str"/>
      <x:c r="H1327" s="43" t="str">
        <x:v>WS1 4JJ</x:v>
      </x:c>
      <x:c r="I1327" s="43" t="n">
        <x:v>11</x:v>
      </x:c>
      <x:c r="J1327" s="43" t="n">
        <x:v>16</x:v>
      </x:c>
      <x:c r="K1327" s="43" t="str">
        <x:v>No boarders</x:v>
      </x:c>
      <x:c r="L1327" s="43" t="str">
        <x:v>Does not have a sixth form</x:v>
      </x:c>
      <x:c r="M1327" s="43" t="n">
        <x:v>75</x:v>
      </x:c>
      <x:c r="N1327" s="43" t="str">
        <x:v>https://Abubakrboyschool.org</x:v>
      </x:c>
      <x:c r="O1327" s="43" t="str">
        <x:v>01922333786</x:v>
      </x:c>
      <x:c r="P1327" s="43" t="str"/>
      <x:c r="Q1327" s="43" t="str"/>
      <x:c r="R1327" s="43" t="str">
        <x:v>Queued for contact research</x:v>
      </x:c>
      <x:c r="S1327" s="43" t="str">
        <x:v>Not reviewed</x:v>
      </x:c>
      <x:c r="T1327" s="43" t="str">
        <x:v>Hold</x:v>
      </x:c>
      <x:c r="U1327" s="43" t="str">
        <x:v>No</x:v>
      </x:c>
      <x:c r="V1327" s="44"/>
      <x:c r="W1327" s="43" t="str"/>
      <x:c r="X1327" s="43" t="str"/>
      <x:c r="Y1327" s="43" t="str"/>
      <x:c r="Z1327" s="43" t="str">
        <x:v>https://www.get-information-schools.service.gov.uk/Downloads</x:v>
      </x:c>
    </x:row>
    <x:row r="1328">
      <x:c r="A1328" s="43" t="str">
        <x:v>UK independent</x:v>
      </x:c>
      <x:c r="B1328" s="43" t="str">
        <x:v>134575</x:v>
      </x:c>
      <x:c r="C1328" s="43" t="n">
        <x:f>IF(K1328="Boarding school",30,0)+IF(J1328&gt;=18,20,0)+IF(I1328&lt;=11,10,0)+IF(L1328="Has a sixth form",15,0)+IF(M1328&gt;=200,10,0)+IF(N1328&lt;&gt;"",10,0)</x:f>
        <x:v>20</x:v>
      </x:c>
      <x:c r="D1328" s="43" t="str">
        <x:f>IF(C1328&gt;=85,"A",IF(C1328&gt;=65,"B","C"))</x:f>
        <x:v>C</x:v>
      </x:c>
      <x:c r="E1328" s="43" t="str">
        <x:v>Rochdale Islamic Academy</x:v>
      </x:c>
      <x:c r="F1328" s="43" t="str">
        <x:v>Rochdale</x:v>
      </x:c>
      <x:c r="G1328" s="43" t="str">
        <x:v>Greater Manchester</x:v>
      </x:c>
      <x:c r="H1328" s="43" t="str">
        <x:v>OL12 0HX</x:v>
      </x:c>
      <x:c r="I1328" s="43" t="n">
        <x:v>11</x:v>
      </x:c>
      <x:c r="J1328" s="43" t="n">
        <x:v>16</x:v>
      </x:c>
      <x:c r="K1328" s="43" t="str">
        <x:v>No boarders</x:v>
      </x:c>
      <x:c r="L1328" s="43" t="str">
        <x:v>Does not have a sixth form</x:v>
      </x:c>
      <x:c r="M1328" s="43" t="n">
        <x:v>75</x:v>
      </x:c>
      <x:c r="N1328" s="43" t="str">
        <x:v>https://www.riab.org.uk</x:v>
      </x:c>
      <x:c r="O1328" s="43" t="str">
        <x:v>01706347344</x:v>
      </x:c>
      <x:c r="P1328" s="43" t="str"/>
      <x:c r="Q1328" s="43" t="str"/>
      <x:c r="R1328" s="43" t="str">
        <x:v>Queued for contact research</x:v>
      </x:c>
      <x:c r="S1328" s="43" t="str">
        <x:v>Not reviewed</x:v>
      </x:c>
      <x:c r="T1328" s="43" t="str">
        <x:v>Hold</x:v>
      </x:c>
      <x:c r="U1328" s="43" t="str">
        <x:v>No</x:v>
      </x:c>
      <x:c r="V1328" s="44"/>
      <x:c r="W1328" s="43" t="str"/>
      <x:c r="X1328" s="43" t="str"/>
      <x:c r="Y1328" s="43" t="str"/>
      <x:c r="Z1328" s="43" t="str">
        <x:v>https://www.get-information-schools.service.gov.uk/Downloads</x:v>
      </x:c>
    </x:row>
    <x:row r="1329">
      <x:c r="A1329" s="43" t="str">
        <x:v>UK independent</x:v>
      </x:c>
      <x:c r="B1329" s="43" t="str">
        <x:v>109339</x:v>
      </x:c>
      <x:c r="C1329" s="43" t="n">
        <x:f>IF(K1329="Boarding school",30,0)+IF(J1329&gt;=18,20,0)+IF(I1329&lt;=11,10,0)+IF(L1329="Has a sixth form",15,0)+IF(M1329&gt;=200,10,0)+IF(N1329&lt;&gt;"",10,0)</x:f>
        <x:v>20</x:v>
      </x:c>
      <x:c r="D1329" s="43" t="str">
        <x:f>IF(C1329&gt;=85,"A",IF(C1329&gt;=65,"B","C"))</x:f>
        <x:v>C</x:v>
      </x:c>
      <x:c r="E1329" s="43" t="str">
        <x:v>Cleve House School</x:v>
      </x:c>
      <x:c r="F1329" s="43" t="str">
        <x:v>Bristol</x:v>
      </x:c>
      <x:c r="G1329" s="43" t="str"/>
      <x:c r="H1329" s="43" t="str">
        <x:v>BS4 2PN</x:v>
      </x:c>
      <x:c r="I1329" s="43" t="n">
        <x:v>3</x:v>
      </x:c>
      <x:c r="J1329" s="43" t="n">
        <x:v>16</x:v>
      </x:c>
      <x:c r="K1329" s="43" t="str">
        <x:v>No boarders</x:v>
      </x:c>
      <x:c r="L1329" s="43" t="str">
        <x:v>Does not have a sixth form</x:v>
      </x:c>
      <x:c r="M1329" s="43" t="n">
        <x:v>74</x:v>
      </x:c>
      <x:c r="N1329" s="43" t="str">
        <x:v>http://clevehouseschool.com</x:v>
      </x:c>
      <x:c r="O1329" s="43" t="str">
        <x:v>01179777218</x:v>
      </x:c>
      <x:c r="P1329" s="43" t="str"/>
      <x:c r="Q1329" s="43" t="str"/>
      <x:c r="R1329" s="43" t="str">
        <x:v>Queued for contact research</x:v>
      </x:c>
      <x:c r="S1329" s="43" t="str">
        <x:v>Not reviewed</x:v>
      </x:c>
      <x:c r="T1329" s="43" t="str">
        <x:v>Hold</x:v>
      </x:c>
      <x:c r="U1329" s="43" t="str">
        <x:v>No</x:v>
      </x:c>
      <x:c r="V1329" s="44"/>
      <x:c r="W1329" s="43" t="str"/>
      <x:c r="X1329" s="43" t="str"/>
      <x:c r="Y1329" s="43" t="str"/>
      <x:c r="Z1329" s="43" t="str">
        <x:v>https://www.get-information-schools.service.gov.uk/Downloads</x:v>
      </x:c>
    </x:row>
    <x:row r="1330">
      <x:c r="A1330" s="43" t="str">
        <x:v>UK independent</x:v>
      </x:c>
      <x:c r="B1330" s="43" t="str">
        <x:v>131164</x:v>
      </x:c>
      <x:c r="C1330" s="43" t="n">
        <x:f>IF(K1330="Boarding school",30,0)+IF(J1330&gt;=18,20,0)+IF(I1330&lt;=11,10,0)+IF(L1330="Has a sixth form",15,0)+IF(M1330&gt;=200,10,0)+IF(N1330&lt;&gt;"",10,0)</x:f>
        <x:v>20</x:v>
      </x:c>
      <x:c r="D1330" s="43" t="str">
        <x:f>IF(C1330&gt;=85,"A",IF(C1330&gt;=65,"B","C"))</x:f>
        <x:v>C</x:v>
      </x:c>
      <x:c r="E1330" s="43" t="str">
        <x:v>Green Oak Academy</x:v>
      </x:c>
      <x:c r="F1330" s="43" t="str">
        <x:v>Birmingham</x:v>
      </x:c>
      <x:c r="G1330" s="43" t="str">
        <x:v>West Midlands</x:v>
      </x:c>
      <x:c r="H1330" s="43" t="str">
        <x:v>B13 9BB</x:v>
      </x:c>
      <x:c r="I1330" s="43" t="n">
        <x:v>11</x:v>
      </x:c>
      <x:c r="J1330" s="43" t="n">
        <x:v>16</x:v>
      </x:c>
      <x:c r="K1330" s="43" t="str">
        <x:v>No boarders</x:v>
      </x:c>
      <x:c r="L1330" s="43" t="str">
        <x:v>Does not have a sixth form</x:v>
      </x:c>
      <x:c r="M1330" s="43" t="n">
        <x:v>74</x:v>
      </x:c>
      <x:c r="N1330" s="43" t="str">
        <x:v>https://greenoak.bham.sch.uk</x:v>
      </x:c>
      <x:c r="O1330" s="43" t="str">
        <x:v>01214496690</x:v>
      </x:c>
      <x:c r="P1330" s="43" t="str"/>
      <x:c r="Q1330" s="43" t="str"/>
      <x:c r="R1330" s="43" t="str">
        <x:v>Queued for contact research</x:v>
      </x:c>
      <x:c r="S1330" s="43" t="str">
        <x:v>Not reviewed</x:v>
      </x:c>
      <x:c r="T1330" s="43" t="str">
        <x:v>Hold</x:v>
      </x:c>
      <x:c r="U1330" s="43" t="str">
        <x:v>No</x:v>
      </x:c>
      <x:c r="V1330" s="44"/>
      <x:c r="W1330" s="43" t="str"/>
      <x:c r="X1330" s="43" t="str"/>
      <x:c r="Y1330" s="43" t="str"/>
      <x:c r="Z1330" s="43" t="str">
        <x:v>https://www.get-information-schools.service.gov.uk/Downloads</x:v>
      </x:c>
    </x:row>
    <x:row r="1331">
      <x:c r="A1331" s="43" t="str">
        <x:v>UK independent</x:v>
      </x:c>
      <x:c r="B1331" s="43" t="str">
        <x:v>120329</x:v>
      </x:c>
      <x:c r="C1331" s="43" t="n">
        <x:f>IF(K1331="Boarding school",30,0)+IF(J1331&gt;=18,20,0)+IF(I1331&lt;=11,10,0)+IF(L1331="Has a sixth form",15,0)+IF(M1331&gt;=200,10,0)+IF(N1331&lt;&gt;"",10,0)</x:f>
        <x:v>20</x:v>
      </x:c>
      <x:c r="D1331" s="43" t="str">
        <x:f>IF(C1331&gt;=85,"A",IF(C1331&gt;=65,"B","C"))</x:f>
        <x:v>C</x:v>
      </x:c>
      <x:c r="E1331" s="43" t="str">
        <x:v>Leicester Preparatory School</x:v>
      </x:c>
      <x:c r="F1331" s="43" t="str">
        <x:v>Leicester</x:v>
      </x:c>
      <x:c r="G1331" s="43" t="str">
        <x:v>Leicestershire</x:v>
      </x:c>
      <x:c r="H1331" s="43" t="str">
        <x:v>LE2 2AA</x:v>
      </x:c>
      <x:c r="I1331" s="43" t="n">
        <x:v>2</x:v>
      </x:c>
      <x:c r="J1331" s="43" t="n">
        <x:v>11</x:v>
      </x:c>
      <x:c r="K1331" s="43" t="str">
        <x:v>No boarders</x:v>
      </x:c>
      <x:c r="L1331" s="43" t="str">
        <x:v>Does not have a sixth form</x:v>
      </x:c>
      <x:c r="M1331" s="43" t="n">
        <x:v>74</x:v>
      </x:c>
      <x:c r="N1331" s="43" t="str">
        <x:v>https://www.leicesterprep.co.uk</x:v>
      </x:c>
      <x:c r="O1331" s="43" t="str">
        <x:v>01162707414</x:v>
      </x:c>
      <x:c r="P1331" s="43" t="str"/>
      <x:c r="Q1331" s="43" t="str"/>
      <x:c r="R1331" s="43" t="str">
        <x:v>Queued for contact research</x:v>
      </x:c>
      <x:c r="S1331" s="43" t="str">
        <x:v>Not reviewed</x:v>
      </x:c>
      <x:c r="T1331" s="43" t="str">
        <x:v>Hold</x:v>
      </x:c>
      <x:c r="U1331" s="43" t="str">
        <x:v>No</x:v>
      </x:c>
      <x:c r="V1331" s="44"/>
      <x:c r="W1331" s="43" t="str"/>
      <x:c r="X1331" s="43" t="str"/>
      <x:c r="Y1331" s="43" t="str"/>
      <x:c r="Z1331" s="43" t="str">
        <x:v>https://www.get-information-schools.service.gov.uk/Downloads</x:v>
      </x:c>
    </x:row>
    <x:row r="1332">
      <x:c r="A1332" s="43" t="str">
        <x:v>UK independent</x:v>
      </x:c>
      <x:c r="B1332" s="43" t="str">
        <x:v>125370</x:v>
      </x:c>
      <x:c r="C1332" s="43" t="n">
        <x:f>IF(K1332="Boarding school",30,0)+IF(J1332&gt;=18,20,0)+IF(I1332&lt;=11,10,0)+IF(L1332="Has a sixth form",15,0)+IF(M1332&gt;=200,10,0)+IF(N1332&lt;&gt;"",10,0)</x:f>
        <x:v>20</x:v>
      </x:c>
      <x:c r="D1332" s="43" t="str">
        <x:f>IF(C1332&gt;=85,"A",IF(C1332&gt;=65,"B","C"))</x:f>
        <x:v>C</x:v>
      </x:c>
      <x:c r="E1332" s="43" t="str">
        <x:v>Lyndhurst School</x:v>
      </x:c>
      <x:c r="F1332" s="43" t="str">
        <x:v>Camberley</x:v>
      </x:c>
      <x:c r="G1332" s="43" t="str">
        <x:v>Surrey</x:v>
      </x:c>
      <x:c r="H1332" s="43" t="str">
        <x:v>GU15 3NE</x:v>
      </x:c>
      <x:c r="I1332" s="43" t="n">
        <x:v>2</x:v>
      </x:c>
      <x:c r="J1332" s="43" t="n">
        <x:v>11</x:v>
      </x:c>
      <x:c r="K1332" s="43" t="str">
        <x:v>No boarders</x:v>
      </x:c>
      <x:c r="L1332" s="43" t="str">
        <x:v>Does not have a sixth form</x:v>
      </x:c>
      <x:c r="M1332" s="43" t="n">
        <x:v>74</x:v>
      </x:c>
      <x:c r="N1332" s="43" t="str">
        <x:v>https://www.lyndhurstschool.co.uk</x:v>
      </x:c>
      <x:c r="O1332" s="43" t="str">
        <x:v>0127622895</x:v>
      </x:c>
      <x:c r="P1332" s="43" t="str"/>
      <x:c r="Q1332" s="43" t="str"/>
      <x:c r="R1332" s="43" t="str">
        <x:v>Queued for contact research</x:v>
      </x:c>
      <x:c r="S1332" s="43" t="str">
        <x:v>Not reviewed</x:v>
      </x:c>
      <x:c r="T1332" s="43" t="str">
        <x:v>Hold</x:v>
      </x:c>
      <x:c r="U1332" s="43" t="str">
        <x:v>No</x:v>
      </x:c>
      <x:c r="V1332" s="44"/>
      <x:c r="W1332" s="43" t="str"/>
      <x:c r="X1332" s="43" t="str"/>
      <x:c r="Y1332" s="43" t="str"/>
      <x:c r="Z1332" s="43" t="str">
        <x:v>https://www.get-information-schools.service.gov.uk/Downloads</x:v>
      </x:c>
    </x:row>
    <x:row r="1333">
      <x:c r="A1333" s="43" t="str">
        <x:v>UK independent</x:v>
      </x:c>
      <x:c r="B1333" s="43" t="str">
        <x:v>106147</x:v>
      </x:c>
      <x:c r="C1333" s="43" t="n">
        <x:f>IF(K1333="Boarding school",30,0)+IF(J1333&gt;=18,20,0)+IF(I1333&lt;=11,10,0)+IF(L1333="Has a sixth form",15,0)+IF(M1333&gt;=200,10,0)+IF(N1333&lt;&gt;"",10,0)</x:f>
        <x:v>20</x:v>
      </x:c>
      <x:c r="D1333" s="43" t="str">
        <x:f>IF(C1333&gt;=85,"A",IF(C1333&gt;=65,"B","C"))</x:f>
        <x:v>C</x:v>
      </x:c>
      <x:c r="E1333" s="43" t="str">
        <x:v>Brabyns Preparatory School</x:v>
      </x:c>
      <x:c r="F1333" s="43" t="str">
        <x:v>Stockport</x:v>
      </x:c>
      <x:c r="G1333" s="43" t="str">
        <x:v>Cheshire</x:v>
      </x:c>
      <x:c r="H1333" s="43" t="str">
        <x:v>SK6 7DB</x:v>
      </x:c>
      <x:c r="I1333" s="43" t="n">
        <x:v>2</x:v>
      </x:c>
      <x:c r="J1333" s="43" t="n">
        <x:v>11</x:v>
      </x:c>
      <x:c r="K1333" s="43" t="str">
        <x:v>No boarders</x:v>
      </x:c>
      <x:c r="L1333" s="43" t="str">
        <x:v>Does not have a sixth form</x:v>
      </x:c>
      <x:c r="M1333" s="43" t="n">
        <x:v>73</x:v>
      </x:c>
      <x:c r="N1333" s="43" t="str">
        <x:v>https://www.brabynsprepschool.co.uk</x:v>
      </x:c>
      <x:c r="O1333" s="43" t="str">
        <x:v>01614272395</x:v>
      </x:c>
      <x:c r="P1333" s="43" t="str"/>
      <x:c r="Q1333" s="43" t="str"/>
      <x:c r="R1333" s="43" t="str">
        <x:v>Queued for contact research</x:v>
      </x:c>
      <x:c r="S1333" s="43" t="str">
        <x:v>Not reviewed</x:v>
      </x:c>
      <x:c r="T1333" s="43" t="str">
        <x:v>Hold</x:v>
      </x:c>
      <x:c r="U1333" s="43" t="str">
        <x:v>No</x:v>
      </x:c>
      <x:c r="V1333" s="44"/>
      <x:c r="W1333" s="43" t="str"/>
      <x:c r="X1333" s="43" t="str"/>
      <x:c r="Y1333" s="43" t="str"/>
      <x:c r="Z1333" s="43" t="str">
        <x:v>https://www.get-information-schools.service.gov.uk/Downloads</x:v>
      </x:c>
    </x:row>
    <x:row r="1334">
      <x:c r="A1334" s="43" t="str">
        <x:v>UK independent</x:v>
      </x:c>
      <x:c r="B1334" s="43" t="str">
        <x:v>109774</x:v>
      </x:c>
      <x:c r="C1334" s="43" t="n">
        <x:f>IF(K1334="Boarding school",30,0)+IF(J1334&gt;=18,20,0)+IF(I1334&lt;=11,10,0)+IF(L1334="Has a sixth form",15,0)+IF(M1334&gt;=200,10,0)+IF(N1334&lt;&gt;"",10,0)</x:f>
        <x:v>20</x:v>
      </x:c>
      <x:c r="D1334" s="43" t="str">
        <x:f>IF(C1334&gt;=85,"A",IF(C1334&gt;=65,"B","C"))</x:f>
        <x:v>C</x:v>
      </x:c>
      <x:c r="E1334" s="43" t="str">
        <x:v>Oak Tree Primary School</x:v>
      </x:c>
      <x:c r="F1334" s="43" t="str">
        <x:v>Mitcham</x:v>
      </x:c>
      <x:c r="G1334" s="43" t="str">
        <x:v>Surrey</x:v>
      </x:c>
      <x:c r="H1334" s="43" t="str">
        <x:v>CR4 4LB</x:v>
      </x:c>
      <x:c r="I1334" s="43" t="n">
        <x:v>3</x:v>
      </x:c>
      <x:c r="J1334" s="43" t="n">
        <x:v>11</x:v>
      </x:c>
      <x:c r="K1334" s="43" t="str">
        <x:v>No boarders</x:v>
      </x:c>
      <x:c r="L1334" s="43" t="str">
        <x:v>Does not have a sixth form</x:v>
      </x:c>
      <x:c r="M1334" s="43" t="n">
        <x:v>73</x:v>
      </x:c>
      <x:c r="N1334" s="43" t="str">
        <x:v>https://www.oaktreeprimarysch.co.uk</x:v>
      </x:c>
      <x:c r="O1334" s="43" t="str">
        <x:v>02086484647</x:v>
      </x:c>
      <x:c r="P1334" s="43" t="str"/>
      <x:c r="Q1334" s="43" t="str"/>
      <x:c r="R1334" s="43" t="str">
        <x:v>Queued for contact research</x:v>
      </x:c>
      <x:c r="S1334" s="43" t="str">
        <x:v>Not reviewed</x:v>
      </x:c>
      <x:c r="T1334" s="43" t="str">
        <x:v>Hold</x:v>
      </x:c>
      <x:c r="U1334" s="43" t="str">
        <x:v>No</x:v>
      </x:c>
      <x:c r="V1334" s="44"/>
      <x:c r="W1334" s="43" t="str"/>
      <x:c r="X1334" s="43" t="str"/>
      <x:c r="Y1334" s="43" t="str"/>
      <x:c r="Z1334" s="43" t="str">
        <x:v>https://www.get-information-schools.service.gov.uk/Downloads</x:v>
      </x:c>
    </x:row>
    <x:row r="1335">
      <x:c r="A1335" s="43" t="str">
        <x:v>UK independent</x:v>
      </x:c>
      <x:c r="B1335" s="43" t="str">
        <x:v>112082</x:v>
      </x:c>
      <x:c r="C1335" s="43" t="n">
        <x:f>IF(K1335="Boarding school",30,0)+IF(J1335&gt;=18,20,0)+IF(I1335&lt;=11,10,0)+IF(L1335="Has a sixth form",15,0)+IF(M1335&gt;=200,10,0)+IF(N1335&lt;&gt;"",10,0)</x:f>
        <x:v>20</x:v>
      </x:c>
      <x:c r="D1335" s="43" t="str">
        <x:f>IF(C1335&gt;=85,"A",IF(C1335&gt;=65,"B","C"))</x:f>
        <x:v>C</x:v>
      </x:c>
      <x:c r="E1335" s="43" t="str">
        <x:v>The Cornwall Independent School</x:v>
      </x:c>
      <x:c r="F1335" s="43" t="str">
        <x:v>Hayle</x:v>
      </x:c>
      <x:c r="G1335" s="43" t="str">
        <x:v>Cornwall</x:v>
      </x:c>
      <x:c r="H1335" s="43" t="str">
        <x:v>TR27 4HY</x:v>
      </x:c>
      <x:c r="I1335" s="43" t="n">
        <x:v>4</x:v>
      </x:c>
      <x:c r="J1335" s="43" t="n">
        <x:v>16</x:v>
      </x:c>
      <x:c r="K1335" s="43" t="str">
        <x:v>No boarders</x:v>
      </x:c>
      <x:c r="L1335" s="43" t="str">
        <x:v>Does not have a sixth form</x:v>
      </x:c>
      <x:c r="M1335" s="43" t="n">
        <x:v>73</x:v>
      </x:c>
      <x:c r="N1335" s="43" t="str">
        <x:v>https://www.tcischool.co.uk</x:v>
      </x:c>
      <x:c r="O1335" s="43" t="str">
        <x:v>01736752612</x:v>
      </x:c>
      <x:c r="P1335" s="43" t="str"/>
      <x:c r="Q1335" s="43" t="str"/>
      <x:c r="R1335" s="43" t="str">
        <x:v>Queued for contact research</x:v>
      </x:c>
      <x:c r="S1335" s="43" t="str">
        <x:v>Not reviewed</x:v>
      </x:c>
      <x:c r="T1335" s="43" t="str">
        <x:v>Hold</x:v>
      </x:c>
      <x:c r="U1335" s="43" t="str">
        <x:v>No</x:v>
      </x:c>
      <x:c r="V1335" s="44"/>
      <x:c r="W1335" s="43" t="str"/>
      <x:c r="X1335" s="43" t="str"/>
      <x:c r="Y1335" s="43" t="str"/>
      <x:c r="Z1335" s="43" t="str">
        <x:v>https://www.get-information-schools.service.gov.uk/Downloads</x:v>
      </x:c>
    </x:row>
    <x:row r="1336">
      <x:c r="A1336" s="43" t="str">
        <x:v>UK independent</x:v>
      </x:c>
      <x:c r="B1336" s="43" t="str">
        <x:v>138599</x:v>
      </x:c>
      <x:c r="C1336" s="43" t="n">
        <x:f>IF(K1336="Boarding school",30,0)+IF(J1336&gt;=18,20,0)+IF(I1336&lt;=11,10,0)+IF(L1336="Has a sixth form",15,0)+IF(M1336&gt;=200,10,0)+IF(N1336&lt;&gt;"",10,0)</x:f>
        <x:v>20</x:v>
      </x:c>
      <x:c r="D1336" s="43" t="str">
        <x:f>IF(C1336&gt;=85,"A",IF(C1336&gt;=65,"B","C"))</x:f>
        <x:v>C</x:v>
      </x:c>
      <x:c r="E1336" s="43" t="str">
        <x:v>The Stewart Bilingual School</x:v>
      </x:c>
      <x:c r="F1336" s="43" t="str">
        <x:v>London</x:v>
      </x:c>
      <x:c r="G1336" s="43" t="str"/>
      <x:c r="H1336" s="43" t="str">
        <x:v>W11 4XQ</x:v>
      </x:c>
      <x:c r="I1336" s="43" t="n">
        <x:v>3</x:v>
      </x:c>
      <x:c r="J1336" s="43" t="n">
        <x:v>11</x:v>
      </x:c>
      <x:c r="K1336" s="43" t="str">
        <x:v>No boarders</x:v>
      </x:c>
      <x:c r="L1336" s="43" t="str">
        <x:v>Does not have a sixth form</x:v>
      </x:c>
      <x:c r="M1336" s="43" t="n">
        <x:v>73</x:v>
      </x:c>
      <x:c r="N1336" s="43" t="str">
        <x:v>https://www.stewartintschool.co.uk/</x:v>
      </x:c>
      <x:c r="O1336" s="43" t="str">
        <x:v>02089602725</x:v>
      </x:c>
      <x:c r="P1336" s="43" t="str"/>
      <x:c r="Q1336" s="43" t="str"/>
      <x:c r="R1336" s="43" t="str">
        <x:v>Queued for contact research</x:v>
      </x:c>
      <x:c r="S1336" s="43" t="str">
        <x:v>Not reviewed</x:v>
      </x:c>
      <x:c r="T1336" s="43" t="str">
        <x:v>Hold</x:v>
      </x:c>
      <x:c r="U1336" s="43" t="str">
        <x:v>No</x:v>
      </x:c>
      <x:c r="V1336" s="44"/>
      <x:c r="W1336" s="43" t="str"/>
      <x:c r="X1336" s="43" t="str"/>
      <x:c r="Y1336" s="43" t="str"/>
      <x:c r="Z1336" s="43" t="str">
        <x:v>https://www.get-information-schools.service.gov.uk/Downloads</x:v>
      </x:c>
    </x:row>
    <x:row r="1337">
      <x:c r="A1337" s="43" t="str">
        <x:v>UK independent</x:v>
      </x:c>
      <x:c r="B1337" s="43" t="str">
        <x:v>146569</x:v>
      </x:c>
      <x:c r="C1337" s="43" t="n">
        <x:f>IF(K1337="Boarding school",30,0)+IF(J1337&gt;=18,20,0)+IF(I1337&lt;=11,10,0)+IF(L1337="Has a sixth form",15,0)+IF(M1337&gt;=200,10,0)+IF(N1337&lt;&gt;"",10,0)</x:f>
        <x:v>20</x:v>
      </x:c>
      <x:c r="D1337" s="43" t="str">
        <x:f>IF(C1337&gt;=85,"A",IF(C1337&gt;=65,"B","C"))</x:f>
        <x:v>C</x:v>
      </x:c>
      <x:c r="E1337" s="43" t="str">
        <x:v>Turning Point Academy</x:v>
      </x:c>
      <x:c r="F1337" s="43" t="str"/>
      <x:c r="G1337" s="43" t="str"/>
      <x:c r="H1337" s="43" t="str">
        <x:v>L39 1PX</x:v>
      </x:c>
      <x:c r="I1337" s="43" t="n">
        <x:v>7</x:v>
      </x:c>
      <x:c r="J1337" s="43" t="n">
        <x:v>16</x:v>
      </x:c>
      <x:c r="K1337" s="43" t="str">
        <x:v>No boarders</x:v>
      </x:c>
      <x:c r="L1337" s="43" t="str">
        <x:v>Does not have a sixth form</x:v>
      </x:c>
      <x:c r="M1337" s="43" t="n">
        <x:v>72</x:v>
      </x:c>
      <x:c r="N1337" s="43" t="str">
        <x:v>https://www.turningpointacad.co.uk</x:v>
      </x:c>
      <x:c r="O1337" s="43" t="str">
        <x:v>01695227690</x:v>
      </x:c>
      <x:c r="P1337" s="43" t="str"/>
      <x:c r="Q1337" s="43" t="str"/>
      <x:c r="R1337" s="43" t="str">
        <x:v>Queued for contact research</x:v>
      </x:c>
      <x:c r="S1337" s="43" t="str">
        <x:v>Not reviewed</x:v>
      </x:c>
      <x:c r="T1337" s="43" t="str">
        <x:v>Hold</x:v>
      </x:c>
      <x:c r="U1337" s="43" t="str">
        <x:v>No</x:v>
      </x:c>
      <x:c r="V1337" s="44"/>
      <x:c r="W1337" s="43" t="str"/>
      <x:c r="X1337" s="43" t="str"/>
      <x:c r="Y1337" s="43" t="str"/>
      <x:c r="Z1337" s="43" t="str">
        <x:v>https://www.get-information-schools.service.gov.uk/Downloads</x:v>
      </x:c>
    </x:row>
    <x:row r="1338">
      <x:c r="A1338" s="43" t="str">
        <x:v>UK independent</x:v>
      </x:c>
      <x:c r="B1338" s="43" t="str">
        <x:v>140624</x:v>
      </x:c>
      <x:c r="C1338" s="43" t="n">
        <x:f>IF(K1338="Boarding school",30,0)+IF(J1338&gt;=18,20,0)+IF(I1338&lt;=11,10,0)+IF(L1338="Has a sixth form",15,0)+IF(M1338&gt;=200,10,0)+IF(N1338&lt;&gt;"",10,0)</x:f>
        <x:v>20</x:v>
      </x:c>
      <x:c r="D1338" s="43" t="str">
        <x:f>IF(C1338&gt;=85,"A",IF(C1338&gt;=65,"B","C"))</x:f>
        <x:v>C</x:v>
      </x:c>
      <x:c r="E1338" s="43" t="str">
        <x:v>Madani Academy</x:v>
      </x:c>
      <x:c r="F1338" s="43" t="str">
        <x:v>Portsmouth</x:v>
      </x:c>
      <x:c r="G1338" s="43" t="str">
        <x:v>Hampshire</x:v>
      </x:c>
      <x:c r="H1338" s="43" t="str">
        <x:v>PO1 4JZ</x:v>
      </x:c>
      <x:c r="I1338" s="43" t="n">
        <x:v>5</x:v>
      </x:c>
      <x:c r="J1338" s="43" t="n">
        <x:v>16</x:v>
      </x:c>
      <x:c r="K1338" s="43" t="str">
        <x:v>No boarders</x:v>
      </x:c>
      <x:c r="L1338" s="43" t="str">
        <x:v>Does not have a sixth form</x:v>
      </x:c>
      <x:c r="M1338" s="43" t="n">
        <x:v>71</x:v>
      </x:c>
      <x:c r="N1338" s="43" t="str">
        <x:v>https://www.madani-academy.org</x:v>
      </x:c>
      <x:c r="O1338" s="43" t="str">
        <x:v>02392830764</x:v>
      </x:c>
      <x:c r="P1338" s="43" t="str"/>
      <x:c r="Q1338" s="43" t="str"/>
      <x:c r="R1338" s="43" t="str">
        <x:v>Queued for contact research</x:v>
      </x:c>
      <x:c r="S1338" s="43" t="str">
        <x:v>Not reviewed</x:v>
      </x:c>
      <x:c r="T1338" s="43" t="str">
        <x:v>Hold</x:v>
      </x:c>
      <x:c r="U1338" s="43" t="str">
        <x:v>No</x:v>
      </x:c>
      <x:c r="V1338" s="44"/>
      <x:c r="W1338" s="43" t="str"/>
      <x:c r="X1338" s="43" t="str"/>
      <x:c r="Y1338" s="43" t="str"/>
      <x:c r="Z1338" s="43" t="str">
        <x:v>https://www.get-information-schools.service.gov.uk/Downloads</x:v>
      </x:c>
    </x:row>
    <x:row r="1339">
      <x:c r="A1339" s="43" t="str">
        <x:v>UK independent</x:v>
      </x:c>
      <x:c r="B1339" s="43" t="str">
        <x:v>137887</x:v>
      </x:c>
      <x:c r="C1339" s="43" t="n">
        <x:f>IF(K1339="Boarding school",30,0)+IF(J1339&gt;=18,20,0)+IF(I1339&lt;=11,10,0)+IF(L1339="Has a sixth form",15,0)+IF(M1339&gt;=200,10,0)+IF(N1339&lt;&gt;"",10,0)</x:f>
        <x:v>20</x:v>
      </x:c>
      <x:c r="D1339" s="43" t="str">
        <x:f>IF(C1339&gt;=85,"A",IF(C1339&gt;=65,"B","C"))</x:f>
        <x:v>C</x:v>
      </x:c>
      <x:c r="E1339" s="43" t="str">
        <x:v>Music Stuff</x:v>
      </x:c>
      <x:c r="F1339" s="43" t="str">
        <x:v>Manchester</x:v>
      </x:c>
      <x:c r="G1339" s="43" t="str"/>
      <x:c r="H1339" s="43" t="str">
        <x:v>M11 2NA</x:v>
      </x:c>
      <x:c r="I1339" s="43" t="n">
        <x:v>11</x:v>
      </x:c>
      <x:c r="J1339" s="43" t="n">
        <x:v>16</x:v>
      </x:c>
      <x:c r="K1339" s="43" t="str">
        <x:v>No boarders</x:v>
      </x:c>
      <x:c r="L1339" s="43" t="str">
        <x:v>Does not have a sixth form</x:v>
      </x:c>
      <x:c r="M1339" s="43" t="n">
        <x:v>71</x:v>
      </x:c>
      <x:c r="N1339" s="43" t="str">
        <x:v>https://www.musicstuffeducation.org</x:v>
      </x:c>
      <x:c r="O1339" s="43" t="str">
        <x:v>01612209259</x:v>
      </x:c>
      <x:c r="P1339" s="43" t="str"/>
      <x:c r="Q1339" s="43" t="str"/>
      <x:c r="R1339" s="43" t="str">
        <x:v>Queued for contact research</x:v>
      </x:c>
      <x:c r="S1339" s="43" t="str">
        <x:v>Not reviewed</x:v>
      </x:c>
      <x:c r="T1339" s="43" t="str">
        <x:v>Hold</x:v>
      </x:c>
      <x:c r="U1339" s="43" t="str">
        <x:v>No</x:v>
      </x:c>
      <x:c r="V1339" s="44"/>
      <x:c r="W1339" s="43" t="str"/>
      <x:c r="X1339" s="43" t="str"/>
      <x:c r="Y1339" s="43" t="str"/>
      <x:c r="Z1339" s="43" t="str">
        <x:v>https://www.get-information-schools.service.gov.uk/Downloads</x:v>
      </x:c>
    </x:row>
    <x:row r="1340">
      <x:c r="A1340" s="43" t="str">
        <x:v>UK independent</x:v>
      </x:c>
      <x:c r="B1340" s="43" t="str">
        <x:v>141001</x:v>
      </x:c>
      <x:c r="C1340" s="43" t="n">
        <x:f>IF(K1340="Boarding school",30,0)+IF(J1340&gt;=18,20,0)+IF(I1340&lt;=11,10,0)+IF(L1340="Has a sixth form",15,0)+IF(M1340&gt;=200,10,0)+IF(N1340&lt;&gt;"",10,0)</x:f>
        <x:v>20</x:v>
      </x:c>
      <x:c r="D1340" s="43" t="str">
        <x:f>IF(C1340&gt;=85,"A",IF(C1340&gt;=65,"B","C"))</x:f>
        <x:v>C</x:v>
      </x:c>
      <x:c r="E1340" s="43" t="str">
        <x:v>Al Khair Primary School</x:v>
      </x:c>
      <x:c r="F1340" s="43" t="str">
        <x:v>West Midlands</x:v>
      </x:c>
      <x:c r="G1340" s="43" t="str"/>
      <x:c r="H1340" s="43" t="str">
        <x:v>B68 8LR</x:v>
      </x:c>
      <x:c r="I1340" s="43" t="n">
        <x:v>2</x:v>
      </x:c>
      <x:c r="J1340" s="43" t="n">
        <x:v>11</x:v>
      </x:c>
      <x:c r="K1340" s="43" t="str">
        <x:v>No boarders</x:v>
      </x:c>
      <x:c r="L1340" s="43" t="str">
        <x:v>Does not have a sixth form</x:v>
      </x:c>
      <x:c r="M1340" s="43" t="n">
        <x:v>70</x:v>
      </x:c>
      <x:c r="N1340" s="43" t="str">
        <x:v>http://www.alkhairschool.org.uk/</x:v>
      </x:c>
      <x:c r="O1340" s="43" t="str">
        <x:v>01215442361</x:v>
      </x:c>
      <x:c r="P1340" s="43" t="str"/>
      <x:c r="Q1340" s="43" t="str"/>
      <x:c r="R1340" s="43" t="str">
        <x:v>Queued for contact research</x:v>
      </x:c>
      <x:c r="S1340" s="43" t="str">
        <x:v>Not reviewed</x:v>
      </x:c>
      <x:c r="T1340" s="43" t="str">
        <x:v>Hold</x:v>
      </x:c>
      <x:c r="U1340" s="43" t="str">
        <x:v>No</x:v>
      </x:c>
      <x:c r="V1340" s="44"/>
      <x:c r="W1340" s="43" t="str"/>
      <x:c r="X1340" s="43" t="str"/>
      <x:c r="Y1340" s="43" t="str"/>
      <x:c r="Z1340" s="43" t="str">
        <x:v>https://www.get-information-schools.service.gov.uk/Downloads</x:v>
      </x:c>
    </x:row>
    <x:row r="1341">
      <x:c r="A1341" s="43" t="str">
        <x:v>UK independent</x:v>
      </x:c>
      <x:c r="B1341" s="43" t="str">
        <x:v>120326</x:v>
      </x:c>
      <x:c r="C1341" s="43" t="n">
        <x:f>IF(K1341="Boarding school",30,0)+IF(J1341&gt;=18,20,0)+IF(I1341&lt;=11,10,0)+IF(L1341="Has a sixth form",15,0)+IF(M1341&gt;=200,10,0)+IF(N1341&lt;&gt;"",10,0)</x:f>
        <x:v>20</x:v>
      </x:c>
      <x:c r="D1341" s="43" t="str">
        <x:f>IF(C1341&gt;=85,"A",IF(C1341&gt;=65,"B","C"))</x:f>
        <x:v>C</x:v>
      </x:c>
      <x:c r="E1341" s="43" t="str">
        <x:v>St Crispin's School</x:v>
      </x:c>
      <x:c r="F1341" s="43" t="str">
        <x:v>Leicester</x:v>
      </x:c>
      <x:c r="G1341" s="43" t="str">
        <x:v>Leicestershire</x:v>
      </x:c>
      <x:c r="H1341" s="43" t="str">
        <x:v>LE2 1XA</x:v>
      </x:c>
      <x:c r="I1341" s="43" t="n">
        <x:v>2</x:v>
      </x:c>
      <x:c r="J1341" s="43" t="n">
        <x:v>16</x:v>
      </x:c>
      <x:c r="K1341" s="43" t="str">
        <x:v>No boarders</x:v>
      </x:c>
      <x:c r="L1341" s="43" t="str">
        <x:v>Does not have a sixth form</x:v>
      </x:c>
      <x:c r="M1341" s="43" t="n">
        <x:v>70</x:v>
      </x:c>
      <x:c r="N1341" s="43" t="str">
        <x:v>https://www.stcrispins.co.uk</x:v>
      </x:c>
      <x:c r="O1341" s="43" t="str">
        <x:v>01162707648</x:v>
      </x:c>
      <x:c r="P1341" s="43" t="str"/>
      <x:c r="Q1341" s="43" t="str"/>
      <x:c r="R1341" s="43" t="str">
        <x:v>Queued for contact research</x:v>
      </x:c>
      <x:c r="S1341" s="43" t="str">
        <x:v>Not reviewed</x:v>
      </x:c>
      <x:c r="T1341" s="43" t="str">
        <x:v>Hold</x:v>
      </x:c>
      <x:c r="U1341" s="43" t="str">
        <x:v>No</x:v>
      </x:c>
      <x:c r="V1341" s="44"/>
      <x:c r="W1341" s="43" t="str"/>
      <x:c r="X1341" s="43" t="str"/>
      <x:c r="Y1341" s="43" t="str"/>
      <x:c r="Z1341" s="43" t="str">
        <x:v>https://www.get-information-schools.service.gov.uk/Downloads</x:v>
      </x:c>
    </x:row>
    <x:row r="1342">
      <x:c r="A1342" s="43" t="str">
        <x:v>UK independent</x:v>
      </x:c>
      <x:c r="B1342" s="43" t="str">
        <x:v>113940</x:v>
      </x:c>
      <x:c r="C1342" s="43" t="n">
        <x:f>IF(K1342="Boarding school",30,0)+IF(J1342&gt;=18,20,0)+IF(I1342&lt;=11,10,0)+IF(L1342="Has a sixth form",15,0)+IF(M1342&gt;=200,10,0)+IF(N1342&lt;&gt;"",10,0)</x:f>
        <x:v>20</x:v>
      </x:c>
      <x:c r="D1342" s="43" t="str">
        <x:f>IF(C1342&gt;=85,"A",IF(C1342&gt;=65,"B","C"))</x:f>
        <x:v>C</x:v>
      </x:c>
      <x:c r="E1342" s="43" t="str">
        <x:v>St Martin's School</x:v>
      </x:c>
      <x:c r="F1342" s="43" t="str">
        <x:v>Bournemouth</x:v>
      </x:c>
      <x:c r="G1342" s="43" t="str">
        <x:v>Dorset</x:v>
      </x:c>
      <x:c r="H1342" s="43" t="str">
        <x:v>BH3 7NA</x:v>
      </x:c>
      <x:c r="I1342" s="43" t="n">
        <x:v>3</x:v>
      </x:c>
      <x:c r="J1342" s="43" t="n">
        <x:v>11</x:v>
      </x:c>
      <x:c r="K1342" s="43" t="str">
        <x:v>No boarders</x:v>
      </x:c>
      <x:c r="L1342" s="43" t="str">
        <x:v>Does not have a sixth form</x:v>
      </x:c>
      <x:c r="M1342" s="43" t="n">
        <x:v>70</x:v>
      </x:c>
      <x:c r="N1342" s="43" t="str">
        <x:v>https://www.stmartinsschool.net</x:v>
      </x:c>
      <x:c r="O1342" s="43" t="str">
        <x:v>01202292011</x:v>
      </x:c>
      <x:c r="P1342" s="43" t="str"/>
      <x:c r="Q1342" s="43" t="str"/>
      <x:c r="R1342" s="43" t="str">
        <x:v>Queued for contact research</x:v>
      </x:c>
      <x:c r="S1342" s="43" t="str">
        <x:v>Not reviewed</x:v>
      </x:c>
      <x:c r="T1342" s="43" t="str">
        <x:v>Hold</x:v>
      </x:c>
      <x:c r="U1342" s="43" t="str">
        <x:v>No</x:v>
      </x:c>
      <x:c r="V1342" s="44"/>
      <x:c r="W1342" s="43" t="str"/>
      <x:c r="X1342" s="43" t="str"/>
      <x:c r="Y1342" s="43" t="str"/>
      <x:c r="Z1342" s="43" t="str">
        <x:v>https://www.get-information-schools.service.gov.uk/Downloads</x:v>
      </x:c>
    </x:row>
    <x:row r="1343">
      <x:c r="A1343" s="43" t="str">
        <x:v>UK independent</x:v>
      </x:c>
      <x:c r="B1343" s="43" t="str">
        <x:v>125360</x:v>
      </x:c>
      <x:c r="C1343" s="43" t="n">
        <x:f>IF(K1343="Boarding school",30,0)+IF(J1343&gt;=18,20,0)+IF(I1343&lt;=11,10,0)+IF(L1343="Has a sixth form",15,0)+IF(M1343&gt;=200,10,0)+IF(N1343&lt;&gt;"",10,0)</x:f>
        <x:v>20</x:v>
      </x:c>
      <x:c r="D1343" s="43" t="str">
        <x:f>IF(C1343&gt;=85,"A",IF(C1343&gt;=65,"B","C"))</x:f>
        <x:v>C</x:v>
      </x:c>
      <x:c r="E1343" s="43" t="str">
        <x:v>The Danesfield Manor School</x:v>
      </x:c>
      <x:c r="F1343" s="43" t="str">
        <x:v>Walton-on-Thames</x:v>
      </x:c>
      <x:c r="G1343" s="43" t="str">
        <x:v>Surrey</x:v>
      </x:c>
      <x:c r="H1343" s="43" t="str">
        <x:v>KT12 3JB</x:v>
      </x:c>
      <x:c r="I1343" s="43" t="n">
        <x:v>2</x:v>
      </x:c>
      <x:c r="J1343" s="43" t="n">
        <x:v>11</x:v>
      </x:c>
      <x:c r="K1343" s="43" t="str">
        <x:v>No boarders</x:v>
      </x:c>
      <x:c r="L1343" s="43" t="str">
        <x:v>Does not have a sixth form</x:v>
      </x:c>
      <x:c r="M1343" s="43" t="n">
        <x:v>69</x:v>
      </x:c>
      <x:c r="N1343" s="43" t="str">
        <x:v>https://www.danesfieldmanorschool.co.uk</x:v>
      </x:c>
      <x:c r="O1343" s="43" t="str">
        <x:v>01932220930</x:v>
      </x:c>
      <x:c r="P1343" s="43" t="str"/>
      <x:c r="Q1343" s="43" t="str"/>
      <x:c r="R1343" s="43" t="str">
        <x:v>Queued for contact research</x:v>
      </x:c>
      <x:c r="S1343" s="43" t="str">
        <x:v>Not reviewed</x:v>
      </x:c>
      <x:c r="T1343" s="43" t="str">
        <x:v>Hold</x:v>
      </x:c>
      <x:c r="U1343" s="43" t="str">
        <x:v>No</x:v>
      </x:c>
      <x:c r="V1343" s="44"/>
      <x:c r="W1343" s="43" t="str"/>
      <x:c r="X1343" s="43" t="str"/>
      <x:c r="Y1343" s="43" t="str"/>
      <x:c r="Z1343" s="43" t="str">
        <x:v>https://www.get-information-schools.service.gov.uk/Downloads</x:v>
      </x:c>
    </x:row>
    <x:row r="1344">
      <x:c r="A1344" s="43" t="str">
        <x:v>UK independent</x:v>
      </x:c>
      <x:c r="B1344" s="43" t="str">
        <x:v>110177</x:v>
      </x:c>
      <x:c r="C1344" s="43" t="n">
        <x:f>IF(K1344="Boarding school",30,0)+IF(J1344&gt;=18,20,0)+IF(I1344&lt;=11,10,0)+IF(L1344="Has a sixth form",15,0)+IF(M1344&gt;=200,10,0)+IF(N1344&lt;&gt;"",10,0)</x:f>
        <x:v>20</x:v>
      </x:c>
      <x:c r="D1344" s="43" t="str">
        <x:f>IF(C1344&gt;=85,"A",IF(C1344&gt;=65,"B","C"))</x:f>
        <x:v>C</x:v>
      </x:c>
      <x:c r="E1344" s="43" t="str">
        <x:v>Caversham Preparatory School</x:v>
      </x:c>
      <x:c r="F1344" s="43" t="str">
        <x:v>Reading</x:v>
      </x:c>
      <x:c r="G1344" s="43" t="str">
        <x:v>Berkshire</x:v>
      </x:c>
      <x:c r="H1344" s="43" t="str">
        <x:v>RG4 8JZ</x:v>
      </x:c>
      <x:c r="I1344" s="43" t="n">
        <x:v>3</x:v>
      </x:c>
      <x:c r="J1344" s="43" t="n">
        <x:v>11</x:v>
      </x:c>
      <x:c r="K1344" s="43" t="str">
        <x:v>No boarders</x:v>
      </x:c>
      <x:c r="L1344" s="43" t="str">
        <x:v>Does not have a sixth form</x:v>
      </x:c>
      <x:c r="M1344" s="43" t="n">
        <x:v>68</x:v>
      </x:c>
      <x:c r="N1344" s="43" t="str">
        <x:v>https://www.cavershamschool.com</x:v>
      </x:c>
      <x:c r="O1344" s="43" t="str">
        <x:v>01189478684</x:v>
      </x:c>
      <x:c r="P1344" s="43" t="str"/>
      <x:c r="Q1344" s="43" t="str"/>
      <x:c r="R1344" s="43" t="str">
        <x:v>Queued for contact research</x:v>
      </x:c>
      <x:c r="S1344" s="43" t="str">
        <x:v>Not reviewed</x:v>
      </x:c>
      <x:c r="T1344" s="43" t="str">
        <x:v>Hold</x:v>
      </x:c>
      <x:c r="U1344" s="43" t="str">
        <x:v>No</x:v>
      </x:c>
      <x:c r="V1344" s="44"/>
      <x:c r="W1344" s="43" t="str"/>
      <x:c r="X1344" s="43" t="str"/>
      <x:c r="Y1344" s="43" t="str"/>
      <x:c r="Z1344" s="43" t="str">
        <x:v>https://www.get-information-schools.service.gov.uk/Downloads</x:v>
      </x:c>
    </x:row>
    <x:row r="1345">
      <x:c r="A1345" s="43" t="str">
        <x:v>UK independent</x:v>
      </x:c>
      <x:c r="B1345" s="43" t="str">
        <x:v>138568</x:v>
      </x:c>
      <x:c r="C1345" s="43" t="n">
        <x:f>IF(K1345="Boarding school",30,0)+IF(J1345&gt;=18,20,0)+IF(I1345&lt;=11,10,0)+IF(L1345="Has a sixth form",15,0)+IF(M1345&gt;=200,10,0)+IF(N1345&lt;&gt;"",10,0)</x:f>
        <x:v>20</x:v>
      </x:c>
      <x:c r="D1345" s="43" t="str">
        <x:f>IF(C1345&gt;=85,"A",IF(C1345&gt;=65,"B","C"))</x:f>
        <x:v>C</x:v>
      </x:c>
      <x:c r="E1345" s="43" t="str">
        <x:v>Darul Hadis Latifiah Northwest</x:v>
      </x:c>
      <x:c r="F1345" s="43" t="str">
        <x:v>Oldham</x:v>
      </x:c>
      <x:c r="G1345" s="43" t="str">
        <x:v>Lancashire</x:v>
      </x:c>
      <x:c r="H1345" s="43" t="str">
        <x:v>OL8 1TJ</x:v>
      </x:c>
      <x:c r="I1345" s="43" t="n">
        <x:v>11</x:v>
      </x:c>
      <x:c r="J1345" s="43" t="n">
        <x:v>16</x:v>
      </x:c>
      <x:c r="K1345" s="43" t="str">
        <x:v>No boarders</x:v>
      </x:c>
      <x:c r="L1345" s="43" t="str">
        <x:v>Does not have a sixth form</x:v>
      </x:c>
      <x:c r="M1345" s="43" t="n">
        <x:v>67</x:v>
      </x:c>
      <x:c r="N1345" s="43" t="str">
        <x:v>https://www.dhlnw.org.uk</x:v>
      </x:c>
      <x:c r="O1345" s="43" t="str">
        <x:v>01616274422</x:v>
      </x:c>
      <x:c r="P1345" s="43" t="str"/>
      <x:c r="Q1345" s="43" t="str"/>
      <x:c r="R1345" s="43" t="str">
        <x:v>Queued for contact research</x:v>
      </x:c>
      <x:c r="S1345" s="43" t="str">
        <x:v>Not reviewed</x:v>
      </x:c>
      <x:c r="T1345" s="43" t="str">
        <x:v>Hold</x:v>
      </x:c>
      <x:c r="U1345" s="43" t="str">
        <x:v>No</x:v>
      </x:c>
      <x:c r="V1345" s="44"/>
      <x:c r="W1345" s="43" t="str"/>
      <x:c r="X1345" s="43" t="str"/>
      <x:c r="Y1345" s="43" t="str"/>
      <x:c r="Z1345" s="43" t="str">
        <x:v>https://www.get-information-schools.service.gov.uk/Downloads</x:v>
      </x:c>
    </x:row>
    <x:row r="1346">
      <x:c r="A1346" s="43" t="str">
        <x:v>UK independent</x:v>
      </x:c>
      <x:c r="B1346" s="43" t="str">
        <x:v>122914</x:v>
      </x:c>
      <x:c r="C1346" s="43" t="n">
        <x:f>IF(K1346="Boarding school",30,0)+IF(J1346&gt;=18,20,0)+IF(I1346&lt;=11,10,0)+IF(L1346="Has a sixth form",15,0)+IF(M1346&gt;=200,10,0)+IF(N1346&lt;&gt;"",10,0)</x:f>
        <x:v>20</x:v>
      </x:c>
      <x:c r="D1346" s="43" t="str">
        <x:f>IF(C1346&gt;=85,"A",IF(C1346&gt;=65,"B","C"))</x:f>
        <x:v>C</x:v>
      </x:c>
      <x:c r="E1346" s="43" t="str">
        <x:v>St Joseph's School</x:v>
      </x:c>
      <x:c r="F1346" s="43" t="str">
        <x:v>Nottingham</x:v>
      </x:c>
      <x:c r="G1346" s="43" t="str">
        <x:v>Nottinghamshire</x:v>
      </x:c>
      <x:c r="H1346" s="43" t="str">
        <x:v>NG1 5AW</x:v>
      </x:c>
      <x:c r="I1346" s="43" t="n">
        <x:v>1</x:v>
      </x:c>
      <x:c r="J1346" s="43" t="n">
        <x:v>11</x:v>
      </x:c>
      <x:c r="K1346" s="43" t="str">
        <x:v>No boarders</x:v>
      </x:c>
      <x:c r="L1346" s="43" t="str">
        <x:v>Does not have a sixth form</x:v>
      </x:c>
      <x:c r="M1346" s="43" t="n">
        <x:v>67</x:v>
      </x:c>
      <x:c r="N1346" s="43" t="str">
        <x:v>https://www.st-josephs.nottingham.sch.uk</x:v>
      </x:c>
      <x:c r="O1346" s="43" t="str">
        <x:v>01159418356</x:v>
      </x:c>
      <x:c r="P1346" s="43" t="str"/>
      <x:c r="Q1346" s="43" t="str"/>
      <x:c r="R1346" s="43" t="str">
        <x:v>Queued for contact research</x:v>
      </x:c>
      <x:c r="S1346" s="43" t="str">
        <x:v>Not reviewed</x:v>
      </x:c>
      <x:c r="T1346" s="43" t="str">
        <x:v>Hold</x:v>
      </x:c>
      <x:c r="U1346" s="43" t="str">
        <x:v>No</x:v>
      </x:c>
      <x:c r="V1346" s="44"/>
      <x:c r="W1346" s="43" t="str"/>
      <x:c r="X1346" s="43" t="str"/>
      <x:c r="Y1346" s="43" t="str"/>
      <x:c r="Z1346" s="43" t="str">
        <x:v>https://www.get-information-schools.service.gov.uk/Downloads</x:v>
      </x:c>
    </x:row>
    <x:row r="1347">
      <x:c r="A1347" s="43" t="str">
        <x:v>UK independent</x:v>
      </x:c>
      <x:c r="B1347" s="43" t="str">
        <x:v>148732</x:v>
      </x:c>
      <x:c r="C1347" s="43" t="n">
        <x:f>IF(K1347="Boarding school",30,0)+IF(J1347&gt;=18,20,0)+IF(I1347&lt;=11,10,0)+IF(L1347="Has a sixth form",15,0)+IF(M1347&gt;=200,10,0)+IF(N1347&lt;&gt;"",10,0)</x:f>
        <x:v>20</x:v>
      </x:c>
      <x:c r="D1347" s="43" t="str">
        <x:f>IF(C1347&gt;=85,"A",IF(C1347&gt;=65,"B","C"))</x:f>
        <x:v>C</x:v>
      </x:c>
      <x:c r="E1347" s="43" t="str">
        <x:v>The Emscote School</x:v>
      </x:c>
      <x:c r="F1347" s="43" t="str">
        <x:v>Warwickshire</x:v>
      </x:c>
      <x:c r="G1347" s="43" t="str"/>
      <x:c r="H1347" s="43" t="str">
        <x:v>CV34 5JB</x:v>
      </x:c>
      <x:c r="I1347" s="43" t="n">
        <x:v>11</x:v>
      </x:c>
      <x:c r="J1347" s="43" t="n">
        <x:v>16</x:v>
      </x:c>
      <x:c r="K1347" s="43" t="str">
        <x:v>No boarders</x:v>
      </x:c>
      <x:c r="L1347" s="43" t="str">
        <x:v>Does not have a sixth form</x:v>
      </x:c>
      <x:c r="M1347" s="43" t="n">
        <x:v>67</x:v>
      </x:c>
      <x:c r="N1347" s="43" t="str">
        <x:v>https://www.emscoteschool.org</x:v>
      </x:c>
      <x:c r="O1347" s="43" t="str">
        <x:v>01926492609</x:v>
      </x:c>
      <x:c r="P1347" s="43" t="str"/>
      <x:c r="Q1347" s="43" t="str"/>
      <x:c r="R1347" s="43" t="str">
        <x:v>Queued for contact research</x:v>
      </x:c>
      <x:c r="S1347" s="43" t="str">
        <x:v>Not reviewed</x:v>
      </x:c>
      <x:c r="T1347" s="43" t="str">
        <x:v>Hold</x:v>
      </x:c>
      <x:c r="U1347" s="43" t="str">
        <x:v>No</x:v>
      </x:c>
      <x:c r="V1347" s="44"/>
      <x:c r="W1347" s="43" t="str"/>
      <x:c r="X1347" s="43" t="str"/>
      <x:c r="Y1347" s="43" t="str"/>
      <x:c r="Z1347" s="43" t="str">
        <x:v>https://www.get-information-schools.service.gov.uk/Downloads</x:v>
      </x:c>
    </x:row>
    <x:row r="1348">
      <x:c r="A1348" s="43" t="str">
        <x:v>UK independent</x:v>
      </x:c>
      <x:c r="B1348" s="43" t="str">
        <x:v>101164</x:v>
      </x:c>
      <x:c r="C1348" s="43" t="n">
        <x:f>IF(K1348="Boarding school",30,0)+IF(J1348&gt;=18,20,0)+IF(I1348&lt;=11,10,0)+IF(L1348="Has a sixth form",15,0)+IF(M1348&gt;=200,10,0)+IF(N1348&lt;&gt;"",10,0)</x:f>
        <x:v>20</x:v>
      </x:c>
      <x:c r="D1348" s="43" t="str">
        <x:f>IF(C1348&gt;=85,"A",IF(C1348&gt;=65,"B","C"))</x:f>
        <x:v>C</x:v>
      </x:c>
      <x:c r="E1348" s="43" t="str">
        <x:v>Connaught House School</x:v>
      </x:c>
      <x:c r="F1348" s="43" t="str"/>
      <x:c r="G1348" s="43" t="str"/>
      <x:c r="H1348" s="43" t="str">
        <x:v>W2 2HL</x:v>
      </x:c>
      <x:c r="I1348" s="43" t="n">
        <x:v>4</x:v>
      </x:c>
      <x:c r="J1348" s="43" t="n">
        <x:v>11</x:v>
      </x:c>
      <x:c r="K1348" s="43" t="str">
        <x:v>No boarders</x:v>
      </x:c>
      <x:c r="L1348" s="43" t="str">
        <x:v>Does not have a sixth form</x:v>
      </x:c>
      <x:c r="M1348" s="43" t="n">
        <x:v>66</x:v>
      </x:c>
      <x:c r="N1348" s="43" t="str">
        <x:v>http://www.connaughthouseschool.co.uk/</x:v>
      </x:c>
      <x:c r="O1348" s="43" t="str">
        <x:v>02072628830</x:v>
      </x:c>
      <x:c r="P1348" s="43" t="str"/>
      <x:c r="Q1348" s="43" t="str"/>
      <x:c r="R1348" s="43" t="str">
        <x:v>Queued for contact research</x:v>
      </x:c>
      <x:c r="S1348" s="43" t="str">
        <x:v>Not reviewed</x:v>
      </x:c>
      <x:c r="T1348" s="43" t="str">
        <x:v>Hold</x:v>
      </x:c>
      <x:c r="U1348" s="43" t="str">
        <x:v>No</x:v>
      </x:c>
      <x:c r="V1348" s="44"/>
      <x:c r="W1348" s="43" t="str"/>
      <x:c r="X1348" s="43" t="str"/>
      <x:c r="Y1348" s="43" t="str"/>
      <x:c r="Z1348" s="43" t="str">
        <x:v>https://www.get-information-schools.service.gov.uk/Downloads</x:v>
      </x:c>
    </x:row>
    <x:row r="1349">
      <x:c r="A1349" s="43" t="str">
        <x:v>UK independent</x:v>
      </x:c>
      <x:c r="B1349" s="43" t="str">
        <x:v>116569</x:v>
      </x:c>
      <x:c r="C1349" s="43" t="n">
        <x:f>IF(K1349="Boarding school",30,0)+IF(J1349&gt;=18,20,0)+IF(I1349&lt;=11,10,0)+IF(L1349="Has a sixth form",15,0)+IF(M1349&gt;=200,10,0)+IF(N1349&lt;&gt;"",10,0)</x:f>
        <x:v>20</x:v>
      </x:c>
      <x:c r="D1349" s="43" t="str">
        <x:f>IF(C1349&gt;=85,"A",IF(C1349&gt;=65,"B","C"))</x:f>
        <x:v>C</x:v>
      </x:c>
      <x:c r="E1349" s="43" t="str">
        <x:v>The Gregg Preparatory School</x:v>
      </x:c>
      <x:c r="F1349" s="43" t="str"/>
      <x:c r="G1349" s="43" t="str"/>
      <x:c r="H1349" s="43" t="str">
        <x:v>SO17 1EJ</x:v>
      </x:c>
      <x:c r="I1349" s="43" t="n">
        <x:v>4</x:v>
      </x:c>
      <x:c r="J1349" s="43" t="n">
        <x:v>11</x:v>
      </x:c>
      <x:c r="K1349" s="43" t="str">
        <x:v>No boarders</x:v>
      </x:c>
      <x:c r="L1349" s="43" t="str">
        <x:v>Does not have a sixth form</x:v>
      </x:c>
      <x:c r="M1349" s="43" t="n">
        <x:v>66</x:v>
      </x:c>
      <x:c r="N1349" s="43" t="str">
        <x:v>http://www.thegreggprep.org</x:v>
      </x:c>
      <x:c r="O1349" s="43" t="str">
        <x:v>02380557352</x:v>
      </x:c>
      <x:c r="P1349" s="43" t="str"/>
      <x:c r="Q1349" s="43" t="str"/>
      <x:c r="R1349" s="43" t="str">
        <x:v>Queued for contact research</x:v>
      </x:c>
      <x:c r="S1349" s="43" t="str">
        <x:v>Not reviewed</x:v>
      </x:c>
      <x:c r="T1349" s="43" t="str">
        <x:v>Hold</x:v>
      </x:c>
      <x:c r="U1349" s="43" t="str">
        <x:v>No</x:v>
      </x:c>
      <x:c r="V1349" s="44"/>
      <x:c r="W1349" s="43" t="str"/>
      <x:c r="X1349" s="43" t="str"/>
      <x:c r="Y1349" s="43" t="str"/>
      <x:c r="Z1349" s="43" t="str">
        <x:v>https://www.get-information-schools.service.gov.uk/Downloads</x:v>
      </x:c>
    </x:row>
    <x:row r="1350">
      <x:c r="A1350" s="43" t="str">
        <x:v>UK independent</x:v>
      </x:c>
      <x:c r="B1350" s="43" t="str">
        <x:v>117662</x:v>
      </x:c>
      <x:c r="C1350" s="43" t="n">
        <x:f>IF(K1350="Boarding school",30,0)+IF(J1350&gt;=18,20,0)+IF(I1350&lt;=11,10,0)+IF(L1350="Has a sixth form",15,0)+IF(M1350&gt;=200,10,0)+IF(N1350&lt;&gt;"",10,0)</x:f>
        <x:v>20</x:v>
      </x:c>
      <x:c r="D1350" s="43" t="str">
        <x:f>IF(C1350&gt;=85,"A",IF(C1350&gt;=65,"B","C"))</x:f>
        <x:v>C</x:v>
      </x:c>
      <x:c r="E1350" s="43" t="str">
        <x:v>Longwood School</x:v>
      </x:c>
      <x:c r="F1350" s="43" t="str">
        <x:v>Bushey</x:v>
      </x:c>
      <x:c r="G1350" s="43" t="str">
        <x:v>Hertfordshire</x:v>
      </x:c>
      <x:c r="H1350" s="43" t="str">
        <x:v>WD23 2QG</x:v>
      </x:c>
      <x:c r="I1350" s="43" t="n">
        <x:v>3</x:v>
      </x:c>
      <x:c r="J1350" s="43" t="n">
        <x:v>11</x:v>
      </x:c>
      <x:c r="K1350" s="43" t="str">
        <x:v>No boarders</x:v>
      </x:c>
      <x:c r="L1350" s="43" t="str">
        <x:v>Does not have a sixth form</x:v>
      </x:c>
      <x:c r="M1350" s="43" t="n">
        <x:v>65</x:v>
      </x:c>
      <x:c r="N1350" s="43" t="str">
        <x:v>https://longwoodschool.co.uk</x:v>
      </x:c>
      <x:c r="O1350" s="43" t="str">
        <x:v>01923253715</x:v>
      </x:c>
      <x:c r="P1350" s="43" t="str"/>
      <x:c r="Q1350" s="43" t="str"/>
      <x:c r="R1350" s="43" t="str">
        <x:v>Queued for contact research</x:v>
      </x:c>
      <x:c r="S1350" s="43" t="str">
        <x:v>Not reviewed</x:v>
      </x:c>
      <x:c r="T1350" s="43" t="str">
        <x:v>Hold</x:v>
      </x:c>
      <x:c r="U1350" s="43" t="str">
        <x:v>No</x:v>
      </x:c>
      <x:c r="V1350" s="44"/>
      <x:c r="W1350" s="43" t="str"/>
      <x:c r="X1350" s="43" t="str"/>
      <x:c r="Y1350" s="43" t="str"/>
      <x:c r="Z1350" s="43" t="str">
        <x:v>https://www.get-information-schools.service.gov.uk/Downloads</x:v>
      </x:c>
    </x:row>
    <x:row r="1351">
      <x:c r="A1351" s="43" t="str">
        <x:v>UK independent</x:v>
      </x:c>
      <x:c r="B1351" s="43" t="str">
        <x:v>136955</x:v>
      </x:c>
      <x:c r="C1351" s="43" t="n">
        <x:f>IF(K1351="Boarding school",30,0)+IF(J1351&gt;=18,20,0)+IF(I1351&lt;=11,10,0)+IF(L1351="Has a sixth form",15,0)+IF(M1351&gt;=200,10,0)+IF(N1351&lt;&gt;"",10,0)</x:f>
        <x:v>20</x:v>
      </x:c>
      <x:c r="D1351" s="43" t="str">
        <x:f>IF(C1351&gt;=85,"A",IF(C1351&gt;=65,"B","C"))</x:f>
        <x:v>C</x:v>
      </x:c>
      <x:c r="E1351" s="43" t="str">
        <x:v>Al-Madani Girls School</x:v>
      </x:c>
      <x:c r="F1351" s="43" t="str">
        <x:v>Slough</x:v>
      </x:c>
      <x:c r="G1351" s="43" t="str">
        <x:v>Berkshire</x:v>
      </x:c>
      <x:c r="H1351" s="43" t="str">
        <x:v>SL1 5PR</x:v>
      </x:c>
      <x:c r="I1351" s="43" t="n">
        <x:v>11</x:v>
      </x:c>
      <x:c r="J1351" s="43" t="n">
        <x:v>16</x:v>
      </x:c>
      <x:c r="K1351" s="43" t="str">
        <x:v>No boarders</x:v>
      </x:c>
      <x:c r="L1351" s="43" t="str">
        <x:v>Does not have a sixth form</x:v>
      </x:c>
      <x:c r="M1351" s="43" t="n">
        <x:v>64</x:v>
      </x:c>
      <x:c r="N1351" s="43" t="str">
        <x:v>http://www.almadanigirls.uk</x:v>
      </x:c>
      <x:c r="O1351" s="43" t="str">
        <x:v>01628298841</x:v>
      </x:c>
      <x:c r="P1351" s="43" t="str"/>
      <x:c r="Q1351" s="43" t="str"/>
      <x:c r="R1351" s="43" t="str">
        <x:v>Queued for contact research</x:v>
      </x:c>
      <x:c r="S1351" s="43" t="str">
        <x:v>Not reviewed</x:v>
      </x:c>
      <x:c r="T1351" s="43" t="str">
        <x:v>Hold</x:v>
      </x:c>
      <x:c r="U1351" s="43" t="str">
        <x:v>No</x:v>
      </x:c>
      <x:c r="V1351" s="44"/>
      <x:c r="W1351" s="43" t="str"/>
      <x:c r="X1351" s="43" t="str"/>
      <x:c r="Y1351" s="43" t="str"/>
      <x:c r="Z1351" s="43" t="str">
        <x:v>https://www.get-information-schools.service.gov.uk/Downloads</x:v>
      </x:c>
    </x:row>
    <x:row r="1352">
      <x:c r="A1352" s="43" t="str">
        <x:v>UK independent</x:v>
      </x:c>
      <x:c r="B1352" s="43" t="str">
        <x:v>136112</x:v>
      </x:c>
      <x:c r="C1352" s="43" t="n">
        <x:f>IF(K1352="Boarding school",30,0)+IF(J1352&gt;=18,20,0)+IF(I1352&lt;=11,10,0)+IF(L1352="Has a sixth form",15,0)+IF(M1352&gt;=200,10,0)+IF(N1352&lt;&gt;"",10,0)</x:f>
        <x:v>20</x:v>
      </x:c>
      <x:c r="D1352" s="43" t="str">
        <x:f>IF(C1352&gt;=85,"A",IF(C1352&gt;=65,"B","C"))</x:f>
        <x:v>C</x:v>
      </x:c>
      <x:c r="E1352" s="43" t="str">
        <x:v>New Forest Small School Ltd</x:v>
      </x:c>
      <x:c r="F1352" s="43" t="str">
        <x:v>Lyndhurst</x:v>
      </x:c>
      <x:c r="G1352" s="43" t="str">
        <x:v>Hampshire</x:v>
      </x:c>
      <x:c r="H1352" s="43" t="str">
        <x:v>SO43 7BU</x:v>
      </x:c>
      <x:c r="I1352" s="43" t="n">
        <x:v>3</x:v>
      </x:c>
      <x:c r="J1352" s="43" t="n">
        <x:v>17</x:v>
      </x:c>
      <x:c r="K1352" s="43" t="str">
        <x:v>No boarders</x:v>
      </x:c>
      <x:c r="L1352" s="43" t="str">
        <x:v>Not applicable</x:v>
      </x:c>
      <x:c r="M1352" s="43" t="n">
        <x:v>64</x:v>
      </x:c>
      <x:c r="N1352" s="43" t="str">
        <x:v>https://www.newforestsmallschool.com</x:v>
      </x:c>
      <x:c r="O1352" s="43" t="str">
        <x:v>02380284415</x:v>
      </x:c>
      <x:c r="P1352" s="43" t="str"/>
      <x:c r="Q1352" s="43" t="str"/>
      <x:c r="R1352" s="43" t="str">
        <x:v>Queued for contact research</x:v>
      </x:c>
      <x:c r="S1352" s="43" t="str">
        <x:v>Not reviewed</x:v>
      </x:c>
      <x:c r="T1352" s="43" t="str">
        <x:v>Hold</x:v>
      </x:c>
      <x:c r="U1352" s="43" t="str">
        <x:v>No</x:v>
      </x:c>
      <x:c r="V1352" s="44"/>
      <x:c r="W1352" s="43" t="str"/>
      <x:c r="X1352" s="43" t="str"/>
      <x:c r="Y1352" s="43" t="str"/>
      <x:c r="Z1352" s="43" t="str">
        <x:v>https://www.get-information-schools.service.gov.uk/Downloads</x:v>
      </x:c>
    </x:row>
    <x:row r="1353">
      <x:c r="A1353" s="43" t="str">
        <x:v>UK independent</x:v>
      </x:c>
      <x:c r="B1353" s="43" t="str">
        <x:v>135596</x:v>
      </x:c>
      <x:c r="C1353" s="43" t="n">
        <x:f>IF(K1353="Boarding school",30,0)+IF(J1353&gt;=18,20,0)+IF(I1353&lt;=11,10,0)+IF(L1353="Has a sixth form",15,0)+IF(M1353&gt;=200,10,0)+IF(N1353&lt;&gt;"",10,0)</x:f>
        <x:v>20</x:v>
      </x:c>
      <x:c r="D1353" s="43" t="str">
        <x:f>IF(C1353&gt;=85,"A",IF(C1353&gt;=65,"B","C"))</x:f>
        <x:v>C</x:v>
      </x:c>
      <x:c r="E1353" s="43" t="str">
        <x:v>Stanborough Primary School</x:v>
      </x:c>
      <x:c r="F1353" s="43" t="str">
        <x:v>Watford</x:v>
      </x:c>
      <x:c r="G1353" s="43" t="str">
        <x:v>Hertfordshire</x:v>
      </x:c>
      <x:c r="H1353" s="43" t="str">
        <x:v>WD25 0DQ</x:v>
      </x:c>
      <x:c r="I1353" s="43" t="n">
        <x:v>2</x:v>
      </x:c>
      <x:c r="J1353" s="43" t="n">
        <x:v>11</x:v>
      </x:c>
      <x:c r="K1353" s="43" t="str">
        <x:v>No boarders</x:v>
      </x:c>
      <x:c r="L1353" s="43" t="str">
        <x:v>Does not have a sixth form</x:v>
      </x:c>
      <x:c r="M1353" s="43" t="n">
        <x:v>64</x:v>
      </x:c>
      <x:c r="N1353" s="43" t="str">
        <x:v>https://www.stanboroughprimary.org.uk</x:v>
      </x:c>
      <x:c r="O1353" s="43" t="str">
        <x:v>01923673291</x:v>
      </x:c>
      <x:c r="P1353" s="43" t="str"/>
      <x:c r="Q1353" s="43" t="str"/>
      <x:c r="R1353" s="43" t="str">
        <x:v>Queued for contact research</x:v>
      </x:c>
      <x:c r="S1353" s="43" t="str">
        <x:v>Not reviewed</x:v>
      </x:c>
      <x:c r="T1353" s="43" t="str">
        <x:v>Hold</x:v>
      </x:c>
      <x:c r="U1353" s="43" t="str">
        <x:v>No</x:v>
      </x:c>
      <x:c r="V1353" s="44"/>
      <x:c r="W1353" s="43" t="str"/>
      <x:c r="X1353" s="43" t="str"/>
      <x:c r="Y1353" s="43" t="str"/>
      <x:c r="Z1353" s="43" t="str">
        <x:v>https://www.get-information-schools.service.gov.uk/Downloads</x:v>
      </x:c>
    </x:row>
    <x:row r="1354">
      <x:c r="A1354" s="43" t="str">
        <x:v>UK independent</x:v>
      </x:c>
      <x:c r="B1354" s="43" t="str">
        <x:v>100372</x:v>
      </x:c>
      <x:c r="C1354" s="43" t="n">
        <x:f>IF(K1354="Boarding school",30,0)+IF(J1354&gt;=18,20,0)+IF(I1354&lt;=11,10,0)+IF(L1354="Has a sixth form",15,0)+IF(M1354&gt;=200,10,0)+IF(N1354&lt;&gt;"",10,0)</x:f>
        <x:v>20</x:v>
      </x:c>
      <x:c r="D1354" s="43" t="str">
        <x:f>IF(C1354&gt;=85,"A",IF(C1354&gt;=65,"B","C"))</x:f>
        <x:v>C</x:v>
      </x:c>
      <x:c r="E1354" s="43" t="str">
        <x:v>Evergreen Primary School</x:v>
      </x:c>
      <x:c r="F1354" s="43" t="str"/>
      <x:c r="G1354" s="43" t="str"/>
      <x:c r="H1354" s="43" t="str">
        <x:v>SW6 4QT</x:v>
      </x:c>
      <x:c r="I1354" s="43" t="n">
        <x:v>3</x:v>
      </x:c>
      <x:c r="J1354" s="43" t="n">
        <x:v>11</x:v>
      </x:c>
      <x:c r="K1354" s="43" t="str">
        <x:v>No boarders</x:v>
      </x:c>
      <x:c r="L1354" s="43" t="str">
        <x:v>Does not have a sixth form</x:v>
      </x:c>
      <x:c r="M1354" s="43" t="n">
        <x:v>60</x:v>
      </x:c>
      <x:c r="N1354" s="43" t="str">
        <x:v>http://www.evergreenprimary.org.uk</x:v>
      </x:c>
      <x:c r="O1354" s="43" t="str">
        <x:v>07562778537</x:v>
      </x:c>
      <x:c r="P1354" s="43" t="str"/>
      <x:c r="Q1354" s="43" t="str"/>
      <x:c r="R1354" s="43" t="str">
        <x:v>Queued for contact research</x:v>
      </x:c>
      <x:c r="S1354" s="43" t="str">
        <x:v>Not reviewed</x:v>
      </x:c>
      <x:c r="T1354" s="43" t="str">
        <x:v>Hold</x:v>
      </x:c>
      <x:c r="U1354" s="43" t="str">
        <x:v>No</x:v>
      </x:c>
      <x:c r="V1354" s="44"/>
      <x:c r="W1354" s="43" t="str"/>
      <x:c r="X1354" s="43" t="str"/>
      <x:c r="Y1354" s="43" t="str"/>
      <x:c r="Z1354" s="43" t="str">
        <x:v>https://www.get-information-schools.service.gov.uk/Downloads</x:v>
      </x:c>
    </x:row>
    <x:row r="1355">
      <x:c r="A1355" s="43" t="str">
        <x:v>UK independent</x:v>
      </x:c>
      <x:c r="B1355" s="43" t="str">
        <x:v>147966</x:v>
      </x:c>
      <x:c r="C1355" s="43" t="n">
        <x:f>IF(K1355="Boarding school",30,0)+IF(J1355&gt;=18,20,0)+IF(I1355&lt;=11,10,0)+IF(L1355="Has a sixth form",15,0)+IF(M1355&gt;=200,10,0)+IF(N1355&lt;&gt;"",10,0)</x:f>
        <x:v>20</x:v>
      </x:c>
      <x:c r="D1355" s="43" t="str">
        <x:f>IF(C1355&gt;=85,"A",IF(C1355&gt;=65,"B","C"))</x:f>
        <x:v>C</x:v>
      </x:c>
      <x:c r="E1355" s="43" t="str">
        <x:v>Harmony Primary School</x:v>
      </x:c>
      <x:c r="F1355" s="43" t="str"/>
      <x:c r="G1355" s="43" t="str"/>
      <x:c r="H1355" s="43" t="str">
        <x:v>HA1 2LS</x:v>
      </x:c>
      <x:c r="I1355" s="43" t="n">
        <x:v>5</x:v>
      </x:c>
      <x:c r="J1355" s="43" t="n">
        <x:v>11</x:v>
      </x:c>
      <x:c r="K1355" s="43" t="str">
        <x:v>No boarders</x:v>
      </x:c>
      <x:c r="L1355" s="43" t="str">
        <x:v>Does not have a sixth form</x:v>
      </x:c>
      <x:c r="M1355" s="43" t="n">
        <x:v>60</x:v>
      </x:c>
      <x:c r="N1355" s="43" t="str">
        <x:v>https://www.harmonyprimaryschool.co.uk</x:v>
      </x:c>
      <x:c r="O1355" s="43" t="str">
        <x:v>02045185222</x:v>
      </x:c>
      <x:c r="P1355" s="43" t="str"/>
      <x:c r="Q1355" s="43" t="str"/>
      <x:c r="R1355" s="43" t="str">
        <x:v>Queued for contact research</x:v>
      </x:c>
      <x:c r="S1355" s="43" t="str">
        <x:v>Not reviewed</x:v>
      </x:c>
      <x:c r="T1355" s="43" t="str">
        <x:v>Hold</x:v>
      </x:c>
      <x:c r="U1355" s="43" t="str">
        <x:v>No</x:v>
      </x:c>
      <x:c r="V1355" s="44"/>
      <x:c r="W1355" s="43" t="str"/>
      <x:c r="X1355" s="43" t="str"/>
      <x:c r="Y1355" s="43" t="str"/>
      <x:c r="Z1355" s="43" t="str">
        <x:v>https://www.get-information-schools.service.gov.uk/Downloads</x:v>
      </x:c>
    </x:row>
    <x:row r="1356">
      <x:c r="A1356" s="43" t="str">
        <x:v>UK independent</x:v>
      </x:c>
      <x:c r="B1356" s="43" t="str">
        <x:v>135687</x:v>
      </x:c>
      <x:c r="C1356" s="43" t="n">
        <x:f>IF(K1356="Boarding school",30,0)+IF(J1356&gt;=18,20,0)+IF(I1356&lt;=11,10,0)+IF(L1356="Has a sixth form",15,0)+IF(M1356&gt;=200,10,0)+IF(N1356&lt;&gt;"",10,0)</x:f>
        <x:v>20</x:v>
      </x:c>
      <x:c r="D1356" s="43" t="str">
        <x:f>IF(C1356&gt;=85,"A",IF(C1356&gt;=65,"B","C"))</x:f>
        <x:v>C</x:v>
      </x:c>
      <x:c r="E1356" s="43" t="str">
        <x:v>Heartwood House</x:v>
      </x:c>
      <x:c r="F1356" s="43" t="str">
        <x:v>Harrow</x:v>
      </x:c>
      <x:c r="G1356" s="43" t="str">
        <x:v>Middlesex</x:v>
      </x:c>
      <x:c r="H1356" s="43" t="str">
        <x:v>HA1 2BW</x:v>
      </x:c>
      <x:c r="I1356" s="43" t="n">
        <x:v>11</x:v>
      </x:c>
      <x:c r="J1356" s="43" t="n">
        <x:v>17</x:v>
      </x:c>
      <x:c r="K1356" s="43" t="str">
        <x:v>No boarders</x:v>
      </x:c>
      <x:c r="L1356" s="43" t="str">
        <x:v>Does not have a sixth form</x:v>
      </x:c>
      <x:c r="M1356" s="43" t="n">
        <x:v>60</x:v>
      </x:c>
      <x:c r="N1356" s="43" t="str">
        <x:v>https://www.heartwoodhouse.org.uk</x:v>
      </x:c>
      <x:c r="O1356" s="43" t="str">
        <x:v>02088646433</x:v>
      </x:c>
      <x:c r="P1356" s="43" t="str"/>
      <x:c r="Q1356" s="43" t="str"/>
      <x:c r="R1356" s="43" t="str">
        <x:v>Queued for contact research</x:v>
      </x:c>
      <x:c r="S1356" s="43" t="str">
        <x:v>Not reviewed</x:v>
      </x:c>
      <x:c r="T1356" s="43" t="str">
        <x:v>Hold</x:v>
      </x:c>
      <x:c r="U1356" s="43" t="str">
        <x:v>No</x:v>
      </x:c>
      <x:c r="V1356" s="44"/>
      <x:c r="W1356" s="43" t="str"/>
      <x:c r="X1356" s="43" t="str"/>
      <x:c r="Y1356" s="43" t="str"/>
      <x:c r="Z1356" s="43" t="str">
        <x:v>https://www.get-information-schools.service.gov.uk/Downloads</x:v>
      </x:c>
    </x:row>
    <x:row r="1357">
      <x:c r="A1357" s="43" t="str">
        <x:v>UK independent</x:v>
      </x:c>
      <x:c r="B1357" s="43" t="str">
        <x:v>140206</x:v>
      </x:c>
      <x:c r="C1357" s="43" t="n">
        <x:f>IF(K1357="Boarding school",30,0)+IF(J1357&gt;=18,20,0)+IF(I1357&lt;=11,10,0)+IF(L1357="Has a sixth form",15,0)+IF(M1357&gt;=200,10,0)+IF(N1357&lt;&gt;"",10,0)</x:f>
        <x:v>20</x:v>
      </x:c>
      <x:c r="D1357" s="43" t="str">
        <x:f>IF(C1357&gt;=85,"A",IF(C1357&gt;=65,"B","C"))</x:f>
        <x:v>C</x:v>
      </x:c>
      <x:c r="E1357" s="43" t="str">
        <x:v>Immanuel Christian School</x:v>
      </x:c>
      <x:c r="F1357" s="43" t="str">
        <x:v>Westerleigh</x:v>
      </x:c>
      <x:c r="G1357" s="43" t="str">
        <x:v>Avon</x:v>
      </x:c>
      <x:c r="H1357" s="43" t="str">
        <x:v>BS37 8QG</x:v>
      </x:c>
      <x:c r="I1357" s="43" t="n">
        <x:v>4</x:v>
      </x:c>
      <x:c r="J1357" s="43" t="n">
        <x:v>16</x:v>
      </x:c>
      <x:c r="K1357" s="43" t="str">
        <x:v>No boarders</x:v>
      </x:c>
      <x:c r="L1357" s="43" t="str">
        <x:v>Does not have a sixth form</x:v>
      </x:c>
      <x:c r="M1357" s="43" t="n">
        <x:v>60</x:v>
      </x:c>
      <x:c r="N1357" s="43" t="str">
        <x:v>https://www.immanuelschool.org.uk</x:v>
      </x:c>
      <x:c r="O1357" s="43" t="str">
        <x:v>01454311710</x:v>
      </x:c>
      <x:c r="P1357" s="43" t="str"/>
      <x:c r="Q1357" s="43" t="str"/>
      <x:c r="R1357" s="43" t="str">
        <x:v>Queued for contact research</x:v>
      </x:c>
      <x:c r="S1357" s="43" t="str">
        <x:v>Not reviewed</x:v>
      </x:c>
      <x:c r="T1357" s="43" t="str">
        <x:v>Hold</x:v>
      </x:c>
      <x:c r="U1357" s="43" t="str">
        <x:v>No</x:v>
      </x:c>
      <x:c r="V1357" s="44"/>
      <x:c r="W1357" s="43" t="str"/>
      <x:c r="X1357" s="43" t="str"/>
      <x:c r="Y1357" s="43" t="str"/>
      <x:c r="Z1357" s="43" t="str">
        <x:v>https://www.get-information-schools.service.gov.uk/Downloads</x:v>
      </x:c>
    </x:row>
    <x:row r="1358">
      <x:c r="A1358" s="43" t="str">
        <x:v>UK independent</x:v>
      </x:c>
      <x:c r="B1358" s="43" t="str">
        <x:v>110141</x:v>
      </x:c>
      <x:c r="C1358" s="43" t="n">
        <x:f>IF(K1358="Boarding school",30,0)+IF(J1358&gt;=18,20,0)+IF(I1358&lt;=11,10,0)+IF(L1358="Has a sixth form",15,0)+IF(M1358&gt;=200,10,0)+IF(N1358&lt;&gt;"",10,0)</x:f>
        <x:v>20</x:v>
      </x:c>
      <x:c r="D1358" s="43" t="str">
        <x:f>IF(C1358&gt;=85,"A",IF(C1358&gt;=65,"B","C"))</x:f>
        <x:v>C</x:v>
      </x:c>
      <x:c r="E1358" s="43" t="str">
        <x:v>Newbold School</x:v>
      </x:c>
      <x:c r="F1358" s="43" t="str"/>
      <x:c r="G1358" s="43" t="str"/>
      <x:c r="H1358" s="43" t="str">
        <x:v>RG42 4AH</x:v>
      </x:c>
      <x:c r="I1358" s="43" t="n">
        <x:v>2</x:v>
      </x:c>
      <x:c r="J1358" s="43" t="n">
        <x:v>11</x:v>
      </x:c>
      <x:c r="K1358" s="43" t="str">
        <x:v>No boarders</x:v>
      </x:c>
      <x:c r="L1358" s="43" t="str">
        <x:v>Does not have a sixth form</x:v>
      </x:c>
      <x:c r="M1358" s="43" t="n">
        <x:v>60</x:v>
      </x:c>
      <x:c r="N1358" s="43" t="str">
        <x:v>https://www.newboldschool.co.uk</x:v>
      </x:c>
      <x:c r="O1358" s="43" t="str">
        <x:v>01344421088</x:v>
      </x:c>
      <x:c r="P1358" s="43" t="str"/>
      <x:c r="Q1358" s="43" t="str"/>
      <x:c r="R1358" s="43" t="str">
        <x:v>Queued for contact research</x:v>
      </x:c>
      <x:c r="S1358" s="43" t="str">
        <x:v>Not reviewed</x:v>
      </x:c>
      <x:c r="T1358" s="43" t="str">
        <x:v>Hold</x:v>
      </x:c>
      <x:c r="U1358" s="43" t="str">
        <x:v>No</x:v>
      </x:c>
      <x:c r="V1358" s="44"/>
      <x:c r="W1358" s="43" t="str"/>
      <x:c r="X1358" s="43" t="str"/>
      <x:c r="Y1358" s="43" t="str"/>
      <x:c r="Z1358" s="43" t="str">
        <x:v>https://www.get-information-schools.service.gov.uk/Downloads</x:v>
      </x:c>
    </x:row>
    <x:row r="1359">
      <x:c r="A1359" s="43" t="str">
        <x:v>UK independent</x:v>
      </x:c>
      <x:c r="B1359" s="43" t="str">
        <x:v>134595</x:v>
      </x:c>
      <x:c r="C1359" s="43" t="n">
        <x:f>IF(K1359="Boarding school",30,0)+IF(J1359&gt;=18,20,0)+IF(I1359&lt;=11,10,0)+IF(L1359="Has a sixth form",15,0)+IF(M1359&gt;=200,10,0)+IF(N1359&lt;&gt;"",10,0)</x:f>
        <x:v>20</x:v>
      </x:c>
      <x:c r="D1359" s="43" t="str">
        <x:f>IF(C1359&gt;=85,"A",IF(C1359&gt;=65,"B","C"))</x:f>
        <x:v>C</x:v>
      </x:c>
      <x:c r="E1359" s="43" t="str">
        <x:v>Emmanuel Christian School</x:v>
      </x:c>
      <x:c r="F1359" s="43" t="str">
        <x:v>Braunstone</x:v>
      </x:c>
      <x:c r="G1359" s="43" t="str"/>
      <x:c r="H1359" s="43" t="str">
        <x:v>LE3 1QP</x:v>
      </x:c>
      <x:c r="I1359" s="43" t="n">
        <x:v>4</x:v>
      </x:c>
      <x:c r="J1359" s="43" t="n">
        <x:v>16</x:v>
      </x:c>
      <x:c r="K1359" s="43" t="str">
        <x:v>No boarders</x:v>
      </x:c>
      <x:c r="L1359" s="43" t="str">
        <x:v>Does not have a sixth form</x:v>
      </x:c>
      <x:c r="M1359" s="43" t="n">
        <x:v>59</x:v>
      </x:c>
      <x:c r="N1359" s="43" t="str">
        <x:v>https://www.ecsleicester.org.uk</x:v>
      </x:c>
      <x:c r="O1359" s="43" t="str">
        <x:v>01162220792</x:v>
      </x:c>
      <x:c r="P1359" s="43" t="str"/>
      <x:c r="Q1359" s="43" t="str"/>
      <x:c r="R1359" s="43" t="str">
        <x:v>Queued for contact research</x:v>
      </x:c>
      <x:c r="S1359" s="43" t="str">
        <x:v>Not reviewed</x:v>
      </x:c>
      <x:c r="T1359" s="43" t="str">
        <x:v>Hold</x:v>
      </x:c>
      <x:c r="U1359" s="43" t="str">
        <x:v>No</x:v>
      </x:c>
      <x:c r="V1359" s="44"/>
      <x:c r="W1359" s="43" t="str"/>
      <x:c r="X1359" s="43" t="str"/>
      <x:c r="Y1359" s="43" t="str"/>
      <x:c r="Z1359" s="43" t="str">
        <x:v>https://www.get-information-schools.service.gov.uk/Downloads</x:v>
      </x:c>
    </x:row>
    <x:row r="1360">
      <x:c r="A1360" s="43" t="str">
        <x:v>UK independent</x:v>
      </x:c>
      <x:c r="B1360" s="43" t="str">
        <x:v>148475</x:v>
      </x:c>
      <x:c r="C1360" s="43" t="n">
        <x:f>IF(K1360="Boarding school",30,0)+IF(J1360&gt;=18,20,0)+IF(I1360&lt;=11,10,0)+IF(L1360="Has a sixth form",15,0)+IF(M1360&gt;=200,10,0)+IF(N1360&lt;&gt;"",10,0)</x:f>
        <x:v>20</x:v>
      </x:c>
      <x:c r="D1360" s="43" t="str">
        <x:f>IF(C1360&gt;=85,"A",IF(C1360&gt;=65,"B","C"))</x:f>
        <x:v>C</x:v>
      </x:c>
      <x:c r="E1360" s="43" t="str">
        <x:v>Me'or High School</x:v>
      </x:c>
      <x:c r="F1360" s="43" t="str">
        <x:v>Salford</x:v>
      </x:c>
      <x:c r="G1360" s="43" t="str"/>
      <x:c r="H1360" s="43" t="str">
        <x:v>M7 4NA</x:v>
      </x:c>
      <x:c r="I1360" s="43" t="n">
        <x:v>11</x:v>
      </x:c>
      <x:c r="J1360" s="43" t="n">
        <x:v>16</x:v>
      </x:c>
      <x:c r="K1360" s="43" t="str">
        <x:v>No boarders</x:v>
      </x:c>
      <x:c r="L1360" s="43" t="str">
        <x:v>Does not have a sixth form</x:v>
      </x:c>
      <x:c r="M1360" s="43" t="n">
        <x:v>59</x:v>
      </x:c>
      <x:c r="N1360" s="43" t="str">
        <x:v>https://www.meor.co.uk</x:v>
      </x:c>
      <x:c r="O1360" s="43" t="str">
        <x:v>03301228875</x:v>
      </x:c>
      <x:c r="P1360" s="43" t="str"/>
      <x:c r="Q1360" s="43" t="str"/>
      <x:c r="R1360" s="43" t="str">
        <x:v>Queued for contact research</x:v>
      </x:c>
      <x:c r="S1360" s="43" t="str">
        <x:v>Not reviewed</x:v>
      </x:c>
      <x:c r="T1360" s="43" t="str">
        <x:v>Hold</x:v>
      </x:c>
      <x:c r="U1360" s="43" t="str">
        <x:v>No</x:v>
      </x:c>
      <x:c r="V1360" s="44"/>
      <x:c r="W1360" s="43" t="str"/>
      <x:c r="X1360" s="43" t="str"/>
      <x:c r="Y1360" s="43" t="str"/>
      <x:c r="Z1360" s="43" t="str">
        <x:v>https://www.get-information-schools.service.gov.uk/Downloads</x:v>
      </x:c>
    </x:row>
    <x:row r="1361">
      <x:c r="A1361" s="43" t="str">
        <x:v>UK independent</x:v>
      </x:c>
      <x:c r="B1361" s="43" t="str">
        <x:v>101962</x:v>
      </x:c>
      <x:c r="C1361" s="43" t="n">
        <x:f>IF(K1361="Boarding school",30,0)+IF(J1361&gt;=18,20,0)+IF(I1361&lt;=11,10,0)+IF(L1361="Has a sixth form",15,0)+IF(M1361&gt;=200,10,0)+IF(N1361&lt;&gt;"",10,0)</x:f>
        <x:v>20</x:v>
      </x:c>
      <x:c r="D1361" s="43" t="str">
        <x:f>IF(C1361&gt;=85,"A",IF(C1361&gt;=65,"B","C"))</x:f>
        <x:v>C</x:v>
      </x:c>
      <x:c r="E1361" s="43" t="str">
        <x:v>Avenue House School</x:v>
      </x:c>
      <x:c r="F1361" s="43" t="str">
        <x:v>London</x:v>
      </x:c>
      <x:c r="G1361" s="43" t="str"/>
      <x:c r="H1361" s="43" t="str">
        <x:v>W13 8LS</x:v>
      </x:c>
      <x:c r="I1361" s="43" t="n">
        <x:v>4</x:v>
      </x:c>
      <x:c r="J1361" s="43" t="n">
        <x:v>11</x:v>
      </x:c>
      <x:c r="K1361" s="43" t="str">
        <x:v>No boarders</x:v>
      </x:c>
      <x:c r="L1361" s="43" t="str">
        <x:v>Does not have a sixth form</x:v>
      </x:c>
      <x:c r="M1361" s="43" t="n">
        <x:v>58</x:v>
      </x:c>
      <x:c r="N1361" s="43" t="str">
        <x:v>https://www.avenuehouse.org</x:v>
      </x:c>
      <x:c r="O1361" s="43" t="str">
        <x:v>02089989981</x:v>
      </x:c>
      <x:c r="P1361" s="43" t="str"/>
      <x:c r="Q1361" s="43" t="str"/>
      <x:c r="R1361" s="43" t="str">
        <x:v>Queued for contact research</x:v>
      </x:c>
      <x:c r="S1361" s="43" t="str">
        <x:v>Not reviewed</x:v>
      </x:c>
      <x:c r="T1361" s="43" t="str">
        <x:v>Hold</x:v>
      </x:c>
      <x:c r="U1361" s="43" t="str">
        <x:v>No</x:v>
      </x:c>
      <x:c r="V1361" s="44"/>
      <x:c r="W1361" s="43" t="str"/>
      <x:c r="X1361" s="43" t="str"/>
      <x:c r="Y1361" s="43" t="str"/>
      <x:c r="Z1361" s="43" t="str">
        <x:v>https://www.get-information-schools.service.gov.uk/Downloads</x:v>
      </x:c>
    </x:row>
    <x:row r="1362">
      <x:c r="A1362" s="43" t="str">
        <x:v>UK independent</x:v>
      </x:c>
      <x:c r="B1362" s="43" t="str">
        <x:v>123927</x:v>
      </x:c>
      <x:c r="C1362" s="43" t="n">
        <x:f>IF(K1362="Boarding school",30,0)+IF(J1362&gt;=18,20,0)+IF(I1362&lt;=11,10,0)+IF(L1362="Has a sixth form",15,0)+IF(M1362&gt;=200,10,0)+IF(N1362&lt;&gt;"",10,0)</x:f>
        <x:v>20</x:v>
      </x:c>
      <x:c r="D1362" s="43" t="str">
        <x:f>IF(C1362&gt;=85,"A",IF(C1362&gt;=65,"B","C"))</x:f>
        <x:v>C</x:v>
      </x:c>
      <x:c r="E1362" s="43" t="str">
        <x:v>Chard School</x:v>
      </x:c>
      <x:c r="F1362" s="43" t="str">
        <x:v>Chard</x:v>
      </x:c>
      <x:c r="G1362" s="43" t="str">
        <x:v>Somerset</x:v>
      </x:c>
      <x:c r="H1362" s="43" t="str">
        <x:v>TA20 1QA</x:v>
      </x:c>
      <x:c r="I1362" s="43" t="n">
        <x:v>4</x:v>
      </x:c>
      <x:c r="J1362" s="43" t="n">
        <x:v>11</x:v>
      </x:c>
      <x:c r="K1362" s="43" t="str">
        <x:v>No boarders</x:v>
      </x:c>
      <x:c r="L1362" s="43" t="str">
        <x:v>Does not have a sixth form</x:v>
      </x:c>
      <x:c r="M1362" s="43" t="n">
        <x:v>58</x:v>
      </x:c>
      <x:c r="N1362" s="43" t="str">
        <x:v>https://www.chardprep.co.uk</x:v>
      </x:c>
      <x:c r="O1362" s="43" t="str">
        <x:v>0146063234</x:v>
      </x:c>
      <x:c r="P1362" s="43" t="str"/>
      <x:c r="Q1362" s="43" t="str"/>
      <x:c r="R1362" s="43" t="str">
        <x:v>Queued for contact research</x:v>
      </x:c>
      <x:c r="S1362" s="43" t="str">
        <x:v>Not reviewed</x:v>
      </x:c>
      <x:c r="T1362" s="43" t="str">
        <x:v>Hold</x:v>
      </x:c>
      <x:c r="U1362" s="43" t="str">
        <x:v>No</x:v>
      </x:c>
      <x:c r="V1362" s="44"/>
      <x:c r="W1362" s="43" t="str"/>
      <x:c r="X1362" s="43" t="str"/>
      <x:c r="Y1362" s="43" t="str"/>
      <x:c r="Z1362" s="43" t="str">
        <x:v>https://www.get-information-schools.service.gov.uk/Downloads</x:v>
      </x:c>
    </x:row>
    <x:row r="1363">
      <x:c r="A1363" s="43" t="str">
        <x:v>UK independent</x:v>
      </x:c>
      <x:c r="B1363" s="43" t="str">
        <x:v>131743</x:v>
      </x:c>
      <x:c r="C1363" s="43" t="n">
        <x:f>IF(K1363="Boarding school",30,0)+IF(J1363&gt;=18,20,0)+IF(I1363&lt;=11,10,0)+IF(L1363="Has a sixth form",15,0)+IF(M1363&gt;=200,10,0)+IF(N1363&lt;&gt;"",10,0)</x:f>
        <x:v>20</x:v>
      </x:c>
      <x:c r="D1363" s="43" t="str">
        <x:f>IF(C1363&gt;=85,"A",IF(C1363&gt;=65,"B","C"))</x:f>
        <x:v>C</x:v>
      </x:c>
      <x:c r="E1363" s="43" t="str">
        <x:v>Emmaus School</x:v>
      </x:c>
      <x:c r="F1363" s="43" t="str">
        <x:v>Trowbridge</x:v>
      </x:c>
      <x:c r="G1363" s="43" t="str">
        <x:v>Wiltshire</x:v>
      </x:c>
      <x:c r="H1363" s="43" t="str">
        <x:v>BA14 6NZ</x:v>
      </x:c>
      <x:c r="I1363" s="43" t="n">
        <x:v>4</x:v>
      </x:c>
      <x:c r="J1363" s="43" t="n">
        <x:v>16</x:v>
      </x:c>
      <x:c r="K1363" s="43" t="str">
        <x:v>No boarders</x:v>
      </x:c>
      <x:c r="L1363" s="43" t="str">
        <x:v>Does not have a sixth form</x:v>
      </x:c>
      <x:c r="M1363" s="43" t="n">
        <x:v>58</x:v>
      </x:c>
      <x:c r="N1363" s="43" t="str">
        <x:v>https://www.emmaus-school.org.uk</x:v>
      </x:c>
      <x:c r="O1363" s="43" t="str">
        <x:v>01225782684</x:v>
      </x:c>
      <x:c r="P1363" s="43" t="str"/>
      <x:c r="Q1363" s="43" t="str"/>
      <x:c r="R1363" s="43" t="str">
        <x:v>Queued for contact research</x:v>
      </x:c>
      <x:c r="S1363" s="43" t="str">
        <x:v>Not reviewed</x:v>
      </x:c>
      <x:c r="T1363" s="43" t="str">
        <x:v>Hold</x:v>
      </x:c>
      <x:c r="U1363" s="43" t="str">
        <x:v>No</x:v>
      </x:c>
      <x:c r="V1363" s="44"/>
      <x:c r="W1363" s="43" t="str"/>
      <x:c r="X1363" s="43" t="str"/>
      <x:c r="Y1363" s="43" t="str"/>
      <x:c r="Z1363" s="43" t="str">
        <x:v>https://www.get-information-schools.service.gov.uk/Downloads</x:v>
      </x:c>
    </x:row>
    <x:row r="1364">
      <x:c r="A1364" s="43" t="str">
        <x:v>UK independent</x:v>
      </x:c>
      <x:c r="B1364" s="43" t="str">
        <x:v>147171</x:v>
      </x:c>
      <x:c r="C1364" s="43" t="n">
        <x:f>IF(K1364="Boarding school",30,0)+IF(J1364&gt;=18,20,0)+IF(I1364&lt;=11,10,0)+IF(L1364="Has a sixth form",15,0)+IF(M1364&gt;=200,10,0)+IF(N1364&lt;&gt;"",10,0)</x:f>
        <x:v>20</x:v>
      </x:c>
      <x:c r="D1364" s="43" t="str">
        <x:f>IF(C1364&gt;=85,"A",IF(C1364&gt;=65,"B","C"))</x:f>
        <x:v>C</x:v>
      </x:c>
      <x:c r="E1364" s="43" t="str">
        <x:v>Rida Boys High School</x:v>
      </x:c>
      <x:c r="F1364" s="43" t="str">
        <x:v>Dewsbury</x:v>
      </x:c>
      <x:c r="G1364" s="43" t="str">
        <x:v>West Yorkshire</x:v>
      </x:c>
      <x:c r="H1364" s="43" t="str">
        <x:v>WF12 9NQ</x:v>
      </x:c>
      <x:c r="I1364" s="43" t="n">
        <x:v>11</x:v>
      </x:c>
      <x:c r="J1364" s="43" t="n">
        <x:v>16</x:v>
      </x:c>
      <x:c r="K1364" s="43" t="str">
        <x:v>No boarders</x:v>
      </x:c>
      <x:c r="L1364" s="43" t="str">
        <x:v>Does not have a sixth form</x:v>
      </x:c>
      <x:c r="M1364" s="43" t="n">
        <x:v>58</x:v>
      </x:c>
      <x:c r="N1364" s="43" t="str">
        <x:v>https://www.rbhs.org.uk</x:v>
      </x:c>
      <x:c r="O1364" s="43" t="str">
        <x:v>07308130978</x:v>
      </x:c>
      <x:c r="P1364" s="43" t="str"/>
      <x:c r="Q1364" s="43" t="str"/>
      <x:c r="R1364" s="43" t="str">
        <x:v>Queued for contact research</x:v>
      </x:c>
      <x:c r="S1364" s="43" t="str">
        <x:v>Not reviewed</x:v>
      </x:c>
      <x:c r="T1364" s="43" t="str">
        <x:v>Hold</x:v>
      </x:c>
      <x:c r="U1364" s="43" t="str">
        <x:v>No</x:v>
      </x:c>
      <x:c r="V1364" s="44"/>
      <x:c r="W1364" s="43" t="str"/>
      <x:c r="X1364" s="43" t="str"/>
      <x:c r="Y1364" s="43" t="str"/>
      <x:c r="Z1364" s="43" t="str">
        <x:v>https://www.get-information-schools.service.gov.uk/Downloads</x:v>
      </x:c>
    </x:row>
    <x:row r="1365">
      <x:c r="A1365" s="43" t="str">
        <x:v>UK independent</x:v>
      </x:c>
      <x:c r="B1365" s="43" t="str">
        <x:v>148252</x:v>
      </x:c>
      <x:c r="C1365" s="43" t="n">
        <x:f>IF(K1365="Boarding school",30,0)+IF(J1365&gt;=18,20,0)+IF(I1365&lt;=11,10,0)+IF(L1365="Has a sixth form",15,0)+IF(M1365&gt;=200,10,0)+IF(N1365&lt;&gt;"",10,0)</x:f>
        <x:v>20</x:v>
      </x:c>
      <x:c r="D1365" s="43" t="str">
        <x:f>IF(C1365&gt;=85,"A",IF(C1365&gt;=65,"B","C"))</x:f>
        <x:v>C</x:v>
      </x:c>
      <x:c r="E1365" s="43" t="str">
        <x:v>WV2 Education</x:v>
      </x:c>
      <x:c r="F1365" s="43" t="str">
        <x:v>Willenhall</x:v>
      </x:c>
      <x:c r="G1365" s="43" t="str">
        <x:v>West Midlands</x:v>
      </x:c>
      <x:c r="H1365" s="43" t="str">
        <x:v>WV13 2DA</x:v>
      </x:c>
      <x:c r="I1365" s="43" t="n">
        <x:v>8</x:v>
      </x:c>
      <x:c r="J1365" s="43" t="n">
        <x:v>16</x:v>
      </x:c>
      <x:c r="K1365" s="43" t="str">
        <x:v>No boarders</x:v>
      </x:c>
      <x:c r="L1365" s="43" t="str">
        <x:v>Does not have a sixth form</x:v>
      </x:c>
      <x:c r="M1365" s="43" t="n">
        <x:v>56</x:v>
      </x:c>
      <x:c r="N1365" s="43" t="str">
        <x:v>https://www.wv2.co</x:v>
      </x:c>
      <x:c r="O1365" s="43" t="str">
        <x:v>01902240699</x:v>
      </x:c>
      <x:c r="P1365" s="43" t="str"/>
      <x:c r="Q1365" s="43" t="str"/>
      <x:c r="R1365" s="43" t="str">
        <x:v>Queued for contact research</x:v>
      </x:c>
      <x:c r="S1365" s="43" t="str">
        <x:v>Not reviewed</x:v>
      </x:c>
      <x:c r="T1365" s="43" t="str">
        <x:v>Hold</x:v>
      </x:c>
      <x:c r="U1365" s="43" t="str">
        <x:v>No</x:v>
      </x:c>
      <x:c r="V1365" s="44"/>
      <x:c r="W1365" s="43" t="str"/>
      <x:c r="X1365" s="43" t="str"/>
      <x:c r="Y1365" s="43" t="str"/>
      <x:c r="Z1365" s="43" t="str">
        <x:v>https://www.get-information-schools.service.gov.uk/Downloads</x:v>
      </x:c>
    </x:row>
    <x:row r="1366">
      <x:c r="A1366" s="43" t="str">
        <x:v>UK independent</x:v>
      </x:c>
      <x:c r="B1366" s="43" t="str">
        <x:v>142931</x:v>
      </x:c>
      <x:c r="C1366" s="43" t="n">
        <x:f>IF(K1366="Boarding school",30,0)+IF(J1366&gt;=18,20,0)+IF(I1366&lt;=11,10,0)+IF(L1366="Has a sixth form",15,0)+IF(M1366&gt;=200,10,0)+IF(N1366&lt;&gt;"",10,0)</x:f>
        <x:v>20</x:v>
      </x:c>
      <x:c r="D1366" s="43" t="str">
        <x:f>IF(C1366&gt;=85,"A",IF(C1366&gt;=65,"B","C"))</x:f>
        <x:v>C</x:v>
      </x:c>
      <x:c r="E1366" s="43" t="str">
        <x:v>Dar Ul Madinah</x:v>
      </x:c>
      <x:c r="F1366" s="43" t="str"/>
      <x:c r="G1366" s="43" t="str"/>
      <x:c r="H1366" s="43" t="str">
        <x:v>BB2 6HD</x:v>
      </x:c>
      <x:c r="I1366" s="43" t="n">
        <x:v>5</x:v>
      </x:c>
      <x:c r="J1366" s="43" t="n">
        <x:v>11</x:v>
      </x:c>
      <x:c r="K1366" s="43" t="str">
        <x:v>No boarders</x:v>
      </x:c>
      <x:c r="L1366" s="43" t="str">
        <x:v>Does not have a sixth form</x:v>
      </x:c>
      <x:c r="M1366" s="43" t="n">
        <x:v>55</x:v>
      </x:c>
      <x:c r="N1366" s="43" t="str">
        <x:v>https://www.dmblackburn.co.uk</x:v>
      </x:c>
      <x:c r="O1366" s="43" t="str">
        <x:v>01254262823</x:v>
      </x:c>
      <x:c r="P1366" s="43" t="str"/>
      <x:c r="Q1366" s="43" t="str"/>
      <x:c r="R1366" s="43" t="str">
        <x:v>Queued for contact research</x:v>
      </x:c>
      <x:c r="S1366" s="43" t="str">
        <x:v>Not reviewed</x:v>
      </x:c>
      <x:c r="T1366" s="43" t="str">
        <x:v>Hold</x:v>
      </x:c>
      <x:c r="U1366" s="43" t="str">
        <x:v>No</x:v>
      </x:c>
      <x:c r="V1366" s="44"/>
      <x:c r="W1366" s="43" t="str"/>
      <x:c r="X1366" s="43" t="str"/>
      <x:c r="Y1366" s="43" t="str"/>
      <x:c r="Z1366" s="43" t="str">
        <x:v>https://www.get-information-schools.service.gov.uk/Downloads</x:v>
      </x:c>
    </x:row>
    <x:row r="1367">
      <x:c r="A1367" s="43" t="str">
        <x:v>UK independent</x:v>
      </x:c>
      <x:c r="B1367" s="43" t="str">
        <x:v>113024</x:v>
      </x:c>
      <x:c r="C1367" s="43" t="n">
        <x:f>IF(K1367="Boarding school",30,0)+IF(J1367&gt;=18,20,0)+IF(I1367&lt;=11,10,0)+IF(L1367="Has a sixth form",15,0)+IF(M1367&gt;=200,10,0)+IF(N1367&lt;&gt;"",10,0)</x:f>
        <x:v>20</x:v>
      </x:c>
      <x:c r="D1367" s="43" t="str">
        <x:f>IF(C1367&gt;=85,"A",IF(C1367&gt;=65,"B","C"))</x:f>
        <x:v>C</x:v>
      </x:c>
      <x:c r="E1367" s="43" t="str">
        <x:v>Emmanuel School (Derby) Limited</x:v>
      </x:c>
      <x:c r="F1367" s="43" t="str">
        <x:v>Derby</x:v>
      </x:c>
      <x:c r="G1367" s="43" t="str">
        <x:v>Derbyshire</x:v>
      </x:c>
      <x:c r="H1367" s="43" t="str">
        <x:v>DE22 1FP</x:v>
      </x:c>
      <x:c r="I1367" s="43" t="n">
        <x:v>3</x:v>
      </x:c>
      <x:c r="J1367" s="43" t="n">
        <x:v>11</x:v>
      </x:c>
      <x:c r="K1367" s="43" t="str">
        <x:v>No boarders</x:v>
      </x:c>
      <x:c r="L1367" s="43" t="str">
        <x:v>Does not have a sixth form</x:v>
      </x:c>
      <x:c r="M1367" s="43" t="n">
        <x:v>55</x:v>
      </x:c>
      <x:c r="N1367" s="43" t="str">
        <x:v>https://www.emmanuelschoolderby.org.uk</x:v>
      </x:c>
      <x:c r="O1367" s="43" t="str">
        <x:v>01332340505</x:v>
      </x:c>
      <x:c r="P1367" s="43" t="str"/>
      <x:c r="Q1367" s="43" t="str"/>
      <x:c r="R1367" s="43" t="str">
        <x:v>Queued for contact research</x:v>
      </x:c>
      <x:c r="S1367" s="43" t="str">
        <x:v>Not reviewed</x:v>
      </x:c>
      <x:c r="T1367" s="43" t="str">
        <x:v>Hold</x:v>
      </x:c>
      <x:c r="U1367" s="43" t="str">
        <x:v>No</x:v>
      </x:c>
      <x:c r="V1367" s="44"/>
      <x:c r="W1367" s="43" t="str"/>
      <x:c r="X1367" s="43" t="str"/>
      <x:c r="Y1367" s="43" t="str"/>
      <x:c r="Z1367" s="43" t="str">
        <x:v>https://www.get-information-schools.service.gov.uk/Downloads</x:v>
      </x:c>
    </x:row>
    <x:row r="1368">
      <x:c r="A1368" s="43" t="str">
        <x:v>UK independent</x:v>
      </x:c>
      <x:c r="B1368" s="43" t="str">
        <x:v>123279</x:v>
      </x:c>
      <x:c r="C1368" s="43" t="n">
        <x:f>IF(K1368="Boarding school",30,0)+IF(J1368&gt;=18,20,0)+IF(I1368&lt;=11,10,0)+IF(L1368="Has a sixth form",15,0)+IF(M1368&gt;=200,10,0)+IF(N1368&lt;&gt;"",10,0)</x:f>
        <x:v>20</x:v>
      </x:c>
      <x:c r="D1368" s="43" t="str">
        <x:f>IF(C1368&gt;=85,"A",IF(C1368&gt;=65,"B","C"))</x:f>
        <x:v>C</x:v>
      </x:c>
      <x:c r="E1368" s="43" t="str">
        <x:v>St John's Priory School</x:v>
      </x:c>
      <x:c r="F1368" s="43" t="str">
        <x:v>Banbury</x:v>
      </x:c>
      <x:c r="G1368" s="43" t="str">
        <x:v>Oxfordshire</x:v>
      </x:c>
      <x:c r="H1368" s="43" t="str">
        <x:v>OX16 5HX</x:v>
      </x:c>
      <x:c r="I1368" s="43" t="n">
        <x:v>3</x:v>
      </x:c>
      <x:c r="J1368" s="43" t="n">
        <x:v>11</x:v>
      </x:c>
      <x:c r="K1368" s="43" t="str">
        <x:v>No boarders</x:v>
      </x:c>
      <x:c r="L1368" s="43" t="str">
        <x:v>Does not have a sixth form</x:v>
      </x:c>
      <x:c r="M1368" s="43" t="n">
        <x:v>55</x:v>
      </x:c>
      <x:c r="N1368" s="43" t="str">
        <x:v>https://www.stjohnspriory.co.uk</x:v>
      </x:c>
      <x:c r="O1368" s="43" t="str">
        <x:v>01295259607</x:v>
      </x:c>
      <x:c r="P1368" s="43" t="str"/>
      <x:c r="Q1368" s="43" t="str"/>
      <x:c r="R1368" s="43" t="str">
        <x:v>Queued for contact research</x:v>
      </x:c>
      <x:c r="S1368" s="43" t="str">
        <x:v>Not reviewed</x:v>
      </x:c>
      <x:c r="T1368" s="43" t="str">
        <x:v>Hold</x:v>
      </x:c>
      <x:c r="U1368" s="43" t="str">
        <x:v>No</x:v>
      </x:c>
      <x:c r="V1368" s="44"/>
      <x:c r="W1368" s="43" t="str"/>
      <x:c r="X1368" s="43" t="str"/>
      <x:c r="Y1368" s="43" t="str"/>
      <x:c r="Z1368" s="43" t="str">
        <x:v>https://www.get-information-schools.service.gov.uk/Downloads</x:v>
      </x:c>
    </x:row>
    <x:row r="1369">
      <x:c r="A1369" s="43" t="str">
        <x:v>UK independent</x:v>
      </x:c>
      <x:c r="B1369" s="43" t="str">
        <x:v>100538</x:v>
      </x:c>
      <x:c r="C1369" s="43" t="n">
        <x:f>IF(K1369="Boarding school",30,0)+IF(J1369&gt;=18,20,0)+IF(I1369&lt;=11,10,0)+IF(L1369="Has a sixth form",15,0)+IF(M1369&gt;=200,10,0)+IF(N1369&lt;&gt;"",10,0)</x:f>
        <x:v>20</x:v>
      </x:c>
      <x:c r="D1369" s="43" t="str">
        <x:f>IF(C1369&gt;=85,"A",IF(C1369&gt;=65,"B","C"))</x:f>
        <x:v>C</x:v>
      </x:c>
      <x:c r="E1369" s="43" t="str">
        <x:v>Cameron Vale School</x:v>
      </x:c>
      <x:c r="F1369" s="43" t="str">
        <x:v>London</x:v>
      </x:c>
      <x:c r="G1369" s="43" t="str"/>
      <x:c r="H1369" s="43" t="str">
        <x:v>SW3 6AH</x:v>
      </x:c>
      <x:c r="I1369" s="43" t="n">
        <x:v>2</x:v>
      </x:c>
      <x:c r="J1369" s="43" t="n">
        <x:v>11</x:v>
      </x:c>
      <x:c r="K1369" s="43" t="str">
        <x:v>No boarders</x:v>
      </x:c>
      <x:c r="L1369" s="43" t="str">
        <x:v>Does not have a sixth form</x:v>
      </x:c>
      <x:c r="M1369" s="43" t="n">
        <x:v>54</x:v>
      </x:c>
      <x:c r="N1369" s="43" t="str">
        <x:v>https://www.cameronvaleschool.com/</x:v>
      </x:c>
      <x:c r="O1369" s="43" t="str">
        <x:v>02073524040</x:v>
      </x:c>
      <x:c r="P1369" s="43" t="str"/>
      <x:c r="Q1369" s="43" t="str"/>
      <x:c r="R1369" s="43" t="str">
        <x:v>Queued for contact research</x:v>
      </x:c>
      <x:c r="S1369" s="43" t="str">
        <x:v>Not reviewed</x:v>
      </x:c>
      <x:c r="T1369" s="43" t="str">
        <x:v>Hold</x:v>
      </x:c>
      <x:c r="U1369" s="43" t="str">
        <x:v>No</x:v>
      </x:c>
      <x:c r="V1369" s="44"/>
      <x:c r="W1369" s="43" t="str"/>
      <x:c r="X1369" s="43" t="str"/>
      <x:c r="Y1369" s="43" t="str"/>
      <x:c r="Z1369" s="43" t="str">
        <x:v>https://www.get-information-schools.service.gov.uk/Downloads</x:v>
      </x:c>
    </x:row>
    <x:row r="1370">
      <x:c r="A1370" s="43" t="str">
        <x:v>UK independent</x:v>
      </x:c>
      <x:c r="B1370" s="43" t="str">
        <x:v>150669</x:v>
      </x:c>
      <x:c r="C1370" s="43" t="n">
        <x:f>IF(K1370="Boarding school",30,0)+IF(J1370&gt;=18,20,0)+IF(I1370&lt;=11,10,0)+IF(L1370="Has a sixth form",15,0)+IF(M1370&gt;=200,10,0)+IF(N1370&lt;&gt;"",10,0)</x:f>
        <x:v>20</x:v>
      </x:c>
      <x:c r="D1370" s="43" t="str">
        <x:f>IF(C1370&gt;=85,"A",IF(C1370&gt;=65,"B","C"))</x:f>
        <x:v>C</x:v>
      </x:c>
      <x:c r="E1370" s="43" t="str">
        <x:v>Ellen House Secondary</x:v>
      </x:c>
      <x:c r="F1370" s="43" t="str">
        <x:v>Oldham</x:v>
      </x:c>
      <x:c r="G1370" s="43" t="str"/>
      <x:c r="H1370" s="43" t="str">
        <x:v>OL9 6QH</x:v>
      </x:c>
      <x:c r="I1370" s="43" t="n">
        <x:v>11</x:v>
      </x:c>
      <x:c r="J1370" s="43" t="n">
        <x:v>16</x:v>
      </x:c>
      <x:c r="K1370" s="43" t="str">
        <x:v>No boarders</x:v>
      </x:c>
      <x:c r="L1370" s="43" t="str">
        <x:v>Does not have a sixth form</x:v>
      </x:c>
      <x:c r="M1370" s="43" t="n">
        <x:v>54</x:v>
      </x:c>
      <x:c r="N1370" s="43" t="str">
        <x:v>https://ellenhousesecondary.org/</x:v>
      </x:c>
      <x:c r="O1370" s="43" t="str">
        <x:v>01613021216</x:v>
      </x:c>
      <x:c r="P1370" s="43" t="str"/>
      <x:c r="Q1370" s="43" t="str"/>
      <x:c r="R1370" s="43" t="str">
        <x:v>Queued for contact research</x:v>
      </x:c>
      <x:c r="S1370" s="43" t="str">
        <x:v>Not reviewed</x:v>
      </x:c>
      <x:c r="T1370" s="43" t="str">
        <x:v>Hold</x:v>
      </x:c>
      <x:c r="U1370" s="43" t="str">
        <x:v>No</x:v>
      </x:c>
      <x:c r="V1370" s="44"/>
      <x:c r="W1370" s="43" t="str"/>
      <x:c r="X1370" s="43" t="str"/>
      <x:c r="Y1370" s="43" t="str"/>
      <x:c r="Z1370" s="43" t="str">
        <x:v>https://www.get-information-schools.service.gov.uk/Downloads</x:v>
      </x:c>
    </x:row>
    <x:row r="1371">
      <x:c r="A1371" s="43" t="str">
        <x:v>UK independent</x:v>
      </x:c>
      <x:c r="B1371" s="43" t="str">
        <x:v>117654</x:v>
      </x:c>
      <x:c r="C1371" s="43" t="n">
        <x:f>IF(K1371="Boarding school",30,0)+IF(J1371&gt;=18,20,0)+IF(I1371&lt;=11,10,0)+IF(L1371="Has a sixth form",15,0)+IF(M1371&gt;=200,10,0)+IF(N1371&lt;&gt;"",10,0)</x:f>
        <x:v>20</x:v>
      </x:c>
      <x:c r="D1371" s="43" t="str">
        <x:f>IF(C1371&gt;=85,"A",IF(C1371&gt;=65,"B","C"))</x:f>
        <x:v>C</x:v>
      </x:c>
      <x:c r="E1371" s="43" t="str">
        <x:v>Gurukula - The Hare Krishna Primary School</x:v>
      </x:c>
      <x:c r="F1371" s="43" t="str">
        <x:v>Hertfordshire</x:v>
      </x:c>
      <x:c r="G1371" s="43" t="str">
        <x:v>Hertfordshire</x:v>
      </x:c>
      <x:c r="H1371" s="43" t="str">
        <x:v>WD25 8HB</x:v>
      </x:c>
      <x:c r="I1371" s="43" t="n">
        <x:v>4</x:v>
      </x:c>
      <x:c r="J1371" s="43" t="n">
        <x:v>11</x:v>
      </x:c>
      <x:c r="K1371" s="43" t="str">
        <x:v>No boarders</x:v>
      </x:c>
      <x:c r="L1371" s="43" t="str">
        <x:v>Does not have a sixth form</x:v>
      </x:c>
      <x:c r="M1371" s="43" t="n">
        <x:v>54</x:v>
      </x:c>
      <x:c r="N1371" s="43" t="str">
        <x:v>https://gurukula.org.uk</x:v>
      </x:c>
      <x:c r="O1371" s="43" t="str">
        <x:v>01923851005</x:v>
      </x:c>
      <x:c r="P1371" s="43" t="str"/>
      <x:c r="Q1371" s="43" t="str"/>
      <x:c r="R1371" s="43" t="str">
        <x:v>Queued for contact research</x:v>
      </x:c>
      <x:c r="S1371" s="43" t="str">
        <x:v>Not reviewed</x:v>
      </x:c>
      <x:c r="T1371" s="43" t="str">
        <x:v>Hold</x:v>
      </x:c>
      <x:c r="U1371" s="43" t="str">
        <x:v>No</x:v>
      </x:c>
      <x:c r="V1371" s="44"/>
      <x:c r="W1371" s="43" t="str"/>
      <x:c r="X1371" s="43" t="str"/>
      <x:c r="Y1371" s="43" t="str"/>
      <x:c r="Z1371" s="43" t="str">
        <x:v>https://www.get-information-schools.service.gov.uk/Downloads</x:v>
      </x:c>
    </x:row>
    <x:row r="1372">
      <x:c r="A1372" s="43" t="str">
        <x:v>UK independent</x:v>
      </x:c>
      <x:c r="B1372" s="43" t="str">
        <x:v>103111</x:v>
      </x:c>
      <x:c r="C1372" s="43" t="n">
        <x:f>IF(K1372="Boarding school",30,0)+IF(J1372&gt;=18,20,0)+IF(I1372&lt;=11,10,0)+IF(L1372="Has a sixth form",15,0)+IF(M1372&gt;=200,10,0)+IF(N1372&lt;&gt;"",10,0)</x:f>
        <x:v>20</x:v>
      </x:c>
      <x:c r="D1372" s="43" t="str">
        <x:f>IF(C1372&gt;=85,"A",IF(C1372&gt;=65,"B","C"))</x:f>
        <x:v>C</x:v>
      </x:c>
      <x:c r="E1372" s="43" t="str">
        <x:v>Hyland House School</x:v>
      </x:c>
      <x:c r="F1372" s="43" t="str">
        <x:v>London</x:v>
      </x:c>
      <x:c r="G1372" s="43" t="str"/>
      <x:c r="H1372" s="43" t="str">
        <x:v>N17 9AB</x:v>
      </x:c>
      <x:c r="I1372" s="43" t="n">
        <x:v>2</x:v>
      </x:c>
      <x:c r="J1372" s="43" t="n">
        <x:v>11</x:v>
      </x:c>
      <x:c r="K1372" s="43" t="str">
        <x:v>No boarders</x:v>
      </x:c>
      <x:c r="L1372" s="43" t="str">
        <x:v>Does not have a sixth form</x:v>
      </x:c>
      <x:c r="M1372" s="43" t="n">
        <x:v>53</x:v>
      </x:c>
      <x:c r="N1372" s="43" t="str">
        <x:v>https://www.hylandhouseschool.org</x:v>
      </x:c>
      <x:c r="O1372" s="43" t="str">
        <x:v>02085204186</x:v>
      </x:c>
      <x:c r="P1372" s="43" t="str"/>
      <x:c r="Q1372" s="43" t="str"/>
      <x:c r="R1372" s="43" t="str">
        <x:v>Queued for contact research</x:v>
      </x:c>
      <x:c r="S1372" s="43" t="str">
        <x:v>Not reviewed</x:v>
      </x:c>
      <x:c r="T1372" s="43" t="str">
        <x:v>Hold</x:v>
      </x:c>
      <x:c r="U1372" s="43" t="str">
        <x:v>No</x:v>
      </x:c>
      <x:c r="V1372" s="44"/>
      <x:c r="W1372" s="43" t="str"/>
      <x:c r="X1372" s="43" t="str"/>
      <x:c r="Y1372" s="43" t="str"/>
      <x:c r="Z1372" s="43" t="str">
        <x:v>https://www.get-information-schools.service.gov.uk/Downloads</x:v>
      </x:c>
    </x:row>
    <x:row r="1373">
      <x:c r="A1373" s="43" t="str">
        <x:v>UK independent</x:v>
      </x:c>
      <x:c r="B1373" s="43" t="str">
        <x:v>135729</x:v>
      </x:c>
      <x:c r="C1373" s="43" t="n">
        <x:f>IF(K1373="Boarding school",30,0)+IF(J1373&gt;=18,20,0)+IF(I1373&lt;=11,10,0)+IF(L1373="Has a sixth form",15,0)+IF(M1373&gt;=200,10,0)+IF(N1373&lt;&gt;"",10,0)</x:f>
        <x:v>20</x:v>
      </x:c>
      <x:c r="D1373" s="43" t="str">
        <x:f>IF(C1373&gt;=85,"A",IF(C1373&gt;=65,"B","C"))</x:f>
        <x:v>C</x:v>
      </x:c>
      <x:c r="E1373" s="43" t="str">
        <x:v>London Vocational Ballet School</x:v>
      </x:c>
      <x:c r="F1373" s="43" t="str">
        <x:v>London</x:v>
      </x:c>
      <x:c r="G1373" s="43" t="str"/>
      <x:c r="H1373" s="43" t="str">
        <x:v>W12 8AP</x:v>
      </x:c>
      <x:c r="I1373" s="43" t="n">
        <x:v>10</x:v>
      </x:c>
      <x:c r="J1373" s="43" t="n">
        <x:v>16</x:v>
      </x:c>
      <x:c r="K1373" s="43" t="str">
        <x:v>No boarders</x:v>
      </x:c>
      <x:c r="L1373" s="43" t="str">
        <x:v>Does not have a sixth form</x:v>
      </x:c>
      <x:c r="M1373" s="43" t="n">
        <x:v>53</x:v>
      </x:c>
      <x:c r="N1373" s="43" t="str">
        <x:v>https://www.londonvocationalballetschool.com</x:v>
      </x:c>
      <x:c r="O1373" s="43" t="str">
        <x:v>02087460412</x:v>
      </x:c>
      <x:c r="P1373" s="43" t="str"/>
      <x:c r="Q1373" s="43" t="str"/>
      <x:c r="R1373" s="43" t="str">
        <x:v>Queued for contact research</x:v>
      </x:c>
      <x:c r="S1373" s="43" t="str">
        <x:v>Not reviewed</x:v>
      </x:c>
      <x:c r="T1373" s="43" t="str">
        <x:v>Hold</x:v>
      </x:c>
      <x:c r="U1373" s="43" t="str">
        <x:v>No</x:v>
      </x:c>
      <x:c r="V1373" s="44"/>
      <x:c r="W1373" s="43" t="str"/>
      <x:c r="X1373" s="43" t="str"/>
      <x:c r="Y1373" s="43" t="str"/>
      <x:c r="Z1373" s="43" t="str">
        <x:v>https://www.get-information-schools.service.gov.uk/Downloads</x:v>
      </x:c>
    </x:row>
    <x:row r="1374">
      <x:c r="A1374" s="43" t="str">
        <x:v>UK independent</x:v>
      </x:c>
      <x:c r="B1374" s="43" t="str">
        <x:v>115799</x:v>
      </x:c>
      <x:c r="C1374" s="43" t="n">
        <x:f>IF(K1374="Boarding school",30,0)+IF(J1374&gt;=18,20,0)+IF(I1374&lt;=11,10,0)+IF(L1374="Has a sixth form",15,0)+IF(M1374&gt;=200,10,0)+IF(N1374&lt;&gt;"",10,0)</x:f>
        <x:v>20</x:v>
      </x:c>
      <x:c r="D1374" s="43" t="str">
        <x:f>IF(C1374&gt;=85,"A",IF(C1374&gt;=65,"B","C"))</x:f>
        <x:v>C</x:v>
      </x:c>
      <x:c r="E1374" s="43" t="str">
        <x:v>Dean Close Airthrie</x:v>
      </x:c>
      <x:c r="F1374" s="43" t="str">
        <x:v>CHELTENHAM</x:v>
      </x:c>
      <x:c r="G1374" s="43" t="str">
        <x:v>Gloucestershire</x:v>
      </x:c>
      <x:c r="H1374" s="43" t="str">
        <x:v>GL50 2NY</x:v>
      </x:c>
      <x:c r="I1374" s="43" t="n">
        <x:v>3</x:v>
      </x:c>
      <x:c r="J1374" s="43" t="n">
        <x:v>11</x:v>
      </x:c>
      <x:c r="K1374" s="43" t="str">
        <x:v>No boarders</x:v>
      </x:c>
      <x:c r="L1374" s="43" t="str">
        <x:v>Does not have a sixth form</x:v>
      </x:c>
      <x:c r="M1374" s="43" t="n">
        <x:v>52</x:v>
      </x:c>
      <x:c r="N1374" s="43" t="str">
        <x:v>https://www.deancloseairthrie.org.uk</x:v>
      </x:c>
      <x:c r="O1374" s="43" t="str">
        <x:v>441242512837</x:v>
      </x:c>
      <x:c r="P1374" s="43" t="str"/>
      <x:c r="Q1374" s="43" t="str"/>
      <x:c r="R1374" s="43" t="str">
        <x:v>Queued for contact research</x:v>
      </x:c>
      <x:c r="S1374" s="43" t="str">
        <x:v>Not reviewed</x:v>
      </x:c>
      <x:c r="T1374" s="43" t="str">
        <x:v>Hold</x:v>
      </x:c>
      <x:c r="U1374" s="43" t="str">
        <x:v>No</x:v>
      </x:c>
      <x:c r="V1374" s="44"/>
      <x:c r="W1374" s="43" t="str"/>
      <x:c r="X1374" s="43" t="str"/>
      <x:c r="Y1374" s="43" t="str"/>
      <x:c r="Z1374" s="43" t="str">
        <x:v>https://www.get-information-schools.service.gov.uk/Downloads</x:v>
      </x:c>
    </x:row>
    <x:row r="1375">
      <x:c r="A1375" s="43" t="str">
        <x:v>UK independent</x:v>
      </x:c>
      <x:c r="B1375" s="43" t="str">
        <x:v>138877</x:v>
      </x:c>
      <x:c r="C1375" s="43" t="n">
        <x:f>IF(K1375="Boarding school",30,0)+IF(J1375&gt;=18,20,0)+IF(I1375&lt;=11,10,0)+IF(L1375="Has a sixth form",15,0)+IF(M1375&gt;=200,10,0)+IF(N1375&lt;&gt;"",10,0)</x:f>
        <x:v>20</x:v>
      </x:c>
      <x:c r="D1375" s="43" t="str">
        <x:f>IF(C1375&gt;=85,"A",IF(C1375&gt;=65,"B","C"))</x:f>
        <x:v>C</x:v>
      </x:c>
      <x:c r="E1375" s="43" t="str">
        <x:v>Include Suffolk</x:v>
      </x:c>
      <x:c r="F1375" s="43" t="str">
        <x:v>Lowestoft</x:v>
      </x:c>
      <x:c r="G1375" s="43" t="str"/>
      <x:c r="H1375" s="43" t="str">
        <x:v>NR32 4EX</x:v>
      </x:c>
      <x:c r="I1375" s="43" t="n">
        <x:v>5</x:v>
      </x:c>
      <x:c r="J1375" s="43" t="n">
        <x:v>12</x:v>
      </x:c>
      <x:c r="K1375" s="43" t="str">
        <x:v>No boarders</x:v>
      </x:c>
      <x:c r="L1375" s="43" t="str">
        <x:v>Does not have a sixth form</x:v>
      </x:c>
      <x:c r="M1375" s="43" t="n">
        <x:v>52</x:v>
      </x:c>
      <x:c r="N1375" s="43" t="str">
        <x:v>http://www.includesuffolk.org.uk/</x:v>
      </x:c>
      <x:c r="O1375" s="43" t="str">
        <x:v>01502599335</x:v>
      </x:c>
      <x:c r="P1375" s="43" t="str"/>
      <x:c r="Q1375" s="43" t="str"/>
      <x:c r="R1375" s="43" t="str">
        <x:v>Queued for contact research</x:v>
      </x:c>
      <x:c r="S1375" s="43" t="str">
        <x:v>Not reviewed</x:v>
      </x:c>
      <x:c r="T1375" s="43" t="str">
        <x:v>Hold</x:v>
      </x:c>
      <x:c r="U1375" s="43" t="str">
        <x:v>No</x:v>
      </x:c>
      <x:c r="V1375" s="44"/>
      <x:c r="W1375" s="43" t="str"/>
      <x:c r="X1375" s="43" t="str"/>
      <x:c r="Y1375" s="43" t="str"/>
      <x:c r="Z1375" s="43" t="str">
        <x:v>https://www.get-information-schools.service.gov.uk/Downloads</x:v>
      </x:c>
    </x:row>
    <x:row r="1376">
      <x:c r="A1376" s="43" t="str">
        <x:v>UK independent</x:v>
      </x:c>
      <x:c r="B1376" s="43" t="str">
        <x:v>140496</x:v>
      </x:c>
      <x:c r="C1376" s="43" t="n">
        <x:f>IF(K1376="Boarding school",30,0)+IF(J1376&gt;=18,20,0)+IF(I1376&lt;=11,10,0)+IF(L1376="Has a sixth form",15,0)+IF(M1376&gt;=200,10,0)+IF(N1376&lt;&gt;"",10,0)</x:f>
        <x:v>20</x:v>
      </x:c>
      <x:c r="D1376" s="43" t="str">
        <x:f>IF(C1376&gt;=85,"A",IF(C1376&gt;=65,"B","C"))</x:f>
        <x:v>C</x:v>
      </x:c>
      <x:c r="E1376" s="43" t="str">
        <x:v>Jus'T'Learn</x:v>
      </x:c>
      <x:c r="F1376" s="43" t="str">
        <x:v>Mitcham</x:v>
      </x:c>
      <x:c r="G1376" s="43" t="str">
        <x:v>Surrey</x:v>
      </x:c>
      <x:c r="H1376" s="43" t="str">
        <x:v>CR4 2QA</x:v>
      </x:c>
      <x:c r="I1376" s="43" t="n">
        <x:v>11</x:v>
      </x:c>
      <x:c r="J1376" s="43" t="n">
        <x:v>16</x:v>
      </x:c>
      <x:c r="K1376" s="43" t="str">
        <x:v>No boarders</x:v>
      </x:c>
      <x:c r="L1376" s="43" t="str">
        <x:v>Does not have a sixth form</x:v>
      </x:c>
      <x:c r="M1376" s="43" t="n">
        <x:v>52</x:v>
      </x:c>
      <x:c r="N1376" s="43" t="str">
        <x:v>https://www.justlearn.org.uk</x:v>
      </x:c>
      <x:c r="O1376" s="43" t="str">
        <x:v>02086489662</x:v>
      </x:c>
      <x:c r="P1376" s="43" t="str"/>
      <x:c r="Q1376" s="43" t="str"/>
      <x:c r="R1376" s="43" t="str">
        <x:v>Queued for contact research</x:v>
      </x:c>
      <x:c r="S1376" s="43" t="str">
        <x:v>Not reviewed</x:v>
      </x:c>
      <x:c r="T1376" s="43" t="str">
        <x:v>Hold</x:v>
      </x:c>
      <x:c r="U1376" s="43" t="str">
        <x:v>No</x:v>
      </x:c>
      <x:c r="V1376" s="44"/>
      <x:c r="W1376" s="43" t="str"/>
      <x:c r="X1376" s="43" t="str"/>
      <x:c r="Y1376" s="43" t="str"/>
      <x:c r="Z1376" s="43" t="str">
        <x:v>https://www.get-information-schools.service.gov.uk/Downloads</x:v>
      </x:c>
    </x:row>
    <x:row r="1377">
      <x:c r="A1377" s="43" t="str">
        <x:v>UK independent</x:v>
      </x:c>
      <x:c r="B1377" s="43" t="str">
        <x:v>132791</x:v>
      </x:c>
      <x:c r="C1377" s="43" t="n">
        <x:f>IF(K1377="Boarding school",30,0)+IF(J1377&gt;=18,20,0)+IF(I1377&lt;=11,10,0)+IF(L1377="Has a sixth form",15,0)+IF(M1377&gt;=200,10,0)+IF(N1377&lt;&gt;"",10,0)</x:f>
        <x:v>20</x:v>
      </x:c>
      <x:c r="D1377" s="43" t="str">
        <x:f>IF(C1377&gt;=85,"A",IF(C1377&gt;=65,"B","C"))</x:f>
        <x:v>C</x:v>
      </x:c>
      <x:c r="E1377" s="43" t="str">
        <x:v>Rosemary Works School</x:v>
      </x:c>
      <x:c r="F1377" s="43" t="str">
        <x:v>London</x:v>
      </x:c>
      <x:c r="G1377" s="43" t="str"/>
      <x:c r="H1377" s="43" t="str">
        <x:v>N1 5PH</x:v>
      </x:c>
      <x:c r="I1377" s="43" t="n">
        <x:v>3</x:v>
      </x:c>
      <x:c r="J1377" s="43" t="n">
        <x:v>11</x:v>
      </x:c>
      <x:c r="K1377" s="43" t="str">
        <x:v>No boarders</x:v>
      </x:c>
      <x:c r="L1377" s="43" t="str">
        <x:v>Does not have a sixth form</x:v>
      </x:c>
      <x:c r="M1377" s="43" t="n">
        <x:v>52</x:v>
      </x:c>
      <x:c r="N1377" s="43" t="str">
        <x:v>https://www.rosemaryworks.co.uk</x:v>
      </x:c>
      <x:c r="O1377" s="43" t="str">
        <x:v>02077393950</x:v>
      </x:c>
      <x:c r="P1377" s="43" t="str"/>
      <x:c r="Q1377" s="43" t="str"/>
      <x:c r="R1377" s="43" t="str">
        <x:v>Queued for contact research</x:v>
      </x:c>
      <x:c r="S1377" s="43" t="str">
        <x:v>Not reviewed</x:v>
      </x:c>
      <x:c r="T1377" s="43" t="str">
        <x:v>Hold</x:v>
      </x:c>
      <x:c r="U1377" s="43" t="str">
        <x:v>No</x:v>
      </x:c>
      <x:c r="V1377" s="44"/>
      <x:c r="W1377" s="43" t="str"/>
      <x:c r="X1377" s="43" t="str"/>
      <x:c r="Y1377" s="43" t="str"/>
      <x:c r="Z1377" s="43" t="str">
        <x:v>https://www.get-information-schools.service.gov.uk/Downloads</x:v>
      </x:c>
    </x:row>
    <x:row r="1378">
      <x:c r="A1378" s="43" t="str">
        <x:v>UK independent</x:v>
      </x:c>
      <x:c r="B1378" s="43" t="str">
        <x:v>130274</x:v>
      </x:c>
      <x:c r="C1378" s="43" t="n">
        <x:f>IF(K1378="Boarding school",30,0)+IF(J1378&gt;=18,20,0)+IF(I1378&lt;=11,10,0)+IF(L1378="Has a sixth form",15,0)+IF(M1378&gt;=200,10,0)+IF(N1378&lt;&gt;"",10,0)</x:f>
        <x:v>20</x:v>
      </x:c>
      <x:c r="D1378" s="43" t="str">
        <x:f>IF(C1378&gt;=85,"A",IF(C1378&gt;=65,"B","C"))</x:f>
        <x:v>C</x:v>
      </x:c>
      <x:c r="E1378" s="43" t="str">
        <x:v>Al Kauthar Girls Academy</x:v>
      </x:c>
      <x:c r="F1378" s="43" t="str">
        <x:v>Leeds</x:v>
      </x:c>
      <x:c r="G1378" s="43" t="str">
        <x:v>West Yorkshire</x:v>
      </x:c>
      <x:c r="H1378" s="43" t="str">
        <x:v>LS7 4JE</x:v>
      </x:c>
      <x:c r="I1378" s="43" t="n">
        <x:v>11</x:v>
      </x:c>
      <x:c r="J1378" s="43" t="n">
        <x:v>16</x:v>
      </x:c>
      <x:c r="K1378" s="43" t="str">
        <x:v>No boarders</x:v>
      </x:c>
      <x:c r="L1378" s="43" t="str">
        <x:v>Does not have a sixth form</x:v>
      </x:c>
      <x:c r="M1378" s="43" t="n">
        <x:v>51</x:v>
      </x:c>
      <x:c r="N1378" s="43" t="str">
        <x:v>https://www.alkauthar.academy</x:v>
      </x:c>
      <x:c r="O1378" s="43" t="str">
        <x:v>01132624001</x:v>
      </x:c>
      <x:c r="P1378" s="43" t="str"/>
      <x:c r="Q1378" s="43" t="str"/>
      <x:c r="R1378" s="43" t="str">
        <x:v>Queued for contact research</x:v>
      </x:c>
      <x:c r="S1378" s="43" t="str">
        <x:v>Not reviewed</x:v>
      </x:c>
      <x:c r="T1378" s="43" t="str">
        <x:v>Hold</x:v>
      </x:c>
      <x:c r="U1378" s="43" t="str">
        <x:v>No</x:v>
      </x:c>
      <x:c r="V1378" s="44"/>
      <x:c r="W1378" s="43" t="str"/>
      <x:c r="X1378" s="43" t="str"/>
      <x:c r="Y1378" s="43" t="str"/>
      <x:c r="Z1378" s="43" t="str">
        <x:v>https://www.get-information-schools.service.gov.uk/Downloads</x:v>
      </x:c>
    </x:row>
    <x:row r="1379">
      <x:c r="A1379" s="43" t="str">
        <x:v>UK independent</x:v>
      </x:c>
      <x:c r="B1379" s="43" t="str">
        <x:v>148598</x:v>
      </x:c>
      <x:c r="C1379" s="43" t="n">
        <x:f>IF(K1379="Boarding school",30,0)+IF(J1379&gt;=18,20,0)+IF(I1379&lt;=11,10,0)+IF(L1379="Has a sixth form",15,0)+IF(M1379&gt;=200,10,0)+IF(N1379&lt;&gt;"",10,0)</x:f>
        <x:v>20</x:v>
      </x:c>
      <x:c r="D1379" s="43" t="str">
        <x:f>IF(C1379&gt;=85,"A",IF(C1379&gt;=65,"B","C"))</x:f>
        <x:v>C</x:v>
      </x:c>
      <x:c r="E1379" s="43" t="str">
        <x:v>Demetae Academy</x:v>
      </x:c>
      <x:c r="F1379" s="43" t="str"/>
      <x:c r="G1379" s="43" t="str"/>
      <x:c r="H1379" s="43" t="str">
        <x:v>ST5 1JF</x:v>
      </x:c>
      <x:c r="I1379" s="43" t="n">
        <x:v>3</x:v>
      </x:c>
      <x:c r="J1379" s="43" t="n">
        <x:v>16</x:v>
      </x:c>
      <x:c r="K1379" s="43" t="str">
        <x:v>No boarders</x:v>
      </x:c>
      <x:c r="L1379" s="43" t="str">
        <x:v>Does not have a sixth form</x:v>
      </x:c>
      <x:c r="M1379" s="43" t="n">
        <x:v>50</x:v>
      </x:c>
      <x:c r="N1379" s="43" t="str">
        <x:v>https://www.demetaeacademy.org.uk</x:v>
      </x:c>
      <x:c r="O1379" s="43" t="str">
        <x:v>01782893079</x:v>
      </x:c>
      <x:c r="P1379" s="43" t="str"/>
      <x:c r="Q1379" s="43" t="str"/>
      <x:c r="R1379" s="43" t="str">
        <x:v>Queued for contact research</x:v>
      </x:c>
      <x:c r="S1379" s="43" t="str">
        <x:v>Not reviewed</x:v>
      </x:c>
      <x:c r="T1379" s="43" t="str">
        <x:v>Hold</x:v>
      </x:c>
      <x:c r="U1379" s="43" t="str">
        <x:v>No</x:v>
      </x:c>
      <x:c r="V1379" s="44"/>
      <x:c r="W1379" s="43" t="str"/>
      <x:c r="X1379" s="43" t="str"/>
      <x:c r="Y1379" s="43" t="str"/>
      <x:c r="Z1379" s="43" t="str">
        <x:v>https://www.get-information-schools.service.gov.uk/Downloads</x:v>
      </x:c>
    </x:row>
    <x:row r="1380">
      <x:c r="A1380" s="43" t="str">
        <x:v>UK independent</x:v>
      </x:c>
      <x:c r="B1380" s="43" t="str">
        <x:v>146654</x:v>
      </x:c>
      <x:c r="C1380" s="43" t="n">
        <x:f>IF(K1380="Boarding school",30,0)+IF(J1380&gt;=18,20,0)+IF(I1380&lt;=11,10,0)+IF(L1380="Has a sixth form",15,0)+IF(M1380&gt;=200,10,0)+IF(N1380&lt;&gt;"",10,0)</x:f>
        <x:v>20</x:v>
      </x:c>
      <x:c r="D1380" s="43" t="str">
        <x:f>IF(C1380&gt;=85,"A",IF(C1380&gt;=65,"B","C"))</x:f>
        <x:v>C</x:v>
      </x:c>
      <x:c r="E1380" s="43" t="str">
        <x:v>LUMIAR STOWFORD SCHOOL</x:v>
      </x:c>
      <x:c r="F1380" s="43" t="str"/>
      <x:c r="G1380" s="43" t="str"/>
      <x:c r="H1380" s="43" t="str">
        <x:v>BA14 9LH</x:v>
      </x:c>
      <x:c r="I1380" s="43" t="n">
        <x:v>4</x:v>
      </x:c>
      <x:c r="J1380" s="43" t="n">
        <x:v>14</x:v>
      </x:c>
      <x:c r="K1380" s="43" t="str">
        <x:v>No boarders</x:v>
      </x:c>
      <x:c r="L1380" s="43" t="str">
        <x:v>Does not have a sixth form</x:v>
      </x:c>
      <x:c r="M1380" s="43" t="n">
        <x:v>50</x:v>
      </x:c>
      <x:c r="N1380" s="43" t="str">
        <x:v>https://www.lumiar.co.uk</x:v>
      </x:c>
      <x:c r="O1380" s="43" t="str">
        <x:v>01225967032</x:v>
      </x:c>
      <x:c r="P1380" s="43" t="str"/>
      <x:c r="Q1380" s="43" t="str"/>
      <x:c r="R1380" s="43" t="str">
        <x:v>Queued for contact research</x:v>
      </x:c>
      <x:c r="S1380" s="43" t="str">
        <x:v>Not reviewed</x:v>
      </x:c>
      <x:c r="T1380" s="43" t="str">
        <x:v>Hold</x:v>
      </x:c>
      <x:c r="U1380" s="43" t="str">
        <x:v>No</x:v>
      </x:c>
      <x:c r="V1380" s="44"/>
      <x:c r="W1380" s="43" t="str"/>
      <x:c r="X1380" s="43" t="str"/>
      <x:c r="Y1380" s="43" t="str"/>
      <x:c r="Z1380" s="43" t="str">
        <x:v>https://www.get-information-schools.service.gov.uk/Downloads</x:v>
      </x:c>
    </x:row>
    <x:row r="1381">
      <x:c r="A1381" s="43" t="str">
        <x:v>UK independent</x:v>
      </x:c>
      <x:c r="B1381" s="43" t="str">
        <x:v>113594</x:v>
      </x:c>
      <x:c r="C1381" s="43" t="n">
        <x:f>IF(K1381="Boarding school",30,0)+IF(J1381&gt;=18,20,0)+IF(I1381&lt;=11,10,0)+IF(L1381="Has a sixth form",15,0)+IF(M1381&gt;=200,10,0)+IF(N1381&lt;&gt;"",10,0)</x:f>
        <x:v>20</x:v>
      </x:c>
      <x:c r="D1381" s="43" t="str">
        <x:f>IF(C1381&gt;=85,"A",IF(C1381&gt;=65,"B","C"))</x:f>
        <x:v>C</x:v>
      </x:c>
      <x:c r="E1381" s="43" t="str">
        <x:v>Fletewood School and Nursery</x:v>
      </x:c>
      <x:c r="F1381" s="43" t="str">
        <x:v>Plymouth</x:v>
      </x:c>
      <x:c r="G1381" s="43" t="str">
        <x:v>Devon</x:v>
      </x:c>
      <x:c r="H1381" s="43" t="str">
        <x:v>PL4 6AN</x:v>
      </x:c>
      <x:c r="I1381" s="43" t="n">
        <x:v>2</x:v>
      </x:c>
      <x:c r="J1381" s="43" t="n">
        <x:v>11</x:v>
      </x:c>
      <x:c r="K1381" s="43" t="str">
        <x:v>No boarders</x:v>
      </x:c>
      <x:c r="L1381" s="43" t="str">
        <x:v>Does not have a sixth form</x:v>
      </x:c>
      <x:c r="M1381" s="43" t="n">
        <x:v>48</x:v>
      </x:c>
      <x:c r="N1381" s="43" t="str">
        <x:v>https://fletewoodschool.co.uk</x:v>
      </x:c>
      <x:c r="O1381" s="43" t="str">
        <x:v>01752663782</x:v>
      </x:c>
      <x:c r="P1381" s="43" t="str"/>
      <x:c r="Q1381" s="43" t="str"/>
      <x:c r="R1381" s="43" t="str">
        <x:v>Queued for contact research</x:v>
      </x:c>
      <x:c r="S1381" s="43" t="str">
        <x:v>Not reviewed</x:v>
      </x:c>
      <x:c r="T1381" s="43" t="str">
        <x:v>Hold</x:v>
      </x:c>
      <x:c r="U1381" s="43" t="str">
        <x:v>No</x:v>
      </x:c>
      <x:c r="V1381" s="44"/>
      <x:c r="W1381" s="43" t="str"/>
      <x:c r="X1381" s="43" t="str"/>
      <x:c r="Y1381" s="43" t="str"/>
      <x:c r="Z1381" s="43" t="str">
        <x:v>https://www.get-information-schools.service.gov.uk/Downloads</x:v>
      </x:c>
    </x:row>
    <x:row r="1382">
      <x:c r="A1382" s="43" t="str">
        <x:v>UK independent</x:v>
      </x:c>
      <x:c r="B1382" s="43" t="str">
        <x:v>138768</x:v>
      </x:c>
      <x:c r="C1382" s="43" t="n">
        <x:f>IF(K1382="Boarding school",30,0)+IF(J1382&gt;=18,20,0)+IF(I1382&lt;=11,10,0)+IF(L1382="Has a sixth form",15,0)+IF(M1382&gt;=200,10,0)+IF(N1382&lt;&gt;"",10,0)</x:f>
        <x:v>20</x:v>
      </x:c>
      <x:c r="D1382" s="43" t="str">
        <x:f>IF(C1382&gt;=85,"A",IF(C1382&gt;=65,"B","C"))</x:f>
        <x:v>C</x:v>
      </x:c>
      <x:c r="E1382" s="43" t="str">
        <x:v>The King's House School, Windsor</x:v>
      </x:c>
      <x:c r="F1382" s="43" t="str">
        <x:v>Windsor</x:v>
      </x:c>
      <x:c r="G1382" s="43" t="str">
        <x:v>Berkshire</x:v>
      </x:c>
      <x:c r="H1382" s="43" t="str">
        <x:v>SL4 3AQ</x:v>
      </x:c>
      <x:c r="I1382" s="43" t="n">
        <x:v>3</x:v>
      </x:c>
      <x:c r="J1382" s="43" t="n">
        <x:v>13</x:v>
      </x:c>
      <x:c r="K1382" s="43" t="str">
        <x:v>No boarders</x:v>
      </x:c>
      <x:c r="L1382" s="43" t="str">
        <x:v>Does not have a sixth form</x:v>
      </x:c>
      <x:c r="M1382" s="43" t="n">
        <x:v>48</x:v>
      </x:c>
      <x:c r="N1382" s="43" t="str">
        <x:v>https://www.kingshouseschool.org.uk</x:v>
      </x:c>
      <x:c r="O1382" s="43" t="str">
        <x:v>01753834850</x:v>
      </x:c>
      <x:c r="P1382" s="43" t="str"/>
      <x:c r="Q1382" s="43" t="str"/>
      <x:c r="R1382" s="43" t="str">
        <x:v>Queued for contact research</x:v>
      </x:c>
      <x:c r="S1382" s="43" t="str">
        <x:v>Not reviewed</x:v>
      </x:c>
      <x:c r="T1382" s="43" t="str">
        <x:v>Hold</x:v>
      </x:c>
      <x:c r="U1382" s="43" t="str">
        <x:v>No</x:v>
      </x:c>
      <x:c r="V1382" s="44"/>
      <x:c r="W1382" s="43" t="str"/>
      <x:c r="X1382" s="43" t="str"/>
      <x:c r="Y1382" s="43" t="str"/>
      <x:c r="Z1382" s="43" t="str">
        <x:v>https://www.get-information-schools.service.gov.uk/Downloads</x:v>
      </x:c>
    </x:row>
    <x:row r="1383">
      <x:c r="A1383" s="43" t="str">
        <x:v>UK independent</x:v>
      </x:c>
      <x:c r="B1383" s="43" t="str">
        <x:v>124885</x:v>
      </x:c>
      <x:c r="C1383" s="43" t="n">
        <x:f>IF(K1383="Boarding school",30,0)+IF(J1383&gt;=18,20,0)+IF(I1383&lt;=11,10,0)+IF(L1383="Has a sixth form",15,0)+IF(M1383&gt;=200,10,0)+IF(N1383&lt;&gt;"",10,0)</x:f>
        <x:v>20</x:v>
      </x:c>
      <x:c r="D1383" s="43" t="str">
        <x:f>IF(C1383&gt;=85,"A",IF(C1383&gt;=65,"B","C"))</x:f>
        <x:v>C</x:v>
      </x:c>
      <x:c r="E1383" s="43" t="str">
        <x:v>The Old School</x:v>
      </x:c>
      <x:c r="F1383" s="43" t="str">
        <x:v>Beccles</x:v>
      </x:c>
      <x:c r="G1383" s="43" t="str">
        <x:v>Suffolk</x:v>
      </x:c>
      <x:c r="H1383" s="43" t="str">
        <x:v>NR34 7LG</x:v>
      </x:c>
      <x:c r="I1383" s="43" t="n">
        <x:v>2</x:v>
      </x:c>
      <x:c r="J1383" s="43" t="n">
        <x:v>11</x:v>
      </x:c>
      <x:c r="K1383" s="43" t="str">
        <x:v>No boarders</x:v>
      </x:c>
      <x:c r="L1383" s="43" t="str">
        <x:v>Does not have a sixth form</x:v>
      </x:c>
      <x:c r="M1383" s="43" t="n">
        <x:v>47</x:v>
      </x:c>
      <x:c r="N1383" s="43" t="str">
        <x:v>https://theoldschoolhenstead.co.uk</x:v>
      </x:c>
      <x:c r="O1383" s="43" t="str">
        <x:v>01502741150</x:v>
      </x:c>
      <x:c r="P1383" s="43" t="str"/>
      <x:c r="Q1383" s="43" t="str"/>
      <x:c r="R1383" s="43" t="str">
        <x:v>Queued for contact research</x:v>
      </x:c>
      <x:c r="S1383" s="43" t="str">
        <x:v>Not reviewed</x:v>
      </x:c>
      <x:c r="T1383" s="43" t="str">
        <x:v>Hold</x:v>
      </x:c>
      <x:c r="U1383" s="43" t="str">
        <x:v>No</x:v>
      </x:c>
      <x:c r="V1383" s="44"/>
      <x:c r="W1383" s="43" t="str"/>
      <x:c r="X1383" s="43" t="str"/>
      <x:c r="Y1383" s="43" t="str"/>
      <x:c r="Z1383" s="43" t="str">
        <x:v>https://www.get-information-schools.service.gov.uk/Downloads</x:v>
      </x:c>
    </x:row>
    <x:row r="1384">
      <x:c r="A1384" s="43" t="str">
        <x:v>UK independent</x:v>
      </x:c>
      <x:c r="B1384" s="43" t="str">
        <x:v>116567</x:v>
      </x:c>
      <x:c r="C1384" s="43" t="n">
        <x:f>IF(K1384="Boarding school",30,0)+IF(J1384&gt;=18,20,0)+IF(I1384&lt;=11,10,0)+IF(L1384="Has a sixth form",15,0)+IF(M1384&gt;=200,10,0)+IF(N1384&lt;&gt;"",10,0)</x:f>
        <x:v>20</x:v>
      </x:c>
      <x:c r="D1384" s="43" t="str">
        <x:f>IF(C1384&gt;=85,"A",IF(C1384&gt;=65,"B","C"))</x:f>
        <x:v>C</x:v>
      </x:c>
      <x:c r="E1384" s="43" t="str">
        <x:v>CHARLTON HOUSE SCHOOL LIMITED</x:v>
      </x:c>
      <x:c r="F1384" s="43" t="str">
        <x:v>Hampshire</x:v>
      </x:c>
      <x:c r="G1384" s="43" t="str">
        <x:v>Hampshire</x:v>
      </x:c>
      <x:c r="H1384" s="43" t="str">
        <x:v>SO18 4DJ</x:v>
      </x:c>
      <x:c r="I1384" s="43" t="n">
        <x:v>3</x:v>
      </x:c>
      <x:c r="J1384" s="43" t="n">
        <x:v>11</x:v>
      </x:c>
      <x:c r="K1384" s="43" t="str">
        <x:v>No boarders</x:v>
      </x:c>
      <x:c r="L1384" s="43" t="str">
        <x:v>Does not have a sixth form</x:v>
      </x:c>
      <x:c r="M1384" s="43" t="n">
        <x:v>46</x:v>
      </x:c>
      <x:c r="N1384" s="43" t="str">
        <x:v>https://www.charltonhouseindependentschool.co.uk</x:v>
      </x:c>
      <x:c r="O1384" s="43" t="str">
        <x:v>02380671739</x:v>
      </x:c>
      <x:c r="P1384" s="43" t="str"/>
      <x:c r="Q1384" s="43" t="str"/>
      <x:c r="R1384" s="43" t="str">
        <x:v>Queued for contact research</x:v>
      </x:c>
      <x:c r="S1384" s="43" t="str">
        <x:v>Not reviewed</x:v>
      </x:c>
      <x:c r="T1384" s="43" t="str">
        <x:v>Hold</x:v>
      </x:c>
      <x:c r="U1384" s="43" t="str">
        <x:v>No</x:v>
      </x:c>
      <x:c r="V1384" s="44"/>
      <x:c r="W1384" s="43" t="str"/>
      <x:c r="X1384" s="43" t="str"/>
      <x:c r="Y1384" s="43" t="str"/>
      <x:c r="Z1384" s="43" t="str">
        <x:v>https://www.get-information-schools.service.gov.uk/Downloads</x:v>
      </x:c>
    </x:row>
    <x:row r="1385">
      <x:c r="A1385" s="43" t="str">
        <x:v>UK independent</x:v>
      </x:c>
      <x:c r="B1385" s="43" t="str">
        <x:v>102693</x:v>
      </x:c>
      <x:c r="C1385" s="43" t="n">
        <x:f>IF(K1385="Boarding school",30,0)+IF(J1385&gt;=18,20,0)+IF(I1385&lt;=11,10,0)+IF(L1385="Has a sixth form",15,0)+IF(M1385&gt;=200,10,0)+IF(N1385&lt;&gt;"",10,0)</x:f>
        <x:v>20</x:v>
      </x:c>
      <x:c r="D1385" s="43" t="str">
        <x:f>IF(C1385&gt;=85,"A",IF(C1385&gt;=65,"B","C"))</x:f>
        <x:v>C</x:v>
      </x:c>
      <x:c r="E1385" s="43" t="str">
        <x:v>Norwegian School in London</x:v>
      </x:c>
      <x:c r="F1385" s="43" t="str">
        <x:v>London</x:v>
      </x:c>
      <x:c r="G1385" s="43" t="str"/>
      <x:c r="H1385" s="43" t="str">
        <x:v>SW20 8AH</x:v>
      </x:c>
      <x:c r="I1385" s="43" t="n">
        <x:v>6</x:v>
      </x:c>
      <x:c r="J1385" s="43" t="n">
        <x:v>16</x:v>
      </x:c>
      <x:c r="K1385" s="43" t="str">
        <x:v>No boarders</x:v>
      </x:c>
      <x:c r="L1385" s="43" t="str">
        <x:v>Does not have a sixth form</x:v>
      </x:c>
      <x:c r="M1385" s="43" t="n">
        <x:v>46</x:v>
      </x:c>
      <x:c r="N1385" s="43" t="str">
        <x:v>https://www.norwegianschool.org.uk</x:v>
      </x:c>
      <x:c r="O1385" s="43" t="str">
        <x:v>02089476617</x:v>
      </x:c>
      <x:c r="P1385" s="43" t="str"/>
      <x:c r="Q1385" s="43" t="str"/>
      <x:c r="R1385" s="43" t="str">
        <x:v>Queued for contact research</x:v>
      </x:c>
      <x:c r="S1385" s="43" t="str">
        <x:v>Not reviewed</x:v>
      </x:c>
      <x:c r="T1385" s="43" t="str">
        <x:v>Hold</x:v>
      </x:c>
      <x:c r="U1385" s="43" t="str">
        <x:v>No</x:v>
      </x:c>
      <x:c r="V1385" s="44"/>
      <x:c r="W1385" s="43" t="str"/>
      <x:c r="X1385" s="43" t="str"/>
      <x:c r="Y1385" s="43" t="str"/>
      <x:c r="Z1385" s="43" t="str">
        <x:v>https://www.get-information-schools.service.gov.uk/Downloads</x:v>
      </x:c>
    </x:row>
    <x:row r="1386">
      <x:c r="A1386" s="43" t="str">
        <x:v>UK independent</x:v>
      </x:c>
      <x:c r="B1386" s="43" t="str">
        <x:v>125791</x:v>
      </x:c>
      <x:c r="C1386" s="43" t="n">
        <x:f>IF(K1386="Boarding school",30,0)+IF(J1386&gt;=18,20,0)+IF(I1386&lt;=11,10,0)+IF(L1386="Has a sixth form",15,0)+IF(M1386&gt;=200,10,0)+IF(N1386&lt;&gt;"",10,0)</x:f>
        <x:v>20</x:v>
      </x:c>
      <x:c r="D1386" s="43" t="str">
        <x:f>IF(C1386&gt;=85,"A",IF(C1386&gt;=65,"B","C"))</x:f>
        <x:v>C</x:v>
      </x:c>
      <x:c r="E1386" s="43" t="str">
        <x:v>Stratford Preparatory School</x:v>
      </x:c>
      <x:c r="F1386" s="43" t="str">
        <x:v>Stratford-upon-Avon</x:v>
      </x:c>
      <x:c r="G1386" s="43" t="str">
        <x:v>Warwickshire</x:v>
      </x:c>
      <x:c r="H1386" s="43" t="str">
        <x:v>CV37 6BG</x:v>
      </x:c>
      <x:c r="I1386" s="43" t="n">
        <x:v>4</x:v>
      </x:c>
      <x:c r="J1386" s="43" t="n">
        <x:v>11</x:v>
      </x:c>
      <x:c r="K1386" s="43" t="str">
        <x:v>No boarders</x:v>
      </x:c>
      <x:c r="L1386" s="43" t="str">
        <x:v>Does not have a sixth form</x:v>
      </x:c>
      <x:c r="M1386" s="43" t="n">
        <x:v>46</x:v>
      </x:c>
      <x:c r="N1386" s="43" t="str">
        <x:v>https://stratfordprep.co.uk</x:v>
      </x:c>
      <x:c r="O1386" s="43" t="str">
        <x:v>01789297993</x:v>
      </x:c>
      <x:c r="P1386" s="43" t="str"/>
      <x:c r="Q1386" s="43" t="str"/>
      <x:c r="R1386" s="43" t="str">
        <x:v>Queued for contact research</x:v>
      </x:c>
      <x:c r="S1386" s="43" t="str">
        <x:v>Not reviewed</x:v>
      </x:c>
      <x:c r="T1386" s="43" t="str">
        <x:v>Hold</x:v>
      </x:c>
      <x:c r="U1386" s="43" t="str">
        <x:v>No</x:v>
      </x:c>
      <x:c r="V1386" s="44"/>
      <x:c r="W1386" s="43" t="str"/>
      <x:c r="X1386" s="43" t="str"/>
      <x:c r="Y1386" s="43" t="str"/>
      <x:c r="Z1386" s="43" t="str">
        <x:v>https://www.get-information-schools.service.gov.uk/Downloads</x:v>
      </x:c>
    </x:row>
    <x:row r="1387">
      <x:c r="A1387" s="43" t="str">
        <x:v>UK independent</x:v>
      </x:c>
      <x:c r="B1387" s="43" t="str">
        <x:v>100462</x:v>
      </x:c>
      <x:c r="C1387" s="43" t="n">
        <x:f>IF(K1387="Boarding school",30,0)+IF(J1387&gt;=18,20,0)+IF(I1387&lt;=11,10,0)+IF(L1387="Has a sixth form",15,0)+IF(M1387&gt;=200,10,0)+IF(N1387&lt;&gt;"",10,0)</x:f>
        <x:v>20</x:v>
      </x:c>
      <x:c r="D1387" s="43" t="str">
        <x:f>IF(C1387&gt;=85,"A",IF(C1387&gt;=65,"B","C"))</x:f>
        <x:v>C</x:v>
      </x:c>
      <x:c r="E1387" s="43" t="str">
        <x:v>Dallington School</x:v>
      </x:c>
      <x:c r="F1387" s="43" t="str">
        <x:v>United Kingdom</x:v>
      </x:c>
      <x:c r="G1387" s="43" t="str"/>
      <x:c r="H1387" s="43" t="str">
        <x:v>EC1V 0BW</x:v>
      </x:c>
      <x:c r="I1387" s="43" t="n">
        <x:v>3</x:v>
      </x:c>
      <x:c r="J1387" s="43" t="n">
        <x:v>11</x:v>
      </x:c>
      <x:c r="K1387" s="43" t="str">
        <x:v>No boarders</x:v>
      </x:c>
      <x:c r="L1387" s="43" t="str">
        <x:v>Does not have a sixth form</x:v>
      </x:c>
      <x:c r="M1387" s="43" t="n">
        <x:v>45</x:v>
      </x:c>
      <x:c r="N1387" s="43" t="str">
        <x:v>https://www.dallingtonschool.co.uk</x:v>
      </x:c>
      <x:c r="O1387" s="43" t="str">
        <x:v>02072512284</x:v>
      </x:c>
      <x:c r="P1387" s="43" t="str"/>
      <x:c r="Q1387" s="43" t="str"/>
      <x:c r="R1387" s="43" t="str">
        <x:v>Queued for contact research</x:v>
      </x:c>
      <x:c r="S1387" s="43" t="str">
        <x:v>Not reviewed</x:v>
      </x:c>
      <x:c r="T1387" s="43" t="str">
        <x:v>Hold</x:v>
      </x:c>
      <x:c r="U1387" s="43" t="str">
        <x:v>No</x:v>
      </x:c>
      <x:c r="V1387" s="44"/>
      <x:c r="W1387" s="43" t="str"/>
      <x:c r="X1387" s="43" t="str"/>
      <x:c r="Y1387" s="43" t="str"/>
      <x:c r="Z1387" s="43" t="str">
        <x:v>https://www.get-information-schools.service.gov.uk/Downloads</x:v>
      </x:c>
    </x:row>
    <x:row r="1388">
      <x:c r="A1388" s="43" t="str">
        <x:v>UK independent</x:v>
      </x:c>
      <x:c r="B1388" s="43" t="str">
        <x:v>113617</x:v>
      </x:c>
      <x:c r="C1388" s="43" t="n">
        <x:f>IF(K1388="Boarding school",30,0)+IF(J1388&gt;=18,20,0)+IF(I1388&lt;=11,10,0)+IF(L1388="Has a sixth form",15,0)+IF(M1388&gt;=200,10,0)+IF(N1388&lt;&gt;"",10,0)</x:f>
        <x:v>20</x:v>
      </x:c>
      <x:c r="D1388" s="43" t="str">
        <x:f>IF(C1388&gt;=85,"A",IF(C1388&gt;=65,"B","C"))</x:f>
        <x:v>C</x:v>
      </x:c>
      <x:c r="E1388" s="43" t="str">
        <x:v>Park School</x:v>
      </x:c>
      <x:c r="F1388" s="43" t="str">
        <x:v>TOTNES</x:v>
      </x:c>
      <x:c r="G1388" s="43" t="str">
        <x:v>Devon</x:v>
      </x:c>
      <x:c r="H1388" s="43" t="str">
        <x:v>TQ9 6EQ</x:v>
      </x:c>
      <x:c r="I1388" s="43" t="n">
        <x:v>3</x:v>
      </x:c>
      <x:c r="J1388" s="43" t="n">
        <x:v>12</x:v>
      </x:c>
      <x:c r="K1388" s="43" t="str">
        <x:v>No boarders</x:v>
      </x:c>
      <x:c r="L1388" s="43" t="str">
        <x:v>Does not have a sixth form</x:v>
      </x:c>
      <x:c r="M1388" s="43" t="n">
        <x:v>45</x:v>
      </x:c>
      <x:c r="N1388" s="43" t="str">
        <x:v>https://www.parkschoolonline.com</x:v>
      </x:c>
      <x:c r="O1388" s="43" t="str">
        <x:v>01803864588</x:v>
      </x:c>
      <x:c r="P1388" s="43" t="str"/>
      <x:c r="Q1388" s="43" t="str"/>
      <x:c r="R1388" s="43" t="str">
        <x:v>Queued for contact research</x:v>
      </x:c>
      <x:c r="S1388" s="43" t="str">
        <x:v>Not reviewed</x:v>
      </x:c>
      <x:c r="T1388" s="43" t="str">
        <x:v>Hold</x:v>
      </x:c>
      <x:c r="U1388" s="43" t="str">
        <x:v>No</x:v>
      </x:c>
      <x:c r="V1388" s="44"/>
      <x:c r="W1388" s="43" t="str"/>
      <x:c r="X1388" s="43" t="str"/>
      <x:c r="Y1388" s="43" t="str"/>
      <x:c r="Z1388" s="43" t="str">
        <x:v>https://www.get-information-schools.service.gov.uk/Downloads</x:v>
      </x:c>
    </x:row>
    <x:row r="1389">
      <x:c r="A1389" s="43" t="str">
        <x:v>UK independent</x:v>
      </x:c>
      <x:c r="B1389" s="43" t="str">
        <x:v>131567</x:v>
      </x:c>
      <x:c r="C1389" s="43" t="n">
        <x:f>IF(K1389="Boarding school",30,0)+IF(J1389&gt;=18,20,0)+IF(I1389&lt;=11,10,0)+IF(L1389="Has a sixth form",15,0)+IF(M1389&gt;=200,10,0)+IF(N1389&lt;&gt;"",10,0)</x:f>
        <x:v>20</x:v>
      </x:c>
      <x:c r="D1389" s="43" t="str">
        <x:f>IF(C1389&gt;=85,"A",IF(C1389&gt;=65,"B","C"))</x:f>
        <x:v>C</x:v>
      </x:c>
      <x:c r="E1389" s="43" t="str">
        <x:v>St Helens Montessori School</x:v>
      </x:c>
      <x:c r="F1389" s="43" t="str">
        <x:v>Maidstone</x:v>
      </x:c>
      <x:c r="G1389" s="43" t="str">
        <x:v>Kent</x:v>
      </x:c>
      <x:c r="H1389" s="43" t="str">
        <x:v>ME15 0JT</x:v>
      </x:c>
      <x:c r="I1389" s="43" t="n">
        <x:v>2</x:v>
      </x:c>
      <x:c r="J1389" s="43" t="n">
        <x:v>12</x:v>
      </x:c>
      <x:c r="K1389" s="43" t="str">
        <x:v>No boarders</x:v>
      </x:c>
      <x:c r="L1389" s="43" t="str">
        <x:v>Does not have a sixth form</x:v>
      </x:c>
      <x:c r="M1389" s="43" t="n">
        <x:v>45</x:v>
      </x:c>
      <x:c r="N1389" s="43" t="str">
        <x:v>https://www.sthelensmontessori.co.uk</x:v>
      </x:c>
      <x:c r="O1389" s="43" t="str">
        <x:v>01622721731</x:v>
      </x:c>
      <x:c r="P1389" s="43" t="str"/>
      <x:c r="Q1389" s="43" t="str"/>
      <x:c r="R1389" s="43" t="str">
        <x:v>Queued for contact research</x:v>
      </x:c>
      <x:c r="S1389" s="43" t="str">
        <x:v>Not reviewed</x:v>
      </x:c>
      <x:c r="T1389" s="43" t="str">
        <x:v>Hold</x:v>
      </x:c>
      <x:c r="U1389" s="43" t="str">
        <x:v>No</x:v>
      </x:c>
      <x:c r="V1389" s="44"/>
      <x:c r="W1389" s="43" t="str"/>
      <x:c r="X1389" s="43" t="str"/>
      <x:c r="Y1389" s="43" t="str"/>
      <x:c r="Z1389" s="43" t="str">
        <x:v>https://www.get-information-schools.service.gov.uk/Downloads</x:v>
      </x:c>
    </x:row>
    <x:row r="1390">
      <x:c r="A1390" s="43" t="str">
        <x:v>UK independent</x:v>
      </x:c>
      <x:c r="B1390" s="43" t="str">
        <x:v>102867</x:v>
      </x:c>
      <x:c r="C1390" s="43" t="n">
        <x:f>IF(K1390="Boarding school",30,0)+IF(J1390&gt;=18,20,0)+IF(I1390&lt;=11,10,0)+IF(L1390="Has a sixth form",15,0)+IF(M1390&gt;=200,10,0)+IF(N1390&lt;&gt;"",10,0)</x:f>
        <x:v>20</x:v>
      </x:c>
      <x:c r="D1390" s="43" t="str">
        <x:f>IF(C1390&gt;=85,"A",IF(C1390&gt;=65,"B","C"))</x:f>
        <x:v>C</x:v>
      </x:c>
      <x:c r="E1390" s="43" t="str">
        <x:v>Beehive Preparatory School</x:v>
      </x:c>
      <x:c r="F1390" s="43" t="str">
        <x:v>Ilford</x:v>
      </x:c>
      <x:c r="G1390" s="43" t="str">
        <x:v>Essex</x:v>
      </x:c>
      <x:c r="H1390" s="43" t="str">
        <x:v>IG4 5ED</x:v>
      </x:c>
      <x:c r="I1390" s="43" t="n">
        <x:v>2</x:v>
      </x:c>
      <x:c r="J1390" s="43" t="n">
        <x:v>11</x:v>
      </x:c>
      <x:c r="K1390" s="43" t="str">
        <x:v>No boarders</x:v>
      </x:c>
      <x:c r="L1390" s="43" t="str">
        <x:v>Does not have a sixth form</x:v>
      </x:c>
      <x:c r="M1390" s="43" t="n">
        <x:v>44</x:v>
      </x:c>
      <x:c r="N1390" s="43" t="str">
        <x:v>https://beehiveprepschool.com</x:v>
      </x:c>
      <x:c r="O1390" s="43" t="str">
        <x:v>02085503224</x:v>
      </x:c>
      <x:c r="P1390" s="43" t="str"/>
      <x:c r="Q1390" s="43" t="str"/>
      <x:c r="R1390" s="43" t="str">
        <x:v>Queued for contact research</x:v>
      </x:c>
      <x:c r="S1390" s="43" t="str">
        <x:v>Not reviewed</x:v>
      </x:c>
      <x:c r="T1390" s="43" t="str">
        <x:v>Hold</x:v>
      </x:c>
      <x:c r="U1390" s="43" t="str">
        <x:v>No</x:v>
      </x:c>
      <x:c r="V1390" s="44"/>
      <x:c r="W1390" s="43" t="str"/>
      <x:c r="X1390" s="43" t="str"/>
      <x:c r="Y1390" s="43" t="str"/>
      <x:c r="Z1390" s="43" t="str">
        <x:v>https://www.get-information-schools.service.gov.uk/Downloads</x:v>
      </x:c>
    </x:row>
    <x:row r="1391">
      <x:c r="A1391" s="43" t="str">
        <x:v>UK independent</x:v>
      </x:c>
      <x:c r="B1391" s="43" t="str">
        <x:v>120733</x:v>
      </x:c>
      <x:c r="C1391" s="43" t="n">
        <x:f>IF(K1391="Boarding school",30,0)+IF(J1391&gt;=18,20,0)+IF(I1391&lt;=11,10,0)+IF(L1391="Has a sixth form",15,0)+IF(M1391&gt;=200,10,0)+IF(N1391&lt;&gt;"",10,0)</x:f>
        <x:v>20</x:v>
      </x:c>
      <x:c r="D1391" s="43" t="str">
        <x:f>IF(C1391&gt;=85,"A",IF(C1391&gt;=65,"B","C"))</x:f>
        <x:v>C</x:v>
      </x:c>
      <x:c r="E1391" s="43" t="str">
        <x:v>Handel House Preparatory School</x:v>
      </x:c>
      <x:c r="F1391" s="43" t="str">
        <x:v>Gainsborough</x:v>
      </x:c>
      <x:c r="G1391" s="43" t="str">
        <x:v>Lincolnshire</x:v>
      </x:c>
      <x:c r="H1391" s="43" t="str">
        <x:v>DN21 2JB</x:v>
      </x:c>
      <x:c r="I1391" s="43" t="n">
        <x:v>3</x:v>
      </x:c>
      <x:c r="J1391" s="43" t="n">
        <x:v>11</x:v>
      </x:c>
      <x:c r="K1391" s="43" t="str">
        <x:v>No boarders</x:v>
      </x:c>
      <x:c r="L1391" s="43" t="str">
        <x:v>Does not have a sixth form</x:v>
      </x:c>
      <x:c r="M1391" s="43" t="n">
        <x:v>44</x:v>
      </x:c>
      <x:c r="N1391" s="43" t="str">
        <x:v>https://www.handelhouseschool.com</x:v>
      </x:c>
      <x:c r="O1391" s="43" t="str">
        <x:v>01427612426</x:v>
      </x:c>
      <x:c r="P1391" s="43" t="str"/>
      <x:c r="Q1391" s="43" t="str"/>
      <x:c r="R1391" s="43" t="str">
        <x:v>Queued for contact research</x:v>
      </x:c>
      <x:c r="S1391" s="43" t="str">
        <x:v>Not reviewed</x:v>
      </x:c>
      <x:c r="T1391" s="43" t="str">
        <x:v>Hold</x:v>
      </x:c>
      <x:c r="U1391" s="43" t="str">
        <x:v>No</x:v>
      </x:c>
      <x:c r="V1391" s="44"/>
      <x:c r="W1391" s="43" t="str"/>
      <x:c r="X1391" s="43" t="str"/>
      <x:c r="Y1391" s="43" t="str"/>
      <x:c r="Z1391" s="43" t="str">
        <x:v>https://www.get-information-schools.service.gov.uk/Downloads</x:v>
      </x:c>
    </x:row>
    <x:row r="1392">
      <x:c r="A1392" s="43" t="str">
        <x:v>UK independent</x:v>
      </x:c>
      <x:c r="B1392" s="43" t="str">
        <x:v>149466</x:v>
      </x:c>
      <x:c r="C1392" s="43" t="n">
        <x:f>IF(K1392="Boarding school",30,0)+IF(J1392&gt;=18,20,0)+IF(I1392&lt;=11,10,0)+IF(L1392="Has a sixth form",15,0)+IF(M1392&gt;=200,10,0)+IF(N1392&lt;&gt;"",10,0)</x:f>
        <x:v>20</x:v>
      </x:c>
      <x:c r="D1392" s="43" t="str">
        <x:f>IF(C1392&gt;=85,"A",IF(C1392&gt;=65,"B","C"))</x:f>
        <x:v>C</x:v>
      </x:c>
      <x:c r="E1392" s="43" t="str">
        <x:v>Langley Hall Arts Academy</x:v>
      </x:c>
      <x:c r="F1392" s="43" t="str">
        <x:v>Langley</x:v>
      </x:c>
      <x:c r="G1392" s="43" t="str">
        <x:v>Berkshire</x:v>
      </x:c>
      <x:c r="H1392" s="43" t="str">
        <x:v>SL3 6EZ</x:v>
      </x:c>
      <x:c r="I1392" s="43" t="n">
        <x:v>11</x:v>
      </x:c>
      <x:c r="J1392" s="43" t="n">
        <x:v>16</x:v>
      </x:c>
      <x:c r="K1392" s="43" t="str">
        <x:v>No boarders</x:v>
      </x:c>
      <x:c r="L1392" s="43" t="str">
        <x:v>Does not have a sixth form</x:v>
      </x:c>
      <x:c r="M1392" s="43" t="n">
        <x:v>44</x:v>
      </x:c>
      <x:c r="N1392" s="43" t="str">
        <x:v>https://www.langleyhallarts.greenhousecms.co.uk</x:v>
      </x:c>
      <x:c r="O1392" s="43" t="str">
        <x:v>01753900470</x:v>
      </x:c>
      <x:c r="P1392" s="43" t="str"/>
      <x:c r="Q1392" s="43" t="str"/>
      <x:c r="R1392" s="43" t="str">
        <x:v>Queued for contact research</x:v>
      </x:c>
      <x:c r="S1392" s="43" t="str">
        <x:v>Not reviewed</x:v>
      </x:c>
      <x:c r="T1392" s="43" t="str">
        <x:v>Hold</x:v>
      </x:c>
      <x:c r="U1392" s="43" t="str">
        <x:v>No</x:v>
      </x:c>
      <x:c r="V1392" s="44"/>
      <x:c r="W1392" s="43" t="str"/>
      <x:c r="X1392" s="43" t="str"/>
      <x:c r="Y1392" s="43" t="str"/>
      <x:c r="Z1392" s="43" t="str">
        <x:v>https://www.get-information-schools.service.gov.uk/Downloads</x:v>
      </x:c>
    </x:row>
    <x:row r="1393">
      <x:c r="A1393" s="43" t="str">
        <x:v>UK independent</x:v>
      </x:c>
      <x:c r="B1393" s="43" t="str">
        <x:v>139772</x:v>
      </x:c>
      <x:c r="C1393" s="43" t="n">
        <x:f>IF(K1393="Boarding school",30,0)+IF(J1393&gt;=18,20,0)+IF(I1393&lt;=11,10,0)+IF(L1393="Has a sixth form",15,0)+IF(M1393&gt;=200,10,0)+IF(N1393&lt;&gt;"",10,0)</x:f>
        <x:v>20</x:v>
      </x:c>
      <x:c r="D1393" s="43" t="str">
        <x:f>IF(C1393&gt;=85,"A",IF(C1393&gt;=65,"B","C"))</x:f>
        <x:v>C</x:v>
      </x:c>
      <x:c r="E1393" s="43" t="str">
        <x:v>Edward Jenner School</x:v>
      </x:c>
      <x:c r="F1393" s="43" t="str">
        <x:v>Gloucester</x:v>
      </x:c>
      <x:c r="G1393" s="43" t="str">
        <x:v>Gloucestershire</x:v>
      </x:c>
      <x:c r="H1393" s="43" t="str">
        <x:v>GL1 3NZ</x:v>
      </x:c>
      <x:c r="I1393" s="43" t="n">
        <x:v>5</x:v>
      </x:c>
      <x:c r="J1393" s="43" t="n">
        <x:v>16</x:v>
      </x:c>
      <x:c r="K1393" s="43" t="str">
        <x:v>No boarders</x:v>
      </x:c>
      <x:c r="L1393" s="43" t="str">
        <x:v>Does not have a sixth form</x:v>
      </x:c>
      <x:c r="M1393" s="43" t="n">
        <x:v>43</x:v>
      </x:c>
      <x:c r="N1393" s="43" t="str">
        <x:v>https://www.edwardjennerschool.org.uk</x:v>
      </x:c>
      <x:c r="O1393" s="43" t="str">
        <x:v>01452380808</x:v>
      </x:c>
      <x:c r="P1393" s="43" t="str"/>
      <x:c r="Q1393" s="43" t="str"/>
      <x:c r="R1393" s="43" t="str">
        <x:v>Queued for contact research</x:v>
      </x:c>
      <x:c r="S1393" s="43" t="str">
        <x:v>Not reviewed</x:v>
      </x:c>
      <x:c r="T1393" s="43" t="str">
        <x:v>Hold</x:v>
      </x:c>
      <x:c r="U1393" s="43" t="str">
        <x:v>No</x:v>
      </x:c>
      <x:c r="V1393" s="44"/>
      <x:c r="W1393" s="43" t="str"/>
      <x:c r="X1393" s="43" t="str"/>
      <x:c r="Y1393" s="43" t="str"/>
      <x:c r="Z1393" s="43" t="str">
        <x:v>https://www.get-information-schools.service.gov.uk/Downloads</x:v>
      </x:c>
    </x:row>
    <x:row r="1394">
      <x:c r="A1394" s="43" t="str">
        <x:v>UK independent</x:v>
      </x:c>
      <x:c r="B1394" s="43" t="str">
        <x:v>102789</x:v>
      </x:c>
      <x:c r="C1394" s="43" t="n">
        <x:f>IF(K1394="Boarding school",30,0)+IF(J1394&gt;=18,20,0)+IF(I1394&lt;=11,10,0)+IF(L1394="Has a sixth form",15,0)+IF(M1394&gt;=200,10,0)+IF(N1394&lt;&gt;"",10,0)</x:f>
        <x:v>20</x:v>
      </x:c>
      <x:c r="D1394" s="43" t="str">
        <x:f>IF(C1394&gt;=85,"A",IF(C1394&gt;=65,"B","C"))</x:f>
        <x:v>C</x:v>
      </x:c>
      <x:c r="E1394" s="43" t="str">
        <x:v>Grangewood Independent School</x:v>
      </x:c>
      <x:c r="F1394" s="43" t="str">
        <x:v>London</x:v>
      </x:c>
      <x:c r="G1394" s="43" t="str"/>
      <x:c r="H1394" s="43" t="str">
        <x:v>E7 8QT</x:v>
      </x:c>
      <x:c r="I1394" s="43" t="n">
        <x:v>2</x:v>
      </x:c>
      <x:c r="J1394" s="43" t="n">
        <x:v>11</x:v>
      </x:c>
      <x:c r="K1394" s="43" t="str">
        <x:v>No boarders</x:v>
      </x:c>
      <x:c r="L1394" s="43" t="str">
        <x:v>Does not have a sixth form</x:v>
      </x:c>
      <x:c r="M1394" s="43" t="n">
        <x:v>43</x:v>
      </x:c>
      <x:c r="N1394" s="43" t="str">
        <x:v>https://www.grangewoodschool.com</x:v>
      </x:c>
      <x:c r="O1394" s="43" t="str">
        <x:v>02084723552</x:v>
      </x:c>
      <x:c r="P1394" s="43" t="str"/>
      <x:c r="Q1394" s="43" t="str"/>
      <x:c r="R1394" s="43" t="str">
        <x:v>Queued for contact research</x:v>
      </x:c>
      <x:c r="S1394" s="43" t="str">
        <x:v>Not reviewed</x:v>
      </x:c>
      <x:c r="T1394" s="43" t="str">
        <x:v>Hold</x:v>
      </x:c>
      <x:c r="U1394" s="43" t="str">
        <x:v>No</x:v>
      </x:c>
      <x:c r="V1394" s="44"/>
      <x:c r="W1394" s="43" t="str"/>
      <x:c r="X1394" s="43" t="str"/>
      <x:c r="Y1394" s="43" t="str"/>
      <x:c r="Z1394" s="43" t="str">
        <x:v>https://www.get-information-schools.service.gov.uk/Downloads</x:v>
      </x:c>
    </x:row>
    <x:row r="1395">
      <x:c r="A1395" s="43" t="str">
        <x:v>UK independent</x:v>
      </x:c>
      <x:c r="B1395" s="43" t="str">
        <x:v>151492</x:v>
      </x:c>
      <x:c r="C1395" s="43" t="n">
        <x:f>IF(K1395="Boarding school",30,0)+IF(J1395&gt;=18,20,0)+IF(I1395&lt;=11,10,0)+IF(L1395="Has a sixth form",15,0)+IF(M1395&gt;=200,10,0)+IF(N1395&lt;&gt;"",10,0)</x:f>
        <x:v>20</x:v>
      </x:c>
      <x:c r="D1395" s="43" t="str">
        <x:f>IF(C1395&gt;=85,"A",IF(C1395&gt;=65,"B","C"))</x:f>
        <x:v>C</x:v>
      </x:c>
      <x:c r="E1395" s="43" t="str">
        <x:v>Edullect Academy Independent School</x:v>
      </x:c>
      <x:c r="F1395" s="43" t="str">
        <x:v>Romford</x:v>
      </x:c>
      <x:c r="G1395" s="43" t="str">
        <x:v>Essex</x:v>
      </x:c>
      <x:c r="H1395" s="43" t="str">
        <x:v>RM3 8SB</x:v>
      </x:c>
      <x:c r="I1395" s="43" t="n">
        <x:v>3</x:v>
      </x:c>
      <x:c r="J1395" s="43" t="n">
        <x:v>11</x:v>
      </x:c>
      <x:c r="K1395" s="43" t="str">
        <x:v>No boarders</x:v>
      </x:c>
      <x:c r="L1395" s="43" t="str">
        <x:v>Does not have a sixth form</x:v>
      </x:c>
      <x:c r="M1395" s="43" t="n">
        <x:v>41</x:v>
      </x:c>
      <x:c r="N1395" s="43" t="str">
        <x:v>https://london.edullectacademy.uk</x:v>
      </x:c>
      <x:c r="O1395" s="43" t="str">
        <x:v>01708200622</x:v>
      </x:c>
      <x:c r="P1395" s="43" t="str"/>
      <x:c r="Q1395" s="43" t="str"/>
      <x:c r="R1395" s="43" t="str">
        <x:v>Queued for contact research</x:v>
      </x:c>
      <x:c r="S1395" s="43" t="str">
        <x:v>Not reviewed</x:v>
      </x:c>
      <x:c r="T1395" s="43" t="str">
        <x:v>Hold</x:v>
      </x:c>
      <x:c r="U1395" s="43" t="str">
        <x:v>No</x:v>
      </x:c>
      <x:c r="V1395" s="44"/>
      <x:c r="W1395" s="43" t="str"/>
      <x:c r="X1395" s="43" t="str"/>
      <x:c r="Y1395" s="43" t="str"/>
      <x:c r="Z1395" s="43" t="str">
        <x:v>https://www.get-information-schools.service.gov.uk/Downloads</x:v>
      </x:c>
    </x:row>
    <x:row r="1396">
      <x:c r="A1396" s="43" t="str">
        <x:v>UK independent</x:v>
      </x:c>
      <x:c r="B1396" s="43" t="str">
        <x:v>113023</x:v>
      </x:c>
      <x:c r="C1396" s="43" t="n">
        <x:f>IF(K1396="Boarding school",30,0)+IF(J1396&gt;=18,20,0)+IF(I1396&lt;=11,10,0)+IF(L1396="Has a sixth form",15,0)+IF(M1396&gt;=200,10,0)+IF(N1396&lt;&gt;"",10,0)</x:f>
        <x:v>20</x:v>
      </x:c>
      <x:c r="D1396" s="43" t="str">
        <x:f>IF(C1396&gt;=85,"A",IF(C1396&gt;=65,"B","C"))</x:f>
        <x:v>C</x:v>
      </x:c>
      <x:c r="E1396" s="43" t="str">
        <x:v>Dame Catherine Harpur's School</x:v>
      </x:c>
      <x:c r="F1396" s="43" t="str">
        <x:v>Derby</x:v>
      </x:c>
      <x:c r="G1396" s="43" t="str">
        <x:v>Derbyshire</x:v>
      </x:c>
      <x:c r="H1396" s="43" t="str">
        <x:v>DE73 7JW</x:v>
      </x:c>
      <x:c r="I1396" s="43" t="n">
        <x:v>3</x:v>
      </x:c>
      <x:c r="J1396" s="43" t="n">
        <x:v>11</x:v>
      </x:c>
      <x:c r="K1396" s="43" t="str">
        <x:v>No boarders</x:v>
      </x:c>
      <x:c r="L1396" s="43" t="str">
        <x:v>Does not have a sixth form</x:v>
      </x:c>
      <x:c r="M1396" s="43" t="n">
        <x:v>40</x:v>
      </x:c>
      <x:c r="N1396" s="43" t="str">
        <x:v>https://damecatherines.org/</x:v>
      </x:c>
      <x:c r="O1396" s="43" t="str">
        <x:v>01332480825</x:v>
      </x:c>
      <x:c r="P1396" s="43" t="str"/>
      <x:c r="Q1396" s="43" t="str"/>
      <x:c r="R1396" s="43" t="str">
        <x:v>Queued for contact research</x:v>
      </x:c>
      <x:c r="S1396" s="43" t="str">
        <x:v>Not reviewed</x:v>
      </x:c>
      <x:c r="T1396" s="43" t="str">
        <x:v>Hold</x:v>
      </x:c>
      <x:c r="U1396" s="43" t="str">
        <x:v>No</x:v>
      </x:c>
      <x:c r="V1396" s="44"/>
      <x:c r="W1396" s="43" t="str"/>
      <x:c r="X1396" s="43" t="str"/>
      <x:c r="Y1396" s="43" t="str"/>
      <x:c r="Z1396" s="43" t="str">
        <x:v>https://www.get-information-schools.service.gov.uk/Downloads</x:v>
      </x:c>
    </x:row>
    <x:row r="1397">
      <x:c r="A1397" s="43" t="str">
        <x:v>UK independent</x:v>
      </x:c>
      <x:c r="B1397" s="43" t="str">
        <x:v>144806</x:v>
      </x:c>
      <x:c r="C1397" s="43" t="n">
        <x:f>IF(K1397="Boarding school",30,0)+IF(J1397&gt;=18,20,0)+IF(I1397&lt;=11,10,0)+IF(L1397="Has a sixth form",15,0)+IF(M1397&gt;=200,10,0)+IF(N1397&lt;&gt;"",10,0)</x:f>
        <x:v>20</x:v>
      </x:c>
      <x:c r="D1397" s="43" t="str">
        <x:f>IF(C1397&gt;=85,"A",IF(C1397&gt;=65,"B","C"))</x:f>
        <x:v>C</x:v>
      </x:c>
      <x:c r="E1397" s="43" t="str">
        <x:v>Kingdom Christian School</x:v>
      </x:c>
      <x:c r="F1397" s="43" t="str"/>
      <x:c r="G1397" s="43" t="str"/>
      <x:c r="H1397" s="43" t="str">
        <x:v>DE55 7AQ</x:v>
      </x:c>
      <x:c r="I1397" s="43" t="n">
        <x:v>3</x:v>
      </x:c>
      <x:c r="J1397" s="43" t="n">
        <x:v>11</x:v>
      </x:c>
      <x:c r="K1397" s="43" t="str">
        <x:v>No boarders</x:v>
      </x:c>
      <x:c r="L1397" s="43" t="str">
        <x:v>Does not have a sixth form</x:v>
      </x:c>
      <x:c r="M1397" s="43" t="n">
        <x:v>40</x:v>
      </x:c>
      <x:c r="N1397" s="43" t="str">
        <x:v>https://www.watchornchristianschool.co.uk</x:v>
      </x:c>
      <x:c r="O1397" s="43" t="str">
        <x:v>01773831352</x:v>
      </x:c>
      <x:c r="P1397" s="43" t="str"/>
      <x:c r="Q1397" s="43" t="str"/>
      <x:c r="R1397" s="43" t="str">
        <x:v>Queued for contact research</x:v>
      </x:c>
      <x:c r="S1397" s="43" t="str">
        <x:v>Not reviewed</x:v>
      </x:c>
      <x:c r="T1397" s="43" t="str">
        <x:v>Hold</x:v>
      </x:c>
      <x:c r="U1397" s="43" t="str">
        <x:v>No</x:v>
      </x:c>
      <x:c r="V1397" s="44"/>
      <x:c r="W1397" s="43" t="str"/>
      <x:c r="X1397" s="43" t="str"/>
      <x:c r="Y1397" s="43" t="str"/>
      <x:c r="Z1397" s="43" t="str">
        <x:v>https://www.get-information-schools.service.gov.uk/Downloads</x:v>
      </x:c>
    </x:row>
    <x:row r="1398">
      <x:c r="A1398" s="43" t="str">
        <x:v>UK independent</x:v>
      </x:c>
      <x:c r="B1398" s="43" t="str">
        <x:v>104128</x:v>
      </x:c>
      <x:c r="C1398" s="43" t="n">
        <x:f>IF(K1398="Boarding school",30,0)+IF(J1398&gt;=18,20,0)+IF(I1398&lt;=11,10,0)+IF(L1398="Has a sixth form",15,0)+IF(M1398&gt;=200,10,0)+IF(N1398&lt;&gt;"",10,0)</x:f>
        <x:v>20</x:v>
      </x:c>
      <x:c r="D1398" s="43" t="str">
        <x:f>IF(C1398&gt;=85,"A",IF(C1398&gt;=65,"B","C"))</x:f>
        <x:v>C</x:v>
      </x:c>
      <x:c r="E1398" s="43" t="str">
        <x:v>Kingswood School</x:v>
      </x:c>
      <x:c r="F1398" s="43" t="str">
        <x:v>Solihull</x:v>
      </x:c>
      <x:c r="G1398" s="43" t="str">
        <x:v>West Midlands</x:v>
      </x:c>
      <x:c r="H1398" s="43" t="str">
        <x:v>B90 2BA</x:v>
      </x:c>
      <x:c r="I1398" s="43" t="n">
        <x:v>2</x:v>
      </x:c>
      <x:c r="J1398" s="43" t="n">
        <x:v>16</x:v>
      </x:c>
      <x:c r="K1398" s="43" t="str">
        <x:v>No boarders</x:v>
      </x:c>
      <x:c r="L1398" s="43" t="str">
        <x:v>Does not have a sixth form</x:v>
      </x:c>
      <x:c r="M1398" s="43" t="n">
        <x:v>40</x:v>
      </x:c>
      <x:c r="N1398" s="43" t="str">
        <x:v>https://www.kingswoodschool.co.uk</x:v>
      </x:c>
      <x:c r="O1398" s="43" t="str">
        <x:v>01217447883</x:v>
      </x:c>
      <x:c r="P1398" s="43" t="str"/>
      <x:c r="Q1398" s="43" t="str"/>
      <x:c r="R1398" s="43" t="str">
        <x:v>Queued for contact research</x:v>
      </x:c>
      <x:c r="S1398" s="43" t="str">
        <x:v>Not reviewed</x:v>
      </x:c>
      <x:c r="T1398" s="43" t="str">
        <x:v>Hold</x:v>
      </x:c>
      <x:c r="U1398" s="43" t="str">
        <x:v>No</x:v>
      </x:c>
      <x:c r="V1398" s="44"/>
      <x:c r="W1398" s="43" t="str"/>
      <x:c r="X1398" s="43" t="str"/>
      <x:c r="Y1398" s="43" t="str"/>
      <x:c r="Z1398" s="43" t="str">
        <x:v>https://www.get-information-schools.service.gov.uk/Downloads</x:v>
      </x:c>
    </x:row>
    <x:row r="1399">
      <x:c r="A1399" s="43" t="str">
        <x:v>UK independent</x:v>
      </x:c>
      <x:c r="B1399" s="43" t="str">
        <x:v>140039</x:v>
      </x:c>
      <x:c r="C1399" s="43" t="n">
        <x:f>IF(K1399="Boarding school",30,0)+IF(J1399&gt;=18,20,0)+IF(I1399&lt;=11,10,0)+IF(L1399="Has a sixth form",15,0)+IF(M1399&gt;=200,10,0)+IF(N1399&lt;&gt;"",10,0)</x:f>
        <x:v>20</x:v>
      </x:c>
      <x:c r="D1399" s="43" t="str">
        <x:f>IF(C1399&gt;=85,"A",IF(C1399&gt;=65,"B","C"))</x:f>
        <x:v>C</x:v>
      </x:c>
      <x:c r="E1399" s="43" t="str">
        <x:v>Break Through School</x:v>
      </x:c>
      <x:c r="F1399" s="43" t="str"/>
      <x:c r="G1399" s="43" t="str"/>
      <x:c r="H1399" s="43" t="str">
        <x:v>DA17 5JX</x:v>
      </x:c>
      <x:c r="I1399" s="43" t="n">
        <x:v>11</x:v>
      </x:c>
      <x:c r="J1399" s="43" t="n">
        <x:v>17</x:v>
      </x:c>
      <x:c r="K1399" s="43" t="str">
        <x:v>No boarders</x:v>
      </x:c>
      <x:c r="L1399" s="43" t="str">
        <x:v>Does not have a sixth form</x:v>
      </x:c>
      <x:c r="M1399" s="43" t="n">
        <x:v>39</x:v>
      </x:c>
      <x:c r="N1399" s="43" t="str">
        <x:v>https://www.breakthroughschool.co.uk</x:v>
      </x:c>
      <x:c r="O1399" s="43" t="str">
        <x:v>01322440049</x:v>
      </x:c>
      <x:c r="P1399" s="43" t="str"/>
      <x:c r="Q1399" s="43" t="str"/>
      <x:c r="R1399" s="43" t="str">
        <x:v>Queued for contact research</x:v>
      </x:c>
      <x:c r="S1399" s="43" t="str">
        <x:v>Not reviewed</x:v>
      </x:c>
      <x:c r="T1399" s="43" t="str">
        <x:v>Hold</x:v>
      </x:c>
      <x:c r="U1399" s="43" t="str">
        <x:v>No</x:v>
      </x:c>
      <x:c r="V1399" s="44"/>
      <x:c r="W1399" s="43" t="str"/>
      <x:c r="X1399" s="43" t="str"/>
      <x:c r="Y1399" s="43" t="str"/>
      <x:c r="Z1399" s="43" t="str">
        <x:v>https://www.get-information-schools.service.gov.uk/Downloads</x:v>
      </x:c>
    </x:row>
    <x:row r="1400">
      <x:c r="A1400" s="43" t="str">
        <x:v>UK independent</x:v>
      </x:c>
      <x:c r="B1400" s="43" t="str">
        <x:v>147546</x:v>
      </x:c>
      <x:c r="C1400" s="43" t="n">
        <x:f>IF(K1400="Boarding school",30,0)+IF(J1400&gt;=18,20,0)+IF(I1400&lt;=11,10,0)+IF(L1400="Has a sixth form",15,0)+IF(M1400&gt;=200,10,0)+IF(N1400&lt;&gt;"",10,0)</x:f>
        <x:v>20</x:v>
      </x:c>
      <x:c r="D1400" s="43" t="str">
        <x:f>IF(C1400&gt;=85,"A",IF(C1400&gt;=65,"B","C"))</x:f>
        <x:v>C</x:v>
      </x:c>
      <x:c r="E1400" s="43" t="str">
        <x:v>Educate U</x:v>
      </x:c>
      <x:c r="F1400" s="43" t="str">
        <x:v>Worthing</x:v>
      </x:c>
      <x:c r="G1400" s="43" t="str">
        <x:v>West Sussex</x:v>
      </x:c>
      <x:c r="H1400" s="43" t="str">
        <x:v>BN11 1BG</x:v>
      </x:c>
      <x:c r="I1400" s="43" t="n">
        <x:v>5</x:v>
      </x:c>
      <x:c r="J1400" s="43" t="n">
        <x:v>16</x:v>
      </x:c>
      <x:c r="K1400" s="43" t="str">
        <x:v>No boarders</x:v>
      </x:c>
      <x:c r="L1400" s="43" t="str">
        <x:v>Does not have a sixth form</x:v>
      </x:c>
      <x:c r="M1400" s="43" t="n">
        <x:v>39</x:v>
      </x:c>
      <x:c r="N1400" s="43" t="str">
        <x:v>https://www.educateu.co.uk</x:v>
      </x:c>
      <x:c r="O1400" s="43" t="str">
        <x:v>01903297906</x:v>
      </x:c>
      <x:c r="P1400" s="43" t="str"/>
      <x:c r="Q1400" s="43" t="str"/>
      <x:c r="R1400" s="43" t="str">
        <x:v>Queued for contact research</x:v>
      </x:c>
      <x:c r="S1400" s="43" t="str">
        <x:v>Not reviewed</x:v>
      </x:c>
      <x:c r="T1400" s="43" t="str">
        <x:v>Hold</x:v>
      </x:c>
      <x:c r="U1400" s="43" t="str">
        <x:v>No</x:v>
      </x:c>
      <x:c r="V1400" s="44"/>
      <x:c r="W1400" s="43" t="str"/>
      <x:c r="X1400" s="43" t="str"/>
      <x:c r="Y1400" s="43" t="str"/>
      <x:c r="Z1400" s="43" t="str">
        <x:v>https://www.get-information-schools.service.gov.uk/Downloads</x:v>
      </x:c>
    </x:row>
    <x:row r="1401">
      <x:c r="A1401" s="43" t="str">
        <x:v>UK independent</x:v>
      </x:c>
      <x:c r="B1401" s="43" t="str">
        <x:v>113629</x:v>
      </x:c>
      <x:c r="C1401" s="43" t="n">
        <x:f>IF(K1401="Boarding school",30,0)+IF(J1401&gt;=18,20,0)+IF(I1401&lt;=11,10,0)+IF(L1401="Has a sixth form",15,0)+IF(M1401&gt;=200,10,0)+IF(N1401&lt;&gt;"",10,0)</x:f>
        <x:v>20</x:v>
      </x:c>
      <x:c r="D1401" s="43" t="str">
        <x:f>IF(C1401&gt;=85,"A",IF(C1401&gt;=65,"B","C"))</x:f>
        <x:v>C</x:v>
      </x:c>
      <x:c r="E1401" s="43" t="str">
        <x:v>St Christophers School</x:v>
      </x:c>
      <x:c r="F1401" s="43" t="str">
        <x:v>Totnes</x:v>
      </x:c>
      <x:c r="G1401" s="43" t="str">
        <x:v>Devon</x:v>
      </x:c>
      <x:c r="H1401" s="43" t="str">
        <x:v>TQ9 6PF</x:v>
      </x:c>
      <x:c r="I1401" s="43" t="n">
        <x:v>3</x:v>
      </x:c>
      <x:c r="J1401" s="43" t="n">
        <x:v>11</x:v>
      </x:c>
      <x:c r="K1401" s="43" t="str">
        <x:v>No boarders</x:v>
      </x:c>
      <x:c r="L1401" s="43" t="str">
        <x:v>Does not have a sixth form</x:v>
      </x:c>
      <x:c r="M1401" s="43" t="n">
        <x:v>39</x:v>
      </x:c>
      <x:c r="N1401" s="43" t="str">
        <x:v>https://www.st-christophers.devon.sch.uk</x:v>
      </x:c>
      <x:c r="O1401" s="43" t="str">
        <x:v>01803762202</x:v>
      </x:c>
      <x:c r="P1401" s="43" t="str"/>
      <x:c r="Q1401" s="43" t="str"/>
      <x:c r="R1401" s="43" t="str">
        <x:v>Queued for contact research</x:v>
      </x:c>
      <x:c r="S1401" s="43" t="str">
        <x:v>Not reviewed</x:v>
      </x:c>
      <x:c r="T1401" s="43" t="str">
        <x:v>Hold</x:v>
      </x:c>
      <x:c r="U1401" s="43" t="str">
        <x:v>No</x:v>
      </x:c>
      <x:c r="V1401" s="44"/>
      <x:c r="W1401" s="43" t="str"/>
      <x:c r="X1401" s="43" t="str"/>
      <x:c r="Y1401" s="43" t="str"/>
      <x:c r="Z1401" s="43" t="str">
        <x:v>https://www.get-information-schools.service.gov.uk/Downloads</x:v>
      </x:c>
    </x:row>
    <x:row r="1402">
      <x:c r="A1402" s="43" t="str">
        <x:v>UK independent</x:v>
      </x:c>
      <x:c r="B1402" s="43" t="str">
        <x:v>143048</x:v>
      </x:c>
      <x:c r="C1402" s="43" t="n">
        <x:f>IF(K1402="Boarding school",30,0)+IF(J1402&gt;=18,20,0)+IF(I1402&lt;=11,10,0)+IF(L1402="Has a sixth form",15,0)+IF(M1402&gt;=200,10,0)+IF(N1402&lt;&gt;"",10,0)</x:f>
        <x:v>20</x:v>
      </x:c>
      <x:c r="D1402" s="43" t="str">
        <x:f>IF(C1402&gt;=85,"A",IF(C1402&gt;=65,"B","C"))</x:f>
        <x:v>C</x:v>
      </x:c>
      <x:c r="E1402" s="43" t="str">
        <x:v>Azbuka Russian-English Bilingual School</x:v>
      </x:c>
      <x:c r="F1402" s="43" t="str"/>
      <x:c r="G1402" s="43" t="str"/>
      <x:c r="H1402" s="43" t="str">
        <x:v>W6 0JS</x:v>
      </x:c>
      <x:c r="I1402" s="43" t="n">
        <x:v>2</x:v>
      </x:c>
      <x:c r="J1402" s="43" t="n">
        <x:v>11</x:v>
      </x:c>
      <x:c r="K1402" s="43" t="str">
        <x:v>No boarders</x:v>
      </x:c>
      <x:c r="L1402" s="43" t="str">
        <x:v>Does not have a sixth form</x:v>
      </x:c>
      <x:c r="M1402" s="43" t="n">
        <x:v>38</x:v>
      </x:c>
      <x:c r="N1402" s="43" t="str">
        <x:v>https://www.azbukafoundation.org</x:v>
      </x:c>
      <x:c r="O1402" s="43" t="str">
        <x:v>02083922286</x:v>
      </x:c>
      <x:c r="P1402" s="43" t="str"/>
      <x:c r="Q1402" s="43" t="str"/>
      <x:c r="R1402" s="43" t="str">
        <x:v>Queued for contact research</x:v>
      </x:c>
      <x:c r="S1402" s="43" t="str">
        <x:v>Not reviewed</x:v>
      </x:c>
      <x:c r="T1402" s="43" t="str">
        <x:v>Hold</x:v>
      </x:c>
      <x:c r="U1402" s="43" t="str">
        <x:v>No</x:v>
      </x:c>
      <x:c r="V1402" s="44"/>
      <x:c r="W1402" s="43" t="str"/>
      <x:c r="X1402" s="43" t="str"/>
      <x:c r="Y1402" s="43" t="str"/>
      <x:c r="Z1402" s="43" t="str">
        <x:v>https://www.get-information-schools.service.gov.uk/Downloads</x:v>
      </x:c>
    </x:row>
    <x:row r="1403">
      <x:c r="A1403" s="43" t="str">
        <x:v>UK independent</x:v>
      </x:c>
      <x:c r="B1403" s="43" t="str">
        <x:v>149017</x:v>
      </x:c>
      <x:c r="C1403" s="43" t="n">
        <x:f>IF(K1403="Boarding school",30,0)+IF(J1403&gt;=18,20,0)+IF(I1403&lt;=11,10,0)+IF(L1403="Has a sixth form",15,0)+IF(M1403&gt;=200,10,0)+IF(N1403&lt;&gt;"",10,0)</x:f>
        <x:v>20</x:v>
      </x:c>
      <x:c r="D1403" s="43" t="str">
        <x:f>IF(C1403&gt;=85,"A",IF(C1403&gt;=65,"B","C"))</x:f>
        <x:v>C</x:v>
      </x:c>
      <x:c r="E1403" s="43" t="str">
        <x:v>Lancashire Alternative Provision</x:v>
      </x:c>
      <x:c r="F1403" s="43" t="str">
        <x:v>Blackpool</x:v>
      </x:c>
      <x:c r="G1403" s="43" t="str">
        <x:v>Lancashire</x:v>
      </x:c>
      <x:c r="H1403" s="43" t="str">
        <x:v>FY3 7UN</x:v>
      </x:c>
      <x:c r="I1403" s="43" t="n">
        <x:v>11</x:v>
      </x:c>
      <x:c r="J1403" s="43" t="n">
        <x:v>16</x:v>
      </x:c>
      <x:c r="K1403" s="43" t="str">
        <x:v>No boarders</x:v>
      </x:c>
      <x:c r="L1403" s="43" t="str">
        <x:v>Does not have a sixth form</x:v>
      </x:c>
      <x:c r="M1403" s="43" t="n">
        <x:v>38</x:v>
      </x:c>
      <x:c r="N1403" s="43" t="str">
        <x:v>https://tailored-education-group.schudio.com/</x:v>
      </x:c>
      <x:c r="O1403" s="43" t="str">
        <x:v>07949954015</x:v>
      </x:c>
      <x:c r="P1403" s="43" t="str"/>
      <x:c r="Q1403" s="43" t="str"/>
      <x:c r="R1403" s="43" t="str">
        <x:v>Queued for contact research</x:v>
      </x:c>
      <x:c r="S1403" s="43" t="str">
        <x:v>Not reviewed</x:v>
      </x:c>
      <x:c r="T1403" s="43" t="str">
        <x:v>Hold</x:v>
      </x:c>
      <x:c r="U1403" s="43" t="str">
        <x:v>No</x:v>
      </x:c>
      <x:c r="V1403" s="44"/>
      <x:c r="W1403" s="43" t="str"/>
      <x:c r="X1403" s="43" t="str"/>
      <x:c r="Y1403" s="43" t="str"/>
      <x:c r="Z1403" s="43" t="str">
        <x:v>https://www.get-information-schools.service.gov.uk/Downloads</x:v>
      </x:c>
    </x:row>
    <x:row r="1404">
      <x:c r="A1404" s="43" t="str">
        <x:v>UK independent</x:v>
      </x:c>
      <x:c r="B1404" s="43" t="str">
        <x:v>147697</x:v>
      </x:c>
      <x:c r="C1404" s="43" t="n">
        <x:f>IF(K1404="Boarding school",30,0)+IF(J1404&gt;=18,20,0)+IF(I1404&lt;=11,10,0)+IF(L1404="Has a sixth form",15,0)+IF(M1404&gt;=200,10,0)+IF(N1404&lt;&gt;"",10,0)</x:f>
        <x:v>20</x:v>
      </x:c>
      <x:c r="D1404" s="43" t="str">
        <x:f>IF(C1404&gt;=85,"A",IF(C1404&gt;=65,"B","C"))</x:f>
        <x:v>C</x:v>
      </x:c>
      <x:c r="E1404" s="43" t="str">
        <x:v>Progress Schools - Thrapston</x:v>
      </x:c>
      <x:c r="F1404" s="43" t="str"/>
      <x:c r="G1404" s="43" t="str"/>
      <x:c r="H1404" s="43" t="str">
        <x:v>NN14 4LZ</x:v>
      </x:c>
      <x:c r="I1404" s="43" t="n">
        <x:v>11</x:v>
      </x:c>
      <x:c r="J1404" s="43" t="n">
        <x:v>16</x:v>
      </x:c>
      <x:c r="K1404" s="43" t="str">
        <x:v>No boarders</x:v>
      </x:c>
      <x:c r="L1404" s="43" t="str">
        <x:v>Does not have a sixth form</x:v>
      </x:c>
      <x:c r="M1404" s="43" t="n">
        <x:v>38</x:v>
      </x:c>
      <x:c r="N1404" s="43" t="str">
        <x:v>https://www.progress-schools.co.uk</x:v>
      </x:c>
      <x:c r="O1404" s="43" t="str">
        <x:v>01832777089</x:v>
      </x:c>
      <x:c r="P1404" s="43" t="str"/>
      <x:c r="Q1404" s="43" t="str"/>
      <x:c r="R1404" s="43" t="str">
        <x:v>Queued for contact research</x:v>
      </x:c>
      <x:c r="S1404" s="43" t="str">
        <x:v>Not reviewed</x:v>
      </x:c>
      <x:c r="T1404" s="43" t="str">
        <x:v>Hold</x:v>
      </x:c>
      <x:c r="U1404" s="43" t="str">
        <x:v>No</x:v>
      </x:c>
      <x:c r="V1404" s="44"/>
      <x:c r="W1404" s="43" t="str"/>
      <x:c r="X1404" s="43" t="str"/>
      <x:c r="Y1404" s="43" t="str"/>
      <x:c r="Z1404" s="43" t="str">
        <x:v>https://www.get-information-schools.service.gov.uk/Downloads</x:v>
      </x:c>
    </x:row>
    <x:row r="1405">
      <x:c r="A1405" s="43" t="str">
        <x:v>UK independent</x:v>
      </x:c>
      <x:c r="B1405" s="43" t="str">
        <x:v>105747</x:v>
      </x:c>
      <x:c r="C1405" s="43" t="n">
        <x:f>IF(K1405="Boarding school",30,0)+IF(J1405&gt;=18,20,0)+IF(I1405&lt;=11,10,0)+IF(L1405="Has a sixth form",15,0)+IF(M1405&gt;=200,10,0)+IF(N1405&lt;&gt;"",10,0)</x:f>
        <x:v>20</x:v>
      </x:c>
      <x:c r="D1405" s="43" t="str">
        <x:f>IF(C1405&gt;=85,"A",IF(C1405&gt;=65,"B","C"))</x:f>
        <x:v>C</x:v>
      </x:c>
      <x:c r="E1405" s="43" t="str">
        <x:v>Farrowdale House School</x:v>
      </x:c>
      <x:c r="F1405" s="43" t="str">
        <x:v>Oldham</x:v>
      </x:c>
      <x:c r="G1405" s="43" t="str">
        <x:v>Lancashire</x:v>
      </x:c>
      <x:c r="H1405" s="43" t="str">
        <x:v>OL2 7AD</x:v>
      </x:c>
      <x:c r="I1405" s="43" t="n">
        <x:v>3</x:v>
      </x:c>
      <x:c r="J1405" s="43" t="n">
        <x:v>11</x:v>
      </x:c>
      <x:c r="K1405" s="43" t="str">
        <x:v>No boarders</x:v>
      </x:c>
      <x:c r="L1405" s="43" t="str">
        <x:v>Does not have a sixth form</x:v>
      </x:c>
      <x:c r="M1405" s="43" t="n">
        <x:v>37</x:v>
      </x:c>
      <x:c r="N1405" s="43" t="str">
        <x:v>https://www.farrowdale.co.uk</x:v>
      </x:c>
      <x:c r="O1405" s="43" t="str">
        <x:v>01706844533</x:v>
      </x:c>
      <x:c r="P1405" s="43" t="str"/>
      <x:c r="Q1405" s="43" t="str"/>
      <x:c r="R1405" s="43" t="str">
        <x:v>Queued for contact research</x:v>
      </x:c>
      <x:c r="S1405" s="43" t="str">
        <x:v>Not reviewed</x:v>
      </x:c>
      <x:c r="T1405" s="43" t="str">
        <x:v>Hold</x:v>
      </x:c>
      <x:c r="U1405" s="43" t="str">
        <x:v>No</x:v>
      </x:c>
      <x:c r="V1405" s="44"/>
      <x:c r="W1405" s="43" t="str"/>
      <x:c r="X1405" s="43" t="str"/>
      <x:c r="Y1405" s="43" t="str"/>
      <x:c r="Z1405" s="43" t="str">
        <x:v>https://www.get-information-schools.service.gov.uk/Downloads</x:v>
      </x:c>
    </x:row>
    <x:row r="1406">
      <x:c r="A1406" s="43" t="str">
        <x:v>UK independent</x:v>
      </x:c>
      <x:c r="B1406" s="43" t="str">
        <x:v>151452</x:v>
      </x:c>
      <x:c r="C1406" s="43" t="n">
        <x:f>IF(K1406="Boarding school",30,0)+IF(J1406&gt;=18,20,0)+IF(I1406&lt;=11,10,0)+IF(L1406="Has a sixth form",15,0)+IF(M1406&gt;=200,10,0)+IF(N1406&lt;&gt;"",10,0)</x:f>
        <x:v>20</x:v>
      </x:c>
      <x:c r="D1406" s="43" t="str">
        <x:f>IF(C1406&gt;=85,"A",IF(C1406&gt;=65,"B","C"))</x:f>
        <x:v>C</x:v>
      </x:c>
      <x:c r="E1406" s="43" t="str">
        <x:v>Nuqtah Primary School</x:v>
      </x:c>
      <x:c r="F1406" s="43" t="str">
        <x:v>Rochdale</x:v>
      </x:c>
      <x:c r="G1406" s="43" t="str"/>
      <x:c r="H1406" s="43" t="str">
        <x:v>OL11 1QH</x:v>
      </x:c>
      <x:c r="I1406" s="43" t="n">
        <x:v>4</x:v>
      </x:c>
      <x:c r="J1406" s="43" t="n">
        <x:v>11</x:v>
      </x:c>
      <x:c r="K1406" s="43" t="str">
        <x:v>No boarders</x:v>
      </x:c>
      <x:c r="L1406" s="43" t="str">
        <x:v>Does not have a sixth form</x:v>
      </x:c>
      <x:c r="M1406" s="43" t="n">
        <x:v>37</x:v>
      </x:c>
      <x:c r="N1406" s="43" t="str">
        <x:v>https://nuqtahprimary.com/</x:v>
      </x:c>
      <x:c r="O1406" s="43" t="str">
        <x:v>07786137316</x:v>
      </x:c>
      <x:c r="P1406" s="43" t="str"/>
      <x:c r="Q1406" s="43" t="str"/>
      <x:c r="R1406" s="43" t="str">
        <x:v>Queued for contact research</x:v>
      </x:c>
      <x:c r="S1406" s="43" t="str">
        <x:v>Not reviewed</x:v>
      </x:c>
      <x:c r="T1406" s="43" t="str">
        <x:v>Hold</x:v>
      </x:c>
      <x:c r="U1406" s="43" t="str">
        <x:v>No</x:v>
      </x:c>
      <x:c r="V1406" s="44"/>
      <x:c r="W1406" s="43" t="str"/>
      <x:c r="X1406" s="43" t="str"/>
      <x:c r="Y1406" s="43" t="str"/>
      <x:c r="Z1406" s="43" t="str">
        <x:v>https://www.get-information-schools.service.gov.uk/Downloads</x:v>
      </x:c>
    </x:row>
    <x:row r="1407">
      <x:c r="A1407" s="43" t="str">
        <x:v>UK independent</x:v>
      </x:c>
      <x:c r="B1407" s="43" t="str">
        <x:v>131351</x:v>
      </x:c>
      <x:c r="C1407" s="43" t="n">
        <x:f>IF(K1407="Boarding school",30,0)+IF(J1407&gt;=18,20,0)+IF(I1407&lt;=11,10,0)+IF(L1407="Has a sixth form",15,0)+IF(M1407&gt;=200,10,0)+IF(N1407&lt;&gt;"",10,0)</x:f>
        <x:v>20</x:v>
      </x:c>
      <x:c r="D1407" s="43" t="str">
        <x:f>IF(C1407&gt;=85,"A",IF(C1407&gt;=65,"B","C"))</x:f>
        <x:v>C</x:v>
      </x:c>
      <x:c r="E1407" s="43" t="str">
        <x:v>Educare Small School</x:v>
      </x:c>
      <x:c r="F1407" s="43" t="str">
        <x:v>Kingston upon Thames</x:v>
      </x:c>
      <x:c r="G1407" s="43" t="str">
        <x:v>Surrey</x:v>
      </x:c>
      <x:c r="H1407" s="43" t="str">
        <x:v>KT2 6DZ</x:v>
      </x:c>
      <x:c r="I1407" s="43" t="n">
        <x:v>3</x:v>
      </x:c>
      <x:c r="J1407" s="43" t="n">
        <x:v>11</x:v>
      </x:c>
      <x:c r="K1407" s="43" t="str">
        <x:v>No boarders</x:v>
      </x:c>
      <x:c r="L1407" s="43" t="str">
        <x:v>Does not have a sixth form</x:v>
      </x:c>
      <x:c r="M1407" s="43" t="n">
        <x:v>36</x:v>
      </x:c>
      <x:c r="N1407" s="43" t="str">
        <x:v>https://www.educaresmallschool.org.uk</x:v>
      </x:c>
      <x:c r="O1407" s="43" t="str">
        <x:v>442085470144</x:v>
      </x:c>
      <x:c r="P1407" s="43" t="str"/>
      <x:c r="Q1407" s="43" t="str"/>
      <x:c r="R1407" s="43" t="str">
        <x:v>Queued for contact research</x:v>
      </x:c>
      <x:c r="S1407" s="43" t="str">
        <x:v>Not reviewed</x:v>
      </x:c>
      <x:c r="T1407" s="43" t="str">
        <x:v>Hold</x:v>
      </x:c>
      <x:c r="U1407" s="43" t="str">
        <x:v>No</x:v>
      </x:c>
      <x:c r="V1407" s="44"/>
      <x:c r="W1407" s="43" t="str"/>
      <x:c r="X1407" s="43" t="str"/>
      <x:c r="Y1407" s="43" t="str"/>
      <x:c r="Z1407" s="43" t="str">
        <x:v>https://www.get-information-schools.service.gov.uk/Downloads</x:v>
      </x:c>
    </x:row>
    <x:row r="1408">
      <x:c r="A1408" s="43" t="str">
        <x:v>UK independent</x:v>
      </x:c>
      <x:c r="B1408" s="43" t="str">
        <x:v>147468</x:v>
      </x:c>
      <x:c r="C1408" s="43" t="n">
        <x:f>IF(K1408="Boarding school",30,0)+IF(J1408&gt;=18,20,0)+IF(I1408&lt;=11,10,0)+IF(L1408="Has a sixth form",15,0)+IF(M1408&gt;=200,10,0)+IF(N1408&lt;&gt;"",10,0)</x:f>
        <x:v>20</x:v>
      </x:c>
      <x:c r="D1408" s="43" t="str">
        <x:f>IF(C1408&gt;=85,"A",IF(C1408&gt;=65,"B","C"))</x:f>
        <x:v>C</x:v>
      </x:c>
      <x:c r="E1408" s="43" t="str">
        <x:v>Progress Schools - Hamilton Square</x:v>
      </x:c>
      <x:c r="F1408" s="43" t="str"/>
      <x:c r="G1408" s="43" t="str"/>
      <x:c r="H1408" s="43" t="str">
        <x:v>CH41 5AT</x:v>
      </x:c>
      <x:c r="I1408" s="43" t="n">
        <x:v>11</x:v>
      </x:c>
      <x:c r="J1408" s="43" t="n">
        <x:v>16</x:v>
      </x:c>
      <x:c r="K1408" s="43" t="str">
        <x:v>No boarders</x:v>
      </x:c>
      <x:c r="L1408" s="43" t="str">
        <x:v>Does not have a sixth form</x:v>
      </x:c>
      <x:c r="M1408" s="43" t="n">
        <x:v>35</x:v>
      </x:c>
      <x:c r="N1408" s="43" t="str">
        <x:v>https://www.progress-schools.co.uk</x:v>
      </x:c>
      <x:c r="O1408" s="43" t="str">
        <x:v>01513185066</x:v>
      </x:c>
      <x:c r="P1408" s="43" t="str"/>
      <x:c r="Q1408" s="43" t="str"/>
      <x:c r="R1408" s="43" t="str">
        <x:v>Queued for contact research</x:v>
      </x:c>
      <x:c r="S1408" s="43" t="str">
        <x:v>Not reviewed</x:v>
      </x:c>
      <x:c r="T1408" s="43" t="str">
        <x:v>Hold</x:v>
      </x:c>
      <x:c r="U1408" s="43" t="str">
        <x:v>No</x:v>
      </x:c>
      <x:c r="V1408" s="44"/>
      <x:c r="W1408" s="43" t="str"/>
      <x:c r="X1408" s="43" t="str"/>
      <x:c r="Y1408" s="43" t="str"/>
      <x:c r="Z1408" s="43" t="str">
        <x:v>https://www.get-information-schools.service.gov.uk/Downloads</x:v>
      </x:c>
    </x:row>
    <x:row r="1409">
      <x:c r="A1409" s="43" t="str">
        <x:v>UK independent</x:v>
      </x:c>
      <x:c r="B1409" s="43" t="str">
        <x:v>106158</x:v>
      </x:c>
      <x:c r="C1409" s="43" t="n">
        <x:f>IF(K1409="Boarding school",30,0)+IF(J1409&gt;=18,20,0)+IF(I1409&lt;=11,10,0)+IF(L1409="Has a sixth form",15,0)+IF(M1409&gt;=200,10,0)+IF(N1409&lt;&gt;"",10,0)</x:f>
        <x:v>20</x:v>
      </x:c>
      <x:c r="D1409" s="43" t="str">
        <x:f>IF(C1409&gt;=85,"A",IF(C1409&gt;=65,"B","C"))</x:f>
        <x:v>C</x:v>
      </x:c>
      <x:c r="E1409" s="43" t="str">
        <x:v>Covenant Christian School</x:v>
      </x:c>
      <x:c r="F1409" s="43" t="str">
        <x:v>Stockport</x:v>
      </x:c>
      <x:c r="G1409" s="43" t="str">
        <x:v>Cheshire</x:v>
      </x:c>
      <x:c r="H1409" s="43" t="str">
        <x:v>SK4 4NX</x:v>
      </x:c>
      <x:c r="I1409" s="43" t="n">
        <x:v>5</x:v>
      </x:c>
      <x:c r="J1409" s="43" t="n">
        <x:v>16</x:v>
      </x:c>
      <x:c r="K1409" s="43" t="str">
        <x:v>No boarders</x:v>
      </x:c>
      <x:c r="L1409" s="43" t="str">
        <x:v>Does not have a sixth form</x:v>
      </x:c>
      <x:c r="M1409" s="43" t="n">
        <x:v>34</x:v>
      </x:c>
      <x:c r="N1409" s="43" t="str">
        <x:v>https://www.covenant-christian-school.co.uk</x:v>
      </x:c>
      <x:c r="O1409" s="43" t="str">
        <x:v>01614323782</x:v>
      </x:c>
      <x:c r="P1409" s="43" t="str"/>
      <x:c r="Q1409" s="43" t="str"/>
      <x:c r="R1409" s="43" t="str">
        <x:v>Queued for contact research</x:v>
      </x:c>
      <x:c r="S1409" s="43" t="str">
        <x:v>Not reviewed</x:v>
      </x:c>
      <x:c r="T1409" s="43" t="str">
        <x:v>Hold</x:v>
      </x:c>
      <x:c r="U1409" s="43" t="str">
        <x:v>No</x:v>
      </x:c>
      <x:c r="V1409" s="44"/>
      <x:c r="W1409" s="43" t="str"/>
      <x:c r="X1409" s="43" t="str"/>
      <x:c r="Y1409" s="43" t="str"/>
      <x:c r="Z1409" s="43" t="str">
        <x:v>https://www.get-information-schools.service.gov.uk/Downloads</x:v>
      </x:c>
    </x:row>
    <x:row r="1410">
      <x:c r="A1410" s="43" t="str">
        <x:v>UK independent</x:v>
      </x:c>
      <x:c r="B1410" s="43" t="str">
        <x:v>146973</x:v>
      </x:c>
      <x:c r="C1410" s="43" t="n">
        <x:f>IF(K1410="Boarding school",30,0)+IF(J1410&gt;=18,20,0)+IF(I1410&lt;=11,10,0)+IF(L1410="Has a sixth form",15,0)+IF(M1410&gt;=200,10,0)+IF(N1410&lt;&gt;"",10,0)</x:f>
        <x:v>20</x:v>
      </x:c>
      <x:c r="D1410" s="43" t="str">
        <x:f>IF(C1410&gt;=85,"A",IF(C1410&gt;=65,"B","C"))</x:f>
        <x:v>C</x:v>
      </x:c>
      <x:c r="E1410" s="43" t="str">
        <x:v>Koru Independent AP Academy</x:v>
      </x:c>
      <x:c r="F1410" s="43" t="str">
        <x:v>Romford</x:v>
      </x:c>
      <x:c r="G1410" s="43" t="str"/>
      <x:c r="H1410" s="43" t="str">
        <x:v>RM3 7SU</x:v>
      </x:c>
      <x:c r="I1410" s="43" t="n">
        <x:v>11</x:v>
      </x:c>
      <x:c r="J1410" s="43" t="n">
        <x:v>16</x:v>
      </x:c>
      <x:c r="K1410" s="43" t="str">
        <x:v>No boarders</x:v>
      </x:c>
      <x:c r="L1410" s="43" t="str">
        <x:v>Does not have a sixth form</x:v>
      </x:c>
      <x:c r="M1410" s="43" t="n">
        <x:v>33</x:v>
      </x:c>
      <x:c r="N1410" s="43" t="str">
        <x:v>https://www.korueducation.co.uk</x:v>
      </x:c>
      <x:c r="O1410" s="43" t="str">
        <x:v>01708204560</x:v>
      </x:c>
      <x:c r="P1410" s="43" t="str"/>
      <x:c r="Q1410" s="43" t="str"/>
      <x:c r="R1410" s="43" t="str">
        <x:v>Queued for contact research</x:v>
      </x:c>
      <x:c r="S1410" s="43" t="str">
        <x:v>Not reviewed</x:v>
      </x:c>
      <x:c r="T1410" s="43" t="str">
        <x:v>Hold</x:v>
      </x:c>
      <x:c r="U1410" s="43" t="str">
        <x:v>No</x:v>
      </x:c>
      <x:c r="V1410" s="44"/>
      <x:c r="W1410" s="43" t="str"/>
      <x:c r="X1410" s="43" t="str"/>
      <x:c r="Y1410" s="43" t="str"/>
      <x:c r="Z1410" s="43" t="str">
        <x:v>https://www.get-information-schools.service.gov.uk/Downloads</x:v>
      </x:c>
    </x:row>
    <x:row r="1411">
      <x:c r="A1411" s="43" t="str">
        <x:v>UK independent</x:v>
      </x:c>
      <x:c r="B1411" s="43" t="str">
        <x:v>148642</x:v>
      </x:c>
      <x:c r="C1411" s="43" t="n">
        <x:f>IF(K1411="Boarding school",30,0)+IF(J1411&gt;=18,20,0)+IF(I1411&lt;=11,10,0)+IF(L1411="Has a sixth form",15,0)+IF(M1411&gt;=200,10,0)+IF(N1411&lt;&gt;"",10,0)</x:f>
        <x:v>20</x:v>
      </x:c>
      <x:c r="D1411" s="43" t="str">
        <x:f>IF(C1411&gt;=85,"A",IF(C1411&gt;=65,"B","C"))</x:f>
        <x:v>C</x:v>
      </x:c>
      <x:c r="E1411" s="43" t="str">
        <x:v>Priory Park Community School</x:v>
      </x:c>
      <x:c r="F1411" s="43" t="str"/>
      <x:c r="G1411" s="43" t="str"/>
      <x:c r="H1411" s="43" t="str">
        <x:v>DY1 3JY</x:v>
      </x:c>
      <x:c r="I1411" s="43" t="n">
        <x:v>11</x:v>
      </x:c>
      <x:c r="J1411" s="43" t="n">
        <x:v>16</x:v>
      </x:c>
      <x:c r="K1411" s="43" t="str">
        <x:v>No boarders</x:v>
      </x:c>
      <x:c r="L1411" s="43" t="str">
        <x:v>Does not have a sixth form</x:v>
      </x:c>
      <x:c r="M1411" s="43" t="n">
        <x:v>33</x:v>
      </x:c>
      <x:c r="N1411" s="43" t="str">
        <x:v>https://prioryparkschool.co.uk/</x:v>
      </x:c>
      <x:c r="O1411" s="43" t="str">
        <x:v>01384813640</x:v>
      </x:c>
      <x:c r="P1411" s="43" t="str"/>
      <x:c r="Q1411" s="43" t="str"/>
      <x:c r="R1411" s="43" t="str">
        <x:v>Queued for contact research</x:v>
      </x:c>
      <x:c r="S1411" s="43" t="str">
        <x:v>Not reviewed</x:v>
      </x:c>
      <x:c r="T1411" s="43" t="str">
        <x:v>Hold</x:v>
      </x:c>
      <x:c r="U1411" s="43" t="str">
        <x:v>No</x:v>
      </x:c>
      <x:c r="V1411" s="44"/>
      <x:c r="W1411" s="43" t="str"/>
      <x:c r="X1411" s="43" t="str"/>
      <x:c r="Y1411" s="43" t="str"/>
      <x:c r="Z1411" s="43" t="str">
        <x:v>https://www.get-information-schools.service.gov.uk/Downloads</x:v>
      </x:c>
    </x:row>
    <x:row r="1412">
      <x:c r="A1412" s="43" t="str">
        <x:v>UK independent</x:v>
      </x:c>
      <x:c r="B1412" s="43" t="str">
        <x:v>149383</x:v>
      </x:c>
      <x:c r="C1412" s="43" t="n">
        <x:f>IF(K1412="Boarding school",30,0)+IF(J1412&gt;=18,20,0)+IF(I1412&lt;=11,10,0)+IF(L1412="Has a sixth form",15,0)+IF(M1412&gt;=200,10,0)+IF(N1412&lt;&gt;"",10,0)</x:f>
        <x:v>20</x:v>
      </x:c>
      <x:c r="D1412" s="43" t="str">
        <x:f>IF(C1412&gt;=85,"A",IF(C1412&gt;=65,"B","C"))</x:f>
        <x:v>C</x:v>
      </x:c>
      <x:c r="E1412" s="43" t="str">
        <x:v>Reintegreat Education Solutions Ltd</x:v>
      </x:c>
      <x:c r="F1412" s="43" t="str">
        <x:v>Middlesbrough</x:v>
      </x:c>
      <x:c r="G1412" s="43" t="str">
        <x:v>Teesside</x:v>
      </x:c>
      <x:c r="H1412" s="43" t="str">
        <x:v>TS3 7AR</x:v>
      </x:c>
      <x:c r="I1412" s="43" t="n">
        <x:v>11</x:v>
      </x:c>
      <x:c r="J1412" s="43" t="n">
        <x:v>16</x:v>
      </x:c>
      <x:c r="K1412" s="43" t="str">
        <x:v>No boarders</x:v>
      </x:c>
      <x:c r="L1412" s="43" t="str">
        <x:v>Does not have a sixth form</x:v>
      </x:c>
      <x:c r="M1412" s="43" t="n">
        <x:v>33</x:v>
      </x:c>
      <x:c r="N1412" s="43" t="str">
        <x:v>https://www.reintegreat.org.uk/</x:v>
      </x:c>
      <x:c r="O1412" s="43" t="str">
        <x:v>07741269016</x:v>
      </x:c>
      <x:c r="P1412" s="43" t="str"/>
      <x:c r="Q1412" s="43" t="str"/>
      <x:c r="R1412" s="43" t="str">
        <x:v>Queued for contact research</x:v>
      </x:c>
      <x:c r="S1412" s="43" t="str">
        <x:v>Not reviewed</x:v>
      </x:c>
      <x:c r="T1412" s="43" t="str">
        <x:v>Hold</x:v>
      </x:c>
      <x:c r="U1412" s="43" t="str">
        <x:v>No</x:v>
      </x:c>
      <x:c r="V1412" s="44"/>
      <x:c r="W1412" s="43" t="str"/>
      <x:c r="X1412" s="43" t="str"/>
      <x:c r="Y1412" s="43" t="str"/>
      <x:c r="Z1412" s="43" t="str">
        <x:v>https://www.get-information-schools.service.gov.uk/Downloads</x:v>
      </x:c>
    </x:row>
    <x:row r="1413">
      <x:c r="A1413" s="43" t="str">
        <x:v>UK independent</x:v>
      </x:c>
      <x:c r="B1413" s="43" t="str">
        <x:v>144514</x:v>
      </x:c>
      <x:c r="C1413" s="43" t="n">
        <x:f>IF(K1413="Boarding school",30,0)+IF(J1413&gt;=18,20,0)+IF(I1413&lt;=11,10,0)+IF(L1413="Has a sixth form",15,0)+IF(M1413&gt;=200,10,0)+IF(N1413&lt;&gt;"",10,0)</x:f>
        <x:v>20</x:v>
      </x:c>
      <x:c r="D1413" s="43" t="str">
        <x:f>IF(C1413&gt;=85,"A",IF(C1413&gt;=65,"B","C"))</x:f>
        <x:v>C</x:v>
      </x:c>
      <x:c r="E1413" s="43" t="str">
        <x:v>Brunel College</x:v>
      </x:c>
      <x:c r="F1413" s="43" t="str"/>
      <x:c r="G1413" s="43" t="str"/>
      <x:c r="H1413" s="43" t="str">
        <x:v>SP2 7PY</x:v>
      </x:c>
      <x:c r="I1413" s="43" t="n">
        <x:v>11</x:v>
      </x:c>
      <x:c r="J1413" s="43" t="n">
        <x:v>16</x:v>
      </x:c>
      <x:c r="K1413" s="43" t="str">
        <x:v>No boarders</x:v>
      </x:c>
      <x:c r="L1413" s="43" t="str">
        <x:v>Does not have a sixth form</x:v>
      </x:c>
      <x:c r="M1413" s="43" t="n">
        <x:v>32</x:v>
      </x:c>
      <x:c r="N1413" s="43" t="str">
        <x:v>https://www.brunelcollege.co.uk</x:v>
      </x:c>
      <x:c r="O1413" s="43" t="str">
        <x:v>01722786138</x:v>
      </x:c>
      <x:c r="P1413" s="43" t="str"/>
      <x:c r="Q1413" s="43" t="str"/>
      <x:c r="R1413" s="43" t="str">
        <x:v>Queued for contact research</x:v>
      </x:c>
      <x:c r="S1413" s="43" t="str">
        <x:v>Not reviewed</x:v>
      </x:c>
      <x:c r="T1413" s="43" t="str">
        <x:v>Hold</x:v>
      </x:c>
      <x:c r="U1413" s="43" t="str">
        <x:v>No</x:v>
      </x:c>
      <x:c r="V1413" s="44"/>
      <x:c r="W1413" s="43" t="str"/>
      <x:c r="X1413" s="43" t="str"/>
      <x:c r="Y1413" s="43" t="str"/>
      <x:c r="Z1413" s="43" t="str">
        <x:v>https://www.get-information-schools.service.gov.uk/Downloads</x:v>
      </x:c>
    </x:row>
    <x:row r="1414">
      <x:c r="A1414" s="43" t="str">
        <x:v>UK independent</x:v>
      </x:c>
      <x:c r="B1414" s="43" t="str">
        <x:v>131830</x:v>
      </x:c>
      <x:c r="C1414" s="43" t="n">
        <x:f>IF(K1414="Boarding school",30,0)+IF(J1414&gt;=18,20,0)+IF(I1414&lt;=11,10,0)+IF(L1414="Has a sixth form",15,0)+IF(M1414&gt;=200,10,0)+IF(N1414&lt;&gt;"",10,0)</x:f>
        <x:v>20</x:v>
      </x:c>
      <x:c r="D1414" s="43" t="str">
        <x:f>IF(C1414&gt;=85,"A",IF(C1414&gt;=65,"B","C"))</x:f>
        <x:v>C</x:v>
      </x:c>
      <x:c r="E1414" s="43" t="str">
        <x:v>Susi Earnshaw Theatre School</x:v>
      </x:c>
      <x:c r="F1414" s="43" t="str">
        <x:v>Barnet</x:v>
      </x:c>
      <x:c r="G1414" s="43" t="str">
        <x:v>Hertfordshire</x:v>
      </x:c>
      <x:c r="H1414" s="43" t="str">
        <x:v>EN5 5SJ</x:v>
      </x:c>
      <x:c r="I1414" s="43" t="n">
        <x:v>9</x:v>
      </x:c>
      <x:c r="J1414" s="43" t="n">
        <x:v>16</x:v>
      </x:c>
      <x:c r="K1414" s="43" t="str">
        <x:v>No boarders</x:v>
      </x:c>
      <x:c r="L1414" s="43" t="str">
        <x:v>Does not have a sixth form</x:v>
      </x:c>
      <x:c r="M1414" s="43" t="n">
        <x:v>31</x:v>
      </x:c>
      <x:c r="N1414" s="43" t="str">
        <x:v>https://www.susiearnshaw.co.uk</x:v>
      </x:c>
      <x:c r="O1414" s="43" t="str">
        <x:v>02084415010</x:v>
      </x:c>
      <x:c r="P1414" s="43" t="str"/>
      <x:c r="Q1414" s="43" t="str"/>
      <x:c r="R1414" s="43" t="str">
        <x:v>Queued for contact research</x:v>
      </x:c>
      <x:c r="S1414" s="43" t="str">
        <x:v>Not reviewed</x:v>
      </x:c>
      <x:c r="T1414" s="43" t="str">
        <x:v>Hold</x:v>
      </x:c>
      <x:c r="U1414" s="43" t="str">
        <x:v>No</x:v>
      </x:c>
      <x:c r="V1414" s="44"/>
      <x:c r="W1414" s="43" t="str"/>
      <x:c r="X1414" s="43" t="str"/>
      <x:c r="Y1414" s="43" t="str"/>
      <x:c r="Z1414" s="43" t="str">
        <x:v>https://www.get-information-schools.service.gov.uk/Downloads</x:v>
      </x:c>
    </x:row>
    <x:row r="1415">
      <x:c r="A1415" s="43" t="str">
        <x:v>UK independent</x:v>
      </x:c>
      <x:c r="B1415" s="43" t="str">
        <x:v>136258</x:v>
      </x:c>
      <x:c r="C1415" s="43" t="n">
        <x:f>IF(K1415="Boarding school",30,0)+IF(J1415&gt;=18,20,0)+IF(I1415&lt;=11,10,0)+IF(L1415="Has a sixth form",15,0)+IF(M1415&gt;=200,10,0)+IF(N1415&lt;&gt;"",10,0)</x:f>
        <x:v>20</x:v>
      </x:c>
      <x:c r="D1415" s="43" t="str">
        <x:f>IF(C1415&gt;=85,"A",IF(C1415&gt;=65,"B","C"))</x:f>
        <x:v>C</x:v>
      </x:c>
      <x:c r="E1415" s="43" t="str">
        <x:v>Bahr Academy</x:v>
      </x:c>
      <x:c r="F1415" s="43" t="str">
        <x:v>Newcastle-upon-Tyne</x:v>
      </x:c>
      <x:c r="G1415" s="43" t="str">
        <x:v>Tyne and Wear</x:v>
      </x:c>
      <x:c r="H1415" s="43" t="str">
        <x:v>NE4 6PR</x:v>
      </x:c>
      <x:c r="I1415" s="43" t="n">
        <x:v>11</x:v>
      </x:c>
      <x:c r="J1415" s="43" t="n">
        <x:v>16</x:v>
      </x:c>
      <x:c r="K1415" s="43" t="str">
        <x:v>No boarders</x:v>
      </x:c>
      <x:c r="L1415" s="43" t="str">
        <x:v>Does not have a sixth form</x:v>
      </x:c>
      <x:c r="M1415" s="43" t="n">
        <x:v>29</x:v>
      </x:c>
      <x:c r="N1415" s="43" t="str">
        <x:v>https://www.bahracademy.co.uk</x:v>
      </x:c>
      <x:c r="O1415" s="43" t="str">
        <x:v>01912731907</x:v>
      </x:c>
      <x:c r="P1415" s="43" t="str"/>
      <x:c r="Q1415" s="43" t="str"/>
      <x:c r="R1415" s="43" t="str">
        <x:v>Queued for contact research</x:v>
      </x:c>
      <x:c r="S1415" s="43" t="str">
        <x:v>Not reviewed</x:v>
      </x:c>
      <x:c r="T1415" s="43" t="str">
        <x:v>Hold</x:v>
      </x:c>
      <x:c r="U1415" s="43" t="str">
        <x:v>No</x:v>
      </x:c>
      <x:c r="V1415" s="44"/>
      <x:c r="W1415" s="43" t="str"/>
      <x:c r="X1415" s="43" t="str"/>
      <x:c r="Y1415" s="43" t="str"/>
      <x:c r="Z1415" s="43" t="str">
        <x:v>https://www.get-information-schools.service.gov.uk/Downloads</x:v>
      </x:c>
    </x:row>
    <x:row r="1416">
      <x:c r="A1416" s="43" t="str">
        <x:v>UK independent</x:v>
      </x:c>
      <x:c r="B1416" s="43" t="str">
        <x:v>149148</x:v>
      </x:c>
      <x:c r="C1416" s="43" t="n">
        <x:f>IF(K1416="Boarding school",30,0)+IF(J1416&gt;=18,20,0)+IF(I1416&lt;=11,10,0)+IF(L1416="Has a sixth form",15,0)+IF(M1416&gt;=200,10,0)+IF(N1416&lt;&gt;"",10,0)</x:f>
        <x:v>20</x:v>
      </x:c>
      <x:c r="D1416" s="43" t="str">
        <x:f>IF(C1416&gt;=85,"A",IF(C1416&gt;=65,"B","C"))</x:f>
        <x:v>C</x:v>
      </x:c>
      <x:c r="E1416" s="43" t="str">
        <x:v>Daffodil Preparatory School</x:v>
      </x:c>
      <x:c r="F1416" s="43" t="str">
        <x:v>London</x:v>
      </x:c>
      <x:c r="G1416" s="43" t="str"/>
      <x:c r="H1416" s="43" t="str">
        <x:v>E1 2DA</x:v>
      </x:c>
      <x:c r="I1416" s="43" t="n">
        <x:v>5</x:v>
      </x:c>
      <x:c r="J1416" s="43" t="n">
        <x:v>11</x:v>
      </x:c>
      <x:c r="K1416" s="43" t="str">
        <x:v>No boarders</x:v>
      </x:c>
      <x:c r="L1416" s="43" t="str">
        <x:v>Does not have a sixth form</x:v>
      </x:c>
      <x:c r="M1416" s="43" t="n">
        <x:v>28</x:v>
      </x:c>
      <x:c r="N1416" s="43" t="str">
        <x:v>https://www.daffodilprepschool.org.uk</x:v>
      </x:c>
      <x:c r="O1416" s="43" t="str">
        <x:v>02045399737</x:v>
      </x:c>
      <x:c r="P1416" s="43" t="str"/>
      <x:c r="Q1416" s="43" t="str"/>
      <x:c r="R1416" s="43" t="str">
        <x:v>Queued for contact research</x:v>
      </x:c>
      <x:c r="S1416" s="43" t="str">
        <x:v>Not reviewed</x:v>
      </x:c>
      <x:c r="T1416" s="43" t="str">
        <x:v>Hold</x:v>
      </x:c>
      <x:c r="U1416" s="43" t="str">
        <x:v>No</x:v>
      </x:c>
      <x:c r="V1416" s="44"/>
      <x:c r="W1416" s="43" t="str"/>
      <x:c r="X1416" s="43" t="str"/>
      <x:c r="Y1416" s="43" t="str"/>
      <x:c r="Z1416" s="43" t="str">
        <x:v>https://www.get-information-schools.service.gov.uk/Downloads</x:v>
      </x:c>
    </x:row>
    <x:row r="1417">
      <x:c r="A1417" s="43" t="str">
        <x:v>UK independent</x:v>
      </x:c>
      <x:c r="B1417" s="43" t="str">
        <x:v>145932</x:v>
      </x:c>
      <x:c r="C1417" s="43" t="n">
        <x:f>IF(K1417="Boarding school",30,0)+IF(J1417&gt;=18,20,0)+IF(I1417&lt;=11,10,0)+IF(L1417="Has a sixth form",15,0)+IF(M1417&gt;=200,10,0)+IF(N1417&lt;&gt;"",10,0)</x:f>
        <x:v>20</x:v>
      </x:c>
      <x:c r="D1417" s="43" t="str">
        <x:f>IF(C1417&gt;=85,"A",IF(C1417&gt;=65,"B","C"))</x:f>
        <x:v>C</x:v>
      </x:c>
      <x:c r="E1417" s="43" t="str">
        <x:v>Heckington House School</x:v>
      </x:c>
      <x:c r="F1417" s="43" t="str">
        <x:v>East Heckington</x:v>
      </x:c>
      <x:c r="G1417" s="43" t="str">
        <x:v>Lincolnshire</x:v>
      </x:c>
      <x:c r="H1417" s="43" t="str">
        <x:v>PE20 3QF</x:v>
      </x:c>
      <x:c r="I1417" s="43" t="n">
        <x:v>11</x:v>
      </x:c>
      <x:c r="J1417" s="43" t="n">
        <x:v>16</x:v>
      </x:c>
      <x:c r="K1417" s="43" t="str">
        <x:v>No boarders</x:v>
      </x:c>
      <x:c r="L1417" s="43" t="str">
        <x:v>Does not have a sixth form</x:v>
      </x:c>
      <x:c r="M1417" s="43" t="n">
        <x:v>28</x:v>
      </x:c>
      <x:c r="N1417" s="43" t="str">
        <x:v>https://education.keyschildren.co.uk/school/heckington-independent-school/</x:v>
      </x:c>
      <x:c r="O1417" s="43" t="str">
        <x:v>01529543106</x:v>
      </x:c>
      <x:c r="P1417" s="43" t="str"/>
      <x:c r="Q1417" s="43" t="str"/>
      <x:c r="R1417" s="43" t="str">
        <x:v>Queued for contact research</x:v>
      </x:c>
      <x:c r="S1417" s="43" t="str">
        <x:v>Not reviewed</x:v>
      </x:c>
      <x:c r="T1417" s="43" t="str">
        <x:v>Hold</x:v>
      </x:c>
      <x:c r="U1417" s="43" t="str">
        <x:v>No</x:v>
      </x:c>
      <x:c r="V1417" s="44"/>
      <x:c r="W1417" s="43" t="str"/>
      <x:c r="X1417" s="43" t="str"/>
      <x:c r="Y1417" s="43" t="str"/>
      <x:c r="Z1417" s="43" t="str">
        <x:v>https://www.get-information-schools.service.gov.uk/Downloads</x:v>
      </x:c>
    </x:row>
    <x:row r="1418">
      <x:c r="A1418" s="43" t="str">
        <x:v>UK independent</x:v>
      </x:c>
      <x:c r="B1418" s="43" t="str">
        <x:v>147908</x:v>
      </x:c>
      <x:c r="C1418" s="43" t="n">
        <x:f>IF(K1418="Boarding school",30,0)+IF(J1418&gt;=18,20,0)+IF(I1418&lt;=11,10,0)+IF(L1418="Has a sixth form",15,0)+IF(M1418&gt;=200,10,0)+IF(N1418&lt;&gt;"",10,0)</x:f>
        <x:v>20</x:v>
      </x:c>
      <x:c r="D1418" s="43" t="str">
        <x:f>IF(C1418&gt;=85,"A",IF(C1418&gt;=65,"B","C"))</x:f>
        <x:v>C</x:v>
      </x:c>
      <x:c r="E1418" s="43" t="str">
        <x:v>Tennis Avenue School</x:v>
      </x:c>
      <x:c r="F1418" s="43" t="str">
        <x:v>Surrey</x:v>
      </x:c>
      <x:c r="G1418" s="43" t="str"/>
      <x:c r="H1418" s="43" t="str">
        <x:v>KT3 6AU</x:v>
      </x:c>
      <x:c r="I1418" s="43" t="n">
        <x:v>8</x:v>
      </x:c>
      <x:c r="J1418" s="43" t="n">
        <x:v>16</x:v>
      </x:c>
      <x:c r="K1418" s="43" t="str">
        <x:v>No boarders</x:v>
      </x:c>
      <x:c r="L1418" s="43" t="str">
        <x:v>Does not have a sixth form</x:v>
      </x:c>
      <x:c r="M1418" s="43" t="n">
        <x:v>28</x:v>
      </x:c>
      <x:c r="N1418" s="43" t="str">
        <x:v>https://www.tennisavenue.school</x:v>
      </x:c>
      <x:c r="O1418" s="43" t="str">
        <x:v>02089427583</x:v>
      </x:c>
      <x:c r="P1418" s="43" t="str"/>
      <x:c r="Q1418" s="43" t="str"/>
      <x:c r="R1418" s="43" t="str">
        <x:v>Queued for contact research</x:v>
      </x:c>
      <x:c r="S1418" s="43" t="str">
        <x:v>Not reviewed</x:v>
      </x:c>
      <x:c r="T1418" s="43" t="str">
        <x:v>Hold</x:v>
      </x:c>
      <x:c r="U1418" s="43" t="str">
        <x:v>No</x:v>
      </x:c>
      <x:c r="V1418" s="44"/>
      <x:c r="W1418" s="43" t="str"/>
      <x:c r="X1418" s="43" t="str"/>
      <x:c r="Y1418" s="43" t="str"/>
      <x:c r="Z1418" s="43" t="str">
        <x:v>https://www.get-information-schools.service.gov.uk/Downloads</x:v>
      </x:c>
    </x:row>
    <x:row r="1419">
      <x:c r="A1419" s="43" t="str">
        <x:v>UK independent</x:v>
      </x:c>
      <x:c r="B1419" s="43" t="str">
        <x:v>132788</x:v>
      </x:c>
      <x:c r="C1419" s="43" t="n">
        <x:f>IF(K1419="Boarding school",30,0)+IF(J1419&gt;=18,20,0)+IF(I1419&lt;=11,10,0)+IF(L1419="Has a sixth form",15,0)+IF(M1419&gt;=200,10,0)+IF(N1419&lt;&gt;"",10,0)</x:f>
        <x:v>20</x:v>
      </x:c>
      <x:c r="D1419" s="43" t="str">
        <x:f>IF(C1419&gt;=85,"A",IF(C1419&gt;=65,"B","C"))</x:f>
        <x:v>C</x:v>
      </x:c>
      <x:c r="E1419" s="43" t="str">
        <x:v>Arden House</x:v>
      </x:c>
      <x:c r="F1419" s="43" t="str">
        <x:v>London</x:v>
      </x:c>
      <x:c r="G1419" s="43" t="str"/>
      <x:c r="H1419" s="43" t="str">
        <x:v>W10 6QY</x:v>
      </x:c>
      <x:c r="I1419" s="43" t="n">
        <x:v>11</x:v>
      </x:c>
      <x:c r="J1419" s="43" t="n">
        <x:v>17</x:v>
      </x:c>
      <x:c r="K1419" s="43" t="str">
        <x:v>No boarders</x:v>
      </x:c>
      <x:c r="L1419" s="43" t="str">
        <x:v>Does not have a sixth form</x:v>
      </x:c>
      <x:c r="M1419" s="43" t="n">
        <x:v>26</x:v>
      </x:c>
      <x:c r="N1419" s="43" t="str">
        <x:v>https://lloydwilliamson.co.uk</x:v>
      </x:c>
      <x:c r="O1419" s="43" t="str">
        <x:v>02089620345</x:v>
      </x:c>
      <x:c r="P1419" s="43" t="str"/>
      <x:c r="Q1419" s="43" t="str"/>
      <x:c r="R1419" s="43" t="str">
        <x:v>Queued for contact research</x:v>
      </x:c>
      <x:c r="S1419" s="43" t="str">
        <x:v>Not reviewed</x:v>
      </x:c>
      <x:c r="T1419" s="43" t="str">
        <x:v>Hold</x:v>
      </x:c>
      <x:c r="U1419" s="43" t="str">
        <x:v>No</x:v>
      </x:c>
      <x:c r="V1419" s="44"/>
      <x:c r="W1419" s="43" t="str"/>
      <x:c r="X1419" s="43" t="str"/>
      <x:c r="Y1419" s="43" t="str"/>
      <x:c r="Z1419" s="43" t="str">
        <x:v>https://www.get-information-schools.service.gov.uk/Downloads</x:v>
      </x:c>
    </x:row>
    <x:row r="1420">
      <x:c r="A1420" s="43" t="str">
        <x:v>UK independent</x:v>
      </x:c>
      <x:c r="B1420" s="43" t="str">
        <x:v>135366</x:v>
      </x:c>
      <x:c r="C1420" s="43" t="n">
        <x:f>IF(K1420="Boarding school",30,0)+IF(J1420&gt;=18,20,0)+IF(I1420&lt;=11,10,0)+IF(L1420="Has a sixth form",15,0)+IF(M1420&gt;=200,10,0)+IF(N1420&lt;&gt;"",10,0)</x:f>
        <x:v>20</x:v>
      </x:c>
      <x:c r="D1420" s="43" t="str">
        <x:f>IF(C1420&gt;=85,"A",IF(C1420&gt;=65,"B","C"))</x:f>
        <x:v>C</x:v>
      </x:c>
      <x:c r="E1420" s="43" t="str">
        <x:v>Colston Bassett School Limited</x:v>
      </x:c>
      <x:c r="F1420" s="43" t="str">
        <x:v>Nottingham</x:v>
      </x:c>
      <x:c r="G1420" s="43" t="str"/>
      <x:c r="H1420" s="43" t="str">
        <x:v>NG12 3FD</x:v>
      </x:c>
      <x:c r="I1420" s="43" t="n">
        <x:v>4</x:v>
      </x:c>
      <x:c r="J1420" s="43" t="n">
        <x:v>11</x:v>
      </x:c>
      <x:c r="K1420" s="43" t="str">
        <x:v>No boarders</x:v>
      </x:c>
      <x:c r="L1420" s="43" t="str">
        <x:v>Does not have a sixth form</x:v>
      </x:c>
      <x:c r="M1420" s="43" t="n">
        <x:v>25</x:v>
      </x:c>
      <x:c r="N1420" s="43" t="str">
        <x:v>https://www.colstonbassettschool.com</x:v>
      </x:c>
      <x:c r="O1420" s="43" t="str">
        <x:v>0194981118</x:v>
      </x:c>
      <x:c r="P1420" s="43" t="str"/>
      <x:c r="Q1420" s="43" t="str"/>
      <x:c r="R1420" s="43" t="str">
        <x:v>Queued for contact research</x:v>
      </x:c>
      <x:c r="S1420" s="43" t="str">
        <x:v>Not reviewed</x:v>
      </x:c>
      <x:c r="T1420" s="43" t="str">
        <x:v>Hold</x:v>
      </x:c>
      <x:c r="U1420" s="43" t="str">
        <x:v>No</x:v>
      </x:c>
      <x:c r="V1420" s="44"/>
      <x:c r="W1420" s="43" t="str"/>
      <x:c r="X1420" s="43" t="str"/>
      <x:c r="Y1420" s="43" t="str"/>
      <x:c r="Z1420" s="43" t="str">
        <x:v>https://www.get-information-schools.service.gov.uk/Downloads</x:v>
      </x:c>
    </x:row>
    <x:row r="1421">
      <x:c r="A1421" s="43" t="str">
        <x:v>UK independent</x:v>
      </x:c>
      <x:c r="B1421" s="43" t="str">
        <x:v>131788</x:v>
      </x:c>
      <x:c r="C1421" s="43" t="n">
        <x:f>IF(K1421="Boarding school",30,0)+IF(J1421&gt;=18,20,0)+IF(I1421&lt;=11,10,0)+IF(L1421="Has a sixth form",15,0)+IF(M1421&gt;=200,10,0)+IF(N1421&lt;&gt;"",10,0)</x:f>
        <x:v>20</x:v>
      </x:c>
      <x:c r="D1421" s="43" t="str">
        <x:f>IF(C1421&gt;=85,"A",IF(C1421&gt;=65,"B","C"))</x:f>
        <x:v>C</x:v>
      </x:c>
      <x:c r="E1421" s="43" t="str">
        <x:v>Greek Primary School of London</x:v>
      </x:c>
      <x:c r="F1421" s="43" t="str">
        <x:v>London</x:v>
      </x:c>
      <x:c r="G1421" s="43" t="str"/>
      <x:c r="H1421" s="43" t="str">
        <x:v>W3 9JR</x:v>
      </x:c>
      <x:c r="I1421" s="43" t="n">
        <x:v>4</x:v>
      </x:c>
      <x:c r="J1421" s="43" t="n">
        <x:v>11</x:v>
      </x:c>
      <x:c r="K1421" s="43" t="str">
        <x:v>No boarders</x:v>
      </x:c>
      <x:c r="L1421" s="43" t="str">
        <x:v>Does not have a sixth form</x:v>
      </x:c>
      <x:c r="M1421" s="43" t="n">
        <x:v>25</x:v>
      </x:c>
      <x:c r="N1421" s="43" t="str">
        <x:v>http://dim-london.europe.sch.gr/</x:v>
      </x:c>
      <x:c r="O1421" s="43" t="str">
        <x:v>02088962118</x:v>
      </x:c>
      <x:c r="P1421" s="43" t="str"/>
      <x:c r="Q1421" s="43" t="str"/>
      <x:c r="R1421" s="43" t="str">
        <x:v>Queued for contact research</x:v>
      </x:c>
      <x:c r="S1421" s="43" t="str">
        <x:v>Not reviewed</x:v>
      </x:c>
      <x:c r="T1421" s="43" t="str">
        <x:v>Hold</x:v>
      </x:c>
      <x:c r="U1421" s="43" t="str">
        <x:v>No</x:v>
      </x:c>
      <x:c r="V1421" s="44"/>
      <x:c r="W1421" s="43" t="str"/>
      <x:c r="X1421" s="43" t="str"/>
      <x:c r="Y1421" s="43" t="str"/>
      <x:c r="Z1421" s="43" t="str">
        <x:v>https://www.get-information-schools.service.gov.uk/Downloads</x:v>
      </x:c>
    </x:row>
    <x:row r="1422">
      <x:c r="A1422" s="43" t="str">
        <x:v>UK independent</x:v>
      </x:c>
      <x:c r="B1422" s="43" t="str">
        <x:v>106154</x:v>
      </x:c>
      <x:c r="C1422" s="43" t="n">
        <x:f>IF(K1422="Boarding school",30,0)+IF(J1422&gt;=18,20,0)+IF(I1422&lt;=11,10,0)+IF(L1422="Has a sixth form",15,0)+IF(M1422&gt;=200,10,0)+IF(N1422&lt;&gt;"",10,0)</x:f>
        <x:v>20</x:v>
      </x:c>
      <x:c r="D1422" s="43" t="str">
        <x:f>IF(C1422&gt;=85,"A",IF(C1422&gt;=65,"B","C"))</x:f>
        <x:v>C</x:v>
      </x:c>
      <x:c r="E1422" s="43" t="str">
        <x:v>Stella Maris School</x:v>
      </x:c>
      <x:c r="F1422" s="43" t="str">
        <x:v>Stockport</x:v>
      </x:c>
      <x:c r="G1422" s="43" t="str">
        <x:v>Cheshire</x:v>
      </x:c>
      <x:c r="H1422" s="43" t="str">
        <x:v>SK4 3BR</x:v>
      </x:c>
      <x:c r="I1422" s="43" t="n">
        <x:v>3</x:v>
      </x:c>
      <x:c r="J1422" s="43" t="n">
        <x:v>11</x:v>
      </x:c>
      <x:c r="K1422" s="43" t="str">
        <x:v>No boarders</x:v>
      </x:c>
      <x:c r="L1422" s="43" t="str">
        <x:v>Does not have a sixth form</x:v>
      </x:c>
      <x:c r="M1422" s="43" t="n">
        <x:v>25</x:v>
      </x:c>
      <x:c r="N1422" s="43" t="str">
        <x:v>https://www.stellamarisschool.co.uk</x:v>
      </x:c>
      <x:c r="O1422" s="43" t="str">
        <x:v>01614320532</x:v>
      </x:c>
      <x:c r="P1422" s="43" t="str"/>
      <x:c r="Q1422" s="43" t="str"/>
      <x:c r="R1422" s="43" t="str">
        <x:v>Queued for contact research</x:v>
      </x:c>
      <x:c r="S1422" s="43" t="str">
        <x:v>Not reviewed</x:v>
      </x:c>
      <x:c r="T1422" s="43" t="str">
        <x:v>Hold</x:v>
      </x:c>
      <x:c r="U1422" s="43" t="str">
        <x:v>No</x:v>
      </x:c>
      <x:c r="V1422" s="44"/>
      <x:c r="W1422" s="43" t="str"/>
      <x:c r="X1422" s="43" t="str"/>
      <x:c r="Y1422" s="43" t="str"/>
      <x:c r="Z1422" s="43" t="str">
        <x:v>https://www.get-information-schools.service.gov.uk/Downloads</x:v>
      </x:c>
    </x:row>
    <x:row r="1423">
      <x:c r="A1423" s="43" t="str">
        <x:v>UK independent</x:v>
      </x:c>
      <x:c r="B1423" s="43" t="str">
        <x:v>147648</x:v>
      </x:c>
      <x:c r="C1423" s="43" t="n">
        <x:f>IF(K1423="Boarding school",30,0)+IF(J1423&gt;=18,20,0)+IF(I1423&lt;=11,10,0)+IF(L1423="Has a sixth form",15,0)+IF(M1423&gt;=200,10,0)+IF(N1423&lt;&gt;"",10,0)</x:f>
        <x:v>20</x:v>
      </x:c>
      <x:c r="D1423" s="43" t="str">
        <x:f>IF(C1423&gt;=85,"A",IF(C1423&gt;=65,"B","C"))</x:f>
        <x:v>C</x:v>
      </x:c>
      <x:c r="E1423" s="43" t="str">
        <x:v>Hopespring Sunderland</x:v>
      </x:c>
      <x:c r="F1423" s="43" t="str"/>
      <x:c r="G1423" s="43" t="str"/>
      <x:c r="H1423" s="43" t="str">
        <x:v>SR2 9HA</x:v>
      </x:c>
      <x:c r="I1423" s="43" t="n">
        <x:v>11</x:v>
      </x:c>
      <x:c r="J1423" s="43" t="n">
        <x:v>16</x:v>
      </x:c>
      <x:c r="K1423" s="43" t="str">
        <x:v>No boarders</x:v>
      </x:c>
      <x:c r="L1423" s="43" t="str">
        <x:v>Does not have a sixth form</x:v>
      </x:c>
      <x:c r="M1423" s="43" t="n">
        <x:v>24</x:v>
      </x:c>
      <x:c r="N1423" s="43" t="str">
        <x:v>https://www.hopespringeducation.org/</x:v>
      </x:c>
      <x:c r="O1423" s="43" t="str">
        <x:v>01915420338</x:v>
      </x:c>
      <x:c r="P1423" s="43" t="str"/>
      <x:c r="Q1423" s="43" t="str"/>
      <x:c r="R1423" s="43" t="str">
        <x:v>Queued for contact research</x:v>
      </x:c>
      <x:c r="S1423" s="43" t="str">
        <x:v>Not reviewed</x:v>
      </x:c>
      <x:c r="T1423" s="43" t="str">
        <x:v>Hold</x:v>
      </x:c>
      <x:c r="U1423" s="43" t="str">
        <x:v>No</x:v>
      </x:c>
      <x:c r="V1423" s="44"/>
      <x:c r="W1423" s="43" t="str"/>
      <x:c r="X1423" s="43" t="str"/>
      <x:c r="Y1423" s="43" t="str"/>
      <x:c r="Z1423" s="43" t="str">
        <x:v>https://www.get-information-schools.service.gov.uk/Downloads</x:v>
      </x:c>
    </x:row>
    <x:row r="1424">
      <x:c r="A1424" s="43" t="str">
        <x:v>UK independent</x:v>
      </x:c>
      <x:c r="B1424" s="43" t="str">
        <x:v>148632</x:v>
      </x:c>
      <x:c r="C1424" s="43" t="n">
        <x:f>IF(K1424="Boarding school",30,0)+IF(J1424&gt;=18,20,0)+IF(I1424&lt;=11,10,0)+IF(L1424="Has a sixth form",15,0)+IF(M1424&gt;=200,10,0)+IF(N1424&lt;&gt;"",10,0)</x:f>
        <x:v>20</x:v>
      </x:c>
      <x:c r="D1424" s="43" t="str">
        <x:f>IF(C1424&gt;=85,"A",IF(C1424&gt;=65,"B","C"))</x:f>
        <x:v>C</x:v>
      </x:c>
      <x:c r="E1424" s="43" t="str">
        <x:v>MEPA ACADEMY</x:v>
      </x:c>
      <x:c r="F1424" s="43" t="str"/>
      <x:c r="G1424" s="43" t="str"/>
      <x:c r="H1424" s="43" t="str">
        <x:v>ME14 1PF</x:v>
      </x:c>
      <x:c r="I1424" s="43" t="n">
        <x:v>11</x:v>
      </x:c>
      <x:c r="J1424" s="43" t="n">
        <x:v>16</x:v>
      </x:c>
      <x:c r="K1424" s="43" t="str">
        <x:v>No boarders</x:v>
      </x:c>
      <x:c r="L1424" s="43" t="str">
        <x:v>Does not have a sixth form</x:v>
      </x:c>
      <x:c r="M1424" s="43" t="n">
        <x:v>24</x:v>
      </x:c>
      <x:c r="N1424" s="43" t="str">
        <x:v>https://www.mepaacademy.com/</x:v>
      </x:c>
      <x:c r="O1424" s="43" t="str">
        <x:v>01622756644</x:v>
      </x:c>
      <x:c r="P1424" s="43" t="str"/>
      <x:c r="Q1424" s="43" t="str"/>
      <x:c r="R1424" s="43" t="str">
        <x:v>Queued for contact research</x:v>
      </x:c>
      <x:c r="S1424" s="43" t="str">
        <x:v>Not reviewed</x:v>
      </x:c>
      <x:c r="T1424" s="43" t="str">
        <x:v>Hold</x:v>
      </x:c>
      <x:c r="U1424" s="43" t="str">
        <x:v>No</x:v>
      </x:c>
      <x:c r="V1424" s="44"/>
      <x:c r="W1424" s="43" t="str"/>
      <x:c r="X1424" s="43" t="str"/>
      <x:c r="Y1424" s="43" t="str"/>
      <x:c r="Z1424" s="43" t="str">
        <x:v>https://www.get-information-schools.service.gov.uk/Downloads</x:v>
      </x:c>
    </x:row>
    <x:row r="1425">
      <x:c r="A1425" s="43" t="str">
        <x:v>UK independent</x:v>
      </x:c>
      <x:c r="B1425" s="43" t="str">
        <x:v>108109</x:v>
      </x:c>
      <x:c r="C1425" s="43" t="n">
        <x:f>IF(K1425="Boarding school",30,0)+IF(J1425&gt;=18,20,0)+IF(I1425&lt;=11,10,0)+IF(L1425="Has a sixth form",15,0)+IF(M1425&gt;=200,10,0)+IF(N1425&lt;&gt;"",10,0)</x:f>
        <x:v>20</x:v>
      </x:c>
      <x:c r="D1425" s="43" t="str">
        <x:f>IF(C1425&gt;=85,"A",IF(C1425&gt;=65,"B","C"))</x:f>
        <x:v>C</x:v>
      </x:c>
      <x:c r="E1425" s="43" t="str">
        <x:v>Queenswood School</x:v>
      </x:c>
      <x:c r="F1425" s="43" t="str">
        <x:v>Leeds</x:v>
      </x:c>
      <x:c r="G1425" s="43" t="str">
        <x:v>West Yorkshire</x:v>
      </x:c>
      <x:c r="H1425" s="43" t="str">
        <x:v>LS27 9EB</x:v>
      </x:c>
      <x:c r="I1425" s="43" t="n">
        <x:v>4</x:v>
      </x:c>
      <x:c r="J1425" s="43" t="n">
        <x:v>11</x:v>
      </x:c>
      <x:c r="K1425" s="43" t="str">
        <x:v>No boarders</x:v>
      </x:c>
      <x:c r="L1425" s="43" t="str">
        <x:v>Does not have a sixth form</x:v>
      </x:c>
      <x:c r="M1425" s="43" t="n">
        <x:v>24</x:v>
      </x:c>
      <x:c r="N1425" s="43" t="str">
        <x:v>https://www.queenswoodmorley.co.uk</x:v>
      </x:c>
      <x:c r="O1425" s="43" t="str">
        <x:v>01132534033</x:v>
      </x:c>
      <x:c r="P1425" s="43" t="str"/>
      <x:c r="Q1425" s="43" t="str"/>
      <x:c r="R1425" s="43" t="str">
        <x:v>Queued for contact research</x:v>
      </x:c>
      <x:c r="S1425" s="43" t="str">
        <x:v>Not reviewed</x:v>
      </x:c>
      <x:c r="T1425" s="43" t="str">
        <x:v>Hold</x:v>
      </x:c>
      <x:c r="U1425" s="43" t="str">
        <x:v>No</x:v>
      </x:c>
      <x:c r="V1425" s="44"/>
      <x:c r="W1425" s="43" t="str"/>
      <x:c r="X1425" s="43" t="str"/>
      <x:c r="Y1425" s="43" t="str"/>
      <x:c r="Z1425" s="43" t="str">
        <x:v>https://www.get-information-schools.service.gov.uk/Downloads</x:v>
      </x:c>
    </x:row>
    <x:row r="1426">
      <x:c r="A1426" s="43" t="str">
        <x:v>UK independent</x:v>
      </x:c>
      <x:c r="B1426" s="43" t="str">
        <x:v>148324</x:v>
      </x:c>
      <x:c r="C1426" s="43" t="n">
        <x:f>IF(K1426="Boarding school",30,0)+IF(J1426&gt;=18,20,0)+IF(I1426&lt;=11,10,0)+IF(L1426="Has a sixth form",15,0)+IF(M1426&gt;=200,10,0)+IF(N1426&lt;&gt;"",10,0)</x:f>
        <x:v>20</x:v>
      </x:c>
      <x:c r="D1426" s="43" t="str">
        <x:f>IF(C1426&gt;=85,"A",IF(C1426&gt;=65,"B","C"))</x:f>
        <x:v>C</x:v>
      </x:c>
      <x:c r="E1426" s="43" t="str">
        <x:v>Cobham Montessori School</x:v>
      </x:c>
      <x:c r="F1426" s="43" t="str">
        <x:v>Surrey</x:v>
      </x:c>
      <x:c r="G1426" s="43" t="str"/>
      <x:c r="H1426" s="43" t="str">
        <x:v>KT11 2AF</x:v>
      </x:c>
      <x:c r="I1426" s="43" t="n">
        <x:v>2</x:v>
      </x:c>
      <x:c r="J1426" s="43" t="n">
        <x:v>11</x:v>
      </x:c>
      <x:c r="K1426" s="43" t="str">
        <x:v>No boarders</x:v>
      </x:c>
      <x:c r="L1426" s="43" t="str">
        <x:v>Does not have a sixth form</x:v>
      </x:c>
      <x:c r="M1426" s="43" t="n">
        <x:v>23</x:v>
      </x:c>
      <x:c r="N1426" s="43" t="str">
        <x:v>https://www.cobhammontessori.co.uk</x:v>
      </x:c>
      <x:c r="O1426" s="43" t="str">
        <x:v>01932863397</x:v>
      </x:c>
      <x:c r="P1426" s="43" t="str"/>
      <x:c r="Q1426" s="43" t="str"/>
      <x:c r="R1426" s="43" t="str">
        <x:v>Queued for contact research</x:v>
      </x:c>
      <x:c r="S1426" s="43" t="str">
        <x:v>Not reviewed</x:v>
      </x:c>
      <x:c r="T1426" s="43" t="str">
        <x:v>Hold</x:v>
      </x:c>
      <x:c r="U1426" s="43" t="str">
        <x:v>No</x:v>
      </x:c>
      <x:c r="V1426" s="44"/>
      <x:c r="W1426" s="43" t="str"/>
      <x:c r="X1426" s="43" t="str"/>
      <x:c r="Y1426" s="43" t="str"/>
      <x:c r="Z1426" s="43" t="str">
        <x:v>https://www.get-information-schools.service.gov.uk/Downloads</x:v>
      </x:c>
    </x:row>
    <x:row r="1427">
      <x:c r="A1427" s="43" t="str">
        <x:v>UK independent</x:v>
      </x:c>
      <x:c r="B1427" s="43" t="str">
        <x:v>151319</x:v>
      </x:c>
      <x:c r="C1427" s="43" t="n">
        <x:f>IF(K1427="Boarding school",30,0)+IF(J1427&gt;=18,20,0)+IF(I1427&lt;=11,10,0)+IF(L1427="Has a sixth form",15,0)+IF(M1427&gt;=200,10,0)+IF(N1427&lt;&gt;"",10,0)</x:f>
        <x:v>20</x:v>
      </x:c>
      <x:c r="D1427" s="43" t="str">
        <x:f>IF(C1427&gt;=85,"A",IF(C1427&gt;=65,"B","C"))</x:f>
        <x:v>C</x:v>
      </x:c>
      <x:c r="E1427" s="43" t="str">
        <x:v>The Light Christian School</x:v>
      </x:c>
      <x:c r="F1427" s="43" t="str">
        <x:v>Grays</x:v>
      </x:c>
      <x:c r="G1427" s="43" t="str">
        <x:v>Essex</x:v>
      </x:c>
      <x:c r="H1427" s="43" t="str">
        <x:v>RM17 5DF</x:v>
      </x:c>
      <x:c r="I1427" s="43" t="n">
        <x:v>3</x:v>
      </x:c>
      <x:c r="J1427" s="43" t="n">
        <x:v>11</x:v>
      </x:c>
      <x:c r="K1427" s="43" t="str">
        <x:v>No boarders</x:v>
      </x:c>
      <x:c r="L1427" s="43" t="str">
        <x:v>Does not have a sixth form</x:v>
      </x:c>
      <x:c r="M1427" s="43" t="n">
        <x:v>23</x:v>
      </x:c>
      <x:c r="N1427" s="43" t="str">
        <x:v>https://thelight-school.org/</x:v>
      </x:c>
      <x:c r="O1427" s="43" t="str">
        <x:v>01375271017</x:v>
      </x:c>
      <x:c r="P1427" s="43" t="str"/>
      <x:c r="Q1427" s="43" t="str"/>
      <x:c r="R1427" s="43" t="str">
        <x:v>Queued for contact research</x:v>
      </x:c>
      <x:c r="S1427" s="43" t="str">
        <x:v>Not reviewed</x:v>
      </x:c>
      <x:c r="T1427" s="43" t="str">
        <x:v>Hold</x:v>
      </x:c>
      <x:c r="U1427" s="43" t="str">
        <x:v>No</x:v>
      </x:c>
      <x:c r="V1427" s="44"/>
      <x:c r="W1427" s="43" t="str"/>
      <x:c r="X1427" s="43" t="str"/>
      <x:c r="Y1427" s="43" t="str"/>
      <x:c r="Z1427" s="43" t="str">
        <x:v>https://www.get-information-schools.service.gov.uk/Downloads</x:v>
      </x:c>
    </x:row>
    <x:row r="1428">
      <x:c r="A1428" s="43" t="str">
        <x:v>UK independent</x:v>
      </x:c>
      <x:c r="B1428" s="43" t="str">
        <x:v>141680</x:v>
      </x:c>
      <x:c r="C1428" s="43" t="n">
        <x:f>IF(K1428="Boarding school",30,0)+IF(J1428&gt;=18,20,0)+IF(I1428&lt;=11,10,0)+IF(L1428="Has a sixth form",15,0)+IF(M1428&gt;=200,10,0)+IF(N1428&lt;&gt;"",10,0)</x:f>
        <x:v>20</x:v>
      </x:c>
      <x:c r="D1428" s="43" t="str">
        <x:f>IF(C1428&gt;=85,"A",IF(C1428&gt;=65,"B","C"))</x:f>
        <x:v>C</x:v>
      </x:c>
      <x:c r="E1428" s="43" t="str">
        <x:v>Harpurhey Alternative Provision School</x:v>
      </x:c>
      <x:c r="F1428" s="43" t="str">
        <x:v>Manchester</x:v>
      </x:c>
      <x:c r="G1428" s="43" t="str">
        <x:v>Lancashire</x:v>
      </x:c>
      <x:c r="H1428" s="43" t="str">
        <x:v>M9 5US</x:v>
      </x:c>
      <x:c r="I1428" s="43" t="n">
        <x:v>11</x:v>
      </x:c>
      <x:c r="J1428" s="43" t="n">
        <x:v>16</x:v>
      </x:c>
      <x:c r="K1428" s="43" t="str">
        <x:v>No boarders</x:v>
      </x:c>
      <x:c r="L1428" s="43" t="str">
        <x:v>Does not have a sixth form</x:v>
      </x:c>
      <x:c r="M1428" s="43" t="n">
        <x:v>22</x:v>
      </x:c>
      <x:c r="N1428" s="43" t="str">
        <x:v>https://www.haps.manchester.sch.uk</x:v>
      </x:c>
      <x:c r="O1428" s="43" t="str">
        <x:v>07432506703</x:v>
      </x:c>
      <x:c r="P1428" s="43" t="str"/>
      <x:c r="Q1428" s="43" t="str"/>
      <x:c r="R1428" s="43" t="str">
        <x:v>Queued for contact research</x:v>
      </x:c>
      <x:c r="S1428" s="43" t="str">
        <x:v>Not reviewed</x:v>
      </x:c>
      <x:c r="T1428" s="43" t="str">
        <x:v>Hold</x:v>
      </x:c>
      <x:c r="U1428" s="43" t="str">
        <x:v>No</x:v>
      </x:c>
      <x:c r="V1428" s="44"/>
      <x:c r="W1428" s="43" t="str"/>
      <x:c r="X1428" s="43" t="str"/>
      <x:c r="Y1428" s="43" t="str"/>
      <x:c r="Z1428" s="43" t="str">
        <x:v>https://www.get-information-schools.service.gov.uk/Downloads</x:v>
      </x:c>
    </x:row>
    <x:row r="1429">
      <x:c r="A1429" s="43" t="str">
        <x:v>UK independent</x:v>
      </x:c>
      <x:c r="B1429" s="43" t="str">
        <x:v>135418</x:v>
      </x:c>
      <x:c r="C1429" s="43" t="n">
        <x:f>IF(K1429="Boarding school",30,0)+IF(J1429&gt;=18,20,0)+IF(I1429&lt;=11,10,0)+IF(L1429="Has a sixth form",15,0)+IF(M1429&gt;=200,10,0)+IF(N1429&lt;&gt;"",10,0)</x:f>
        <x:v>20</x:v>
      </x:c>
      <x:c r="D1429" s="43" t="str">
        <x:f>IF(C1429&gt;=85,"A",IF(C1429&gt;=65,"B","C"))</x:f>
        <x:v>C</x:v>
      </x:c>
      <x:c r="E1429" s="43" t="str">
        <x:v>Henley-in-Arden Montessori Primary School</x:v>
      </x:c>
      <x:c r="F1429" s="43" t="str">
        <x:v>Henley-in-Arden</x:v>
      </x:c>
      <x:c r="G1429" s="43" t="str">
        <x:v>Warwickshire</x:v>
      </x:c>
      <x:c r="H1429" s="43" t="str">
        <x:v>B95 5JP</x:v>
      </x:c>
      <x:c r="I1429" s="43" t="n">
        <x:v>4</x:v>
      </x:c>
      <x:c r="J1429" s="43" t="n">
        <x:v>11</x:v>
      </x:c>
      <x:c r="K1429" s="43" t="str">
        <x:v>No boarders</x:v>
      </x:c>
      <x:c r="L1429" s="43" t="str">
        <x:v>Does not have a sixth form</x:v>
      </x:c>
      <x:c r="M1429" s="43" t="n">
        <x:v>22</x:v>
      </x:c>
      <x:c r="N1429" s="43" t="str">
        <x:v>https://henleymontessori.co.uk</x:v>
      </x:c>
      <x:c r="O1429" s="43" t="str">
        <x:v>01564795722</x:v>
      </x:c>
      <x:c r="P1429" s="43" t="str"/>
      <x:c r="Q1429" s="43" t="str"/>
      <x:c r="R1429" s="43" t="str">
        <x:v>Queued for contact research</x:v>
      </x:c>
      <x:c r="S1429" s="43" t="str">
        <x:v>Not reviewed</x:v>
      </x:c>
      <x:c r="T1429" s="43" t="str">
        <x:v>Hold</x:v>
      </x:c>
      <x:c r="U1429" s="43" t="str">
        <x:v>No</x:v>
      </x:c>
      <x:c r="V1429" s="44"/>
      <x:c r="W1429" s="43" t="str"/>
      <x:c r="X1429" s="43" t="str"/>
      <x:c r="Y1429" s="43" t="str"/>
      <x:c r="Z1429" s="43" t="str">
        <x:v>https://www.get-information-schools.service.gov.uk/Downloads</x:v>
      </x:c>
    </x:row>
    <x:row r="1430">
      <x:c r="A1430" s="43" t="str">
        <x:v>UK independent</x:v>
      </x:c>
      <x:c r="B1430" s="43" t="str">
        <x:v>140330</x:v>
      </x:c>
      <x:c r="C1430" s="43" t="n">
        <x:f>IF(K1430="Boarding school",30,0)+IF(J1430&gt;=18,20,0)+IF(I1430&lt;=11,10,0)+IF(L1430="Has a sixth form",15,0)+IF(M1430&gt;=200,10,0)+IF(N1430&lt;&gt;"",10,0)</x:f>
        <x:v>20</x:v>
      </x:c>
      <x:c r="D1430" s="43" t="str">
        <x:f>IF(C1430&gt;=85,"A",IF(C1430&gt;=65,"B","C"))</x:f>
        <x:v>C</x:v>
      </x:c>
      <x:c r="E1430" s="43" t="str">
        <x:v>Kinetic Academy</x:v>
      </x:c>
      <x:c r="F1430" s="43" t="str">
        <x:v>Stoke-on-Trent</x:v>
      </x:c>
      <x:c r="G1430" s="43" t="str">
        <x:v>Staffordshire</x:v>
      </x:c>
      <x:c r="H1430" s="43" t="str">
        <x:v>ST3 7DJ</x:v>
      </x:c>
      <x:c r="I1430" s="43" t="n">
        <x:v>9</x:v>
      </x:c>
      <x:c r="J1430" s="43" t="n">
        <x:v>16</x:v>
      </x:c>
      <x:c r="K1430" s="43" t="str">
        <x:v>No boarders</x:v>
      </x:c>
      <x:c r="L1430" s="43" t="str">
        <x:v>Does not have a sixth form</x:v>
      </x:c>
      <x:c r="M1430" s="43" t="n">
        <x:v>21</x:v>
      </x:c>
      <x:c r="N1430" s="43" t="str">
        <x:v>https://www.kineticacademy.org.uk</x:v>
      </x:c>
      <x:c r="O1430" s="43" t="str">
        <x:v>01782333344</x:v>
      </x:c>
      <x:c r="P1430" s="43" t="str"/>
      <x:c r="Q1430" s="43" t="str"/>
      <x:c r="R1430" s="43" t="str">
        <x:v>Queued for contact research</x:v>
      </x:c>
      <x:c r="S1430" s="43" t="str">
        <x:v>Not reviewed</x:v>
      </x:c>
      <x:c r="T1430" s="43" t="str">
        <x:v>Hold</x:v>
      </x:c>
      <x:c r="U1430" s="43" t="str">
        <x:v>No</x:v>
      </x:c>
      <x:c r="V1430" s="44"/>
      <x:c r="W1430" s="43" t="str"/>
      <x:c r="X1430" s="43" t="str"/>
      <x:c r="Y1430" s="43" t="str"/>
      <x:c r="Z1430" s="43" t="str">
        <x:v>https://www.get-information-schools.service.gov.uk/Downloads</x:v>
      </x:c>
    </x:row>
    <x:row r="1431">
      <x:c r="A1431" s="43" t="str">
        <x:v>UK independent</x:v>
      </x:c>
      <x:c r="B1431" s="43" t="str">
        <x:v>150768</x:v>
      </x:c>
      <x:c r="C1431" s="43" t="n">
        <x:f>IF(K1431="Boarding school",30,0)+IF(J1431&gt;=18,20,0)+IF(I1431&lt;=11,10,0)+IF(L1431="Has a sixth form",15,0)+IF(M1431&gt;=200,10,0)+IF(N1431&lt;&gt;"",10,0)</x:f>
        <x:v>20</x:v>
      </x:c>
      <x:c r="D1431" s="43" t="str">
        <x:f>IF(C1431&gt;=85,"A",IF(C1431&gt;=65,"B","C"))</x:f>
        <x:v>C</x:v>
      </x:c>
      <x:c r="E1431" s="43" t="str">
        <x:v>Open Air Education</x:v>
      </x:c>
      <x:c r="F1431" s="43" t="str"/>
      <x:c r="G1431" s="43" t="str">
        <x:v>County Durham</x:v>
      </x:c>
      <x:c r="H1431" s="43" t="str">
        <x:v>SR8 1NJ</x:v>
      </x:c>
      <x:c r="I1431" s="43" t="n">
        <x:v>4</x:v>
      </x:c>
      <x:c r="J1431" s="43" t="n">
        <x:v>14</x:v>
      </x:c>
      <x:c r="K1431" s="43" t="str">
        <x:v>No boarders</x:v>
      </x:c>
      <x:c r="L1431" s="43" t="str">
        <x:v>Does not have a sixth form</x:v>
      </x:c>
      <x:c r="M1431" s="43" t="n">
        <x:v>21</x:v>
      </x:c>
      <x:c r="N1431" s="43" t="str">
        <x:v>https://www.openair.education</x:v>
      </x:c>
      <x:c r="O1431" s="43" t="str">
        <x:v>07545181069</x:v>
      </x:c>
      <x:c r="P1431" s="43" t="str"/>
      <x:c r="Q1431" s="43" t="str"/>
      <x:c r="R1431" s="43" t="str">
        <x:v>Queued for contact research</x:v>
      </x:c>
      <x:c r="S1431" s="43" t="str">
        <x:v>Not reviewed</x:v>
      </x:c>
      <x:c r="T1431" s="43" t="str">
        <x:v>Hold</x:v>
      </x:c>
      <x:c r="U1431" s="43" t="str">
        <x:v>No</x:v>
      </x:c>
      <x:c r="V1431" s="44"/>
      <x:c r="W1431" s="43" t="str"/>
      <x:c r="X1431" s="43" t="str"/>
      <x:c r="Y1431" s="43" t="str"/>
      <x:c r="Z1431" s="43" t="str">
        <x:v>https://www.get-information-schools.service.gov.uk/Downloads</x:v>
      </x:c>
    </x:row>
    <x:row r="1432">
      <x:c r="A1432" s="43" t="str">
        <x:v>UK independent</x:v>
      </x:c>
      <x:c r="B1432" s="43" t="str">
        <x:v>143407</x:v>
      </x:c>
      <x:c r="C1432" s="43" t="n">
        <x:f>IF(K1432="Boarding school",30,0)+IF(J1432&gt;=18,20,0)+IF(I1432&lt;=11,10,0)+IF(L1432="Has a sixth form",15,0)+IF(M1432&gt;=200,10,0)+IF(N1432&lt;&gt;"",10,0)</x:f>
        <x:v>20</x:v>
      </x:c>
      <x:c r="D1432" s="43" t="str">
        <x:f>IF(C1432&gt;=85,"A",IF(C1432&gt;=65,"B","C"))</x:f>
        <x:v>C</x:v>
      </x:c>
      <x:c r="E1432" s="43" t="str">
        <x:v>Chances Educational Support Services</x:v>
      </x:c>
      <x:c r="F1432" s="43" t="str">
        <x:v>Dawlish</x:v>
      </x:c>
      <x:c r="G1432" s="43" t="str">
        <x:v>Devon</x:v>
      </x:c>
      <x:c r="H1432" s="43" t="str">
        <x:v>EX7 0AF</x:v>
      </x:c>
      <x:c r="I1432" s="43" t="n">
        <x:v>11</x:v>
      </x:c>
      <x:c r="J1432" s="43" t="n">
        <x:v>16</x:v>
      </x:c>
      <x:c r="K1432" s="43" t="str">
        <x:v>No boarders</x:v>
      </x:c>
      <x:c r="L1432" s="43" t="str">
        <x:v>Not applicable</x:v>
      </x:c>
      <x:c r="M1432" s="43" t="n">
        <x:v>20</x:v>
      </x:c>
      <x:c r="N1432" s="43" t="str">
        <x:v>https://www.chancesschool.com/</x:v>
      </x:c>
      <x:c r="O1432" s="43" t="str">
        <x:v>01626864412</x:v>
      </x:c>
      <x:c r="P1432" s="43" t="str"/>
      <x:c r="Q1432" s="43" t="str"/>
      <x:c r="R1432" s="43" t="str">
        <x:v>Queued for contact research</x:v>
      </x:c>
      <x:c r="S1432" s="43" t="str">
        <x:v>Not reviewed</x:v>
      </x:c>
      <x:c r="T1432" s="43" t="str">
        <x:v>Hold</x:v>
      </x:c>
      <x:c r="U1432" s="43" t="str">
        <x:v>No</x:v>
      </x:c>
      <x:c r="V1432" s="44"/>
      <x:c r="W1432" s="43" t="str"/>
      <x:c r="X1432" s="43" t="str"/>
      <x:c r="Y1432" s="43" t="str"/>
      <x:c r="Z1432" s="43" t="str">
        <x:v>https://www.get-information-schools.service.gov.uk/Downloads</x:v>
      </x:c>
    </x:row>
    <x:row r="1433">
      <x:c r="A1433" s="43" t="str">
        <x:v>UK independent</x:v>
      </x:c>
      <x:c r="B1433" s="43" t="str">
        <x:v>143933</x:v>
      </x:c>
      <x:c r="C1433" s="43" t="n">
        <x:f>IF(K1433="Boarding school",30,0)+IF(J1433&gt;=18,20,0)+IF(I1433&lt;=11,10,0)+IF(L1433="Has a sixth form",15,0)+IF(M1433&gt;=200,10,0)+IF(N1433&lt;&gt;"",10,0)</x:f>
        <x:v>20</x:v>
      </x:c>
      <x:c r="D1433" s="43" t="str">
        <x:f>IF(C1433&gt;=85,"A",IF(C1433&gt;=65,"B","C"))</x:f>
        <x:v>C</x:v>
      </x:c>
      <x:c r="E1433" s="43" t="str">
        <x:v>Education-My Life Matters</x:v>
      </x:c>
      <x:c r="F1433" s="43" t="str">
        <x:v>London</x:v>
      </x:c>
      <x:c r="G1433" s="43" t="str"/>
      <x:c r="H1433" s="43" t="str">
        <x:v>SE6 2SP</x:v>
      </x:c>
      <x:c r="I1433" s="43" t="n">
        <x:v>11</x:v>
      </x:c>
      <x:c r="J1433" s="43" t="n">
        <x:v>16</x:v>
      </x:c>
      <x:c r="K1433" s="43" t="str">
        <x:v>No boarders</x:v>
      </x:c>
      <x:c r="L1433" s="43" t="str">
        <x:v>Does not have a sixth form</x:v>
      </x:c>
      <x:c r="M1433" s="43" t="n">
        <x:v>20</x:v>
      </x:c>
      <x:c r="N1433" s="43" t="str">
        <x:v>http://www.emlm.org.uk/</x:v>
      </x:c>
      <x:c r="O1433" s="43" t="str">
        <x:v>02086989663</x:v>
      </x:c>
      <x:c r="P1433" s="43" t="str"/>
      <x:c r="Q1433" s="43" t="str"/>
      <x:c r="R1433" s="43" t="str">
        <x:v>Queued for contact research</x:v>
      </x:c>
      <x:c r="S1433" s="43" t="str">
        <x:v>Not reviewed</x:v>
      </x:c>
      <x:c r="T1433" s="43" t="str">
        <x:v>Hold</x:v>
      </x:c>
      <x:c r="U1433" s="43" t="str">
        <x:v>No</x:v>
      </x:c>
      <x:c r="V1433" s="44"/>
      <x:c r="W1433" s="43" t="str"/>
      <x:c r="X1433" s="43" t="str"/>
      <x:c r="Y1433" s="43" t="str"/>
      <x:c r="Z1433" s="43" t="str">
        <x:v>https://www.get-information-schools.service.gov.uk/Downloads</x:v>
      </x:c>
    </x:row>
    <x:row r="1434">
      <x:c r="A1434" s="43" t="str">
        <x:v>UK independent</x:v>
      </x:c>
      <x:c r="B1434" s="43" t="str">
        <x:v>150298</x:v>
      </x:c>
      <x:c r="C1434" s="43" t="n">
        <x:f>IF(K1434="Boarding school",30,0)+IF(J1434&gt;=18,20,0)+IF(I1434&lt;=11,10,0)+IF(L1434="Has a sixth form",15,0)+IF(M1434&gt;=200,10,0)+IF(N1434&lt;&gt;"",10,0)</x:f>
        <x:v>20</x:v>
      </x:c>
      <x:c r="D1434" s="43" t="str">
        <x:f>IF(C1434&gt;=85,"A",IF(C1434&gt;=65,"B","C"))</x:f>
        <x:v>C</x:v>
      </x:c>
      <x:c r="E1434" s="43" t="str">
        <x:v>Wildwood Nature School</x:v>
      </x:c>
      <x:c r="F1434" s="43" t="str">
        <x:v>London</x:v>
      </x:c>
      <x:c r="G1434" s="43" t="str"/>
      <x:c r="H1434" s="43" t="str">
        <x:v>NW5 1SB</x:v>
      </x:c>
      <x:c r="I1434" s="43" t="n">
        <x:v>4</x:v>
      </x:c>
      <x:c r="J1434" s="43" t="n">
        <x:v>11</x:v>
      </x:c>
      <x:c r="K1434" s="43" t="str">
        <x:v>No boarders</x:v>
      </x:c>
      <x:c r="L1434" s="43" t="str">
        <x:v>Does not have a sixth form</x:v>
      </x:c>
      <x:c r="M1434" s="43" t="n">
        <x:v>20</x:v>
      </x:c>
      <x:c r="N1434" s="43" t="str">
        <x:v>https://www.wildwoodnatureschool.org.uk/</x:v>
      </x:c>
      <x:c r="O1434" s="43" t="str">
        <x:v>07547184102</x:v>
      </x:c>
      <x:c r="P1434" s="43" t="str"/>
      <x:c r="Q1434" s="43" t="str"/>
      <x:c r="R1434" s="43" t="str">
        <x:v>Queued for contact research</x:v>
      </x:c>
      <x:c r="S1434" s="43" t="str">
        <x:v>Not reviewed</x:v>
      </x:c>
      <x:c r="T1434" s="43" t="str">
        <x:v>Hold</x:v>
      </x:c>
      <x:c r="U1434" s="43" t="str">
        <x:v>No</x:v>
      </x:c>
      <x:c r="V1434" s="44"/>
      <x:c r="W1434" s="43" t="str"/>
      <x:c r="X1434" s="43" t="str"/>
      <x:c r="Y1434" s="43" t="str"/>
      <x:c r="Z1434" s="43" t="str">
        <x:v>https://www.get-information-schools.service.gov.uk/Downloads</x:v>
      </x:c>
    </x:row>
    <x:row r="1435">
      <x:c r="A1435" s="43" t="str">
        <x:v>UK independent</x:v>
      </x:c>
      <x:c r="B1435" s="43" t="str">
        <x:v>148804</x:v>
      </x:c>
      <x:c r="C1435" s="43" t="n">
        <x:f>IF(K1435="Boarding school",30,0)+IF(J1435&gt;=18,20,0)+IF(I1435&lt;=11,10,0)+IF(L1435="Has a sixth form",15,0)+IF(M1435&gt;=200,10,0)+IF(N1435&lt;&gt;"",10,0)</x:f>
        <x:v>20</x:v>
      </x:c>
      <x:c r="D1435" s="43" t="str">
        <x:f>IF(C1435&gt;=85,"A",IF(C1435&gt;=65,"B","C"))</x:f>
        <x:v>C</x:v>
      </x:c>
      <x:c r="E1435" s="43" t="str">
        <x:v>Progress Schools - Tees Valley</x:v>
      </x:c>
      <x:c r="F1435" s="43" t="str"/>
      <x:c r="G1435" s="43" t="str"/>
      <x:c r="H1435" s="43" t="str">
        <x:v>TS6 9RQ</x:v>
      </x:c>
      <x:c r="I1435" s="43" t="n">
        <x:v>11</x:v>
      </x:c>
      <x:c r="J1435" s="43" t="n">
        <x:v>16</x:v>
      </x:c>
      <x:c r="K1435" s="43" t="str">
        <x:v>No boarders</x:v>
      </x:c>
      <x:c r="L1435" s="43" t="str">
        <x:v>Does not have a sixth form</x:v>
      </x:c>
      <x:c r="M1435" s="43" t="n">
        <x:v>18</x:v>
      </x:c>
      <x:c r="N1435" s="43" t="str">
        <x:v>https://www.progress-schools.co.uk</x:v>
      </x:c>
      <x:c r="O1435" s="43" t="str">
        <x:v>01642573919</x:v>
      </x:c>
      <x:c r="P1435" s="43" t="str"/>
      <x:c r="Q1435" s="43" t="str"/>
      <x:c r="R1435" s="43" t="str">
        <x:v>Queued for contact research</x:v>
      </x:c>
      <x:c r="S1435" s="43" t="str">
        <x:v>Not reviewed</x:v>
      </x:c>
      <x:c r="T1435" s="43" t="str">
        <x:v>Hold</x:v>
      </x:c>
      <x:c r="U1435" s="43" t="str">
        <x:v>No</x:v>
      </x:c>
      <x:c r="V1435" s="44"/>
      <x:c r="W1435" s="43" t="str"/>
      <x:c r="X1435" s="43" t="str"/>
      <x:c r="Y1435" s="43" t="str"/>
      <x:c r="Z1435" s="43" t="str">
        <x:v>https://www.get-information-schools.service.gov.uk/Downloads</x:v>
      </x:c>
    </x:row>
    <x:row r="1436">
      <x:c r="A1436" s="43" t="str">
        <x:v>UK independent</x:v>
      </x:c>
      <x:c r="B1436" s="43" t="str">
        <x:v>147732</x:v>
      </x:c>
      <x:c r="C1436" s="43" t="n">
        <x:f>IF(K1436="Boarding school",30,0)+IF(J1436&gt;=18,20,0)+IF(I1436&lt;=11,10,0)+IF(L1436="Has a sixth form",15,0)+IF(M1436&gt;=200,10,0)+IF(N1436&lt;&gt;"",10,0)</x:f>
        <x:v>20</x:v>
      </x:c>
      <x:c r="D1436" s="43" t="str">
        <x:f>IF(C1436&gt;=85,"A",IF(C1436&gt;=65,"B","C"))</x:f>
        <x:v>C</x:v>
      </x:c>
      <x:c r="E1436" s="43" t="str">
        <x:v>Arco Academy</x:v>
      </x:c>
      <x:c r="F1436" s="43" t="str">
        <x:v>London</x:v>
      </x:c>
      <x:c r="G1436" s="43" t="str"/>
      <x:c r="H1436" s="43" t="str">
        <x:v>SE5 8TS</x:v>
      </x:c>
      <x:c r="I1436" s="43" t="n">
        <x:v>11</x:v>
      </x:c>
      <x:c r="J1436" s="43" t="n">
        <x:v>16</x:v>
      </x:c>
      <x:c r="K1436" s="43" t="str">
        <x:v>No boarders</x:v>
      </x:c>
      <x:c r="L1436" s="43" t="str">
        <x:v>Does not have a sixth form</x:v>
      </x:c>
      <x:c r="M1436" s="43" t="n">
        <x:v>17</x:v>
      </x:c>
      <x:c r="N1436" s="43" t="str">
        <x:v>https://www.arco.academy</x:v>
      </x:c>
      <x:c r="O1436" s="43" t="str">
        <x:v>02031891193</x:v>
      </x:c>
      <x:c r="P1436" s="43" t="str"/>
      <x:c r="Q1436" s="43" t="str"/>
      <x:c r="R1436" s="43" t="str">
        <x:v>Queued for contact research</x:v>
      </x:c>
      <x:c r="S1436" s="43" t="str">
        <x:v>Not reviewed</x:v>
      </x:c>
      <x:c r="T1436" s="43" t="str">
        <x:v>Hold</x:v>
      </x:c>
      <x:c r="U1436" s="43" t="str">
        <x:v>No</x:v>
      </x:c>
      <x:c r="V1436" s="44"/>
      <x:c r="W1436" s="43" t="str"/>
      <x:c r="X1436" s="43" t="str"/>
      <x:c r="Y1436" s="43" t="str"/>
      <x:c r="Z1436" s="43" t="str">
        <x:v>https://www.get-information-schools.service.gov.uk/Downloads</x:v>
      </x:c>
    </x:row>
    <x:row r="1437">
      <x:c r="A1437" s="43" t="str">
        <x:v>UK independent</x:v>
      </x:c>
      <x:c r="B1437" s="43" t="str">
        <x:v>148643</x:v>
      </x:c>
      <x:c r="C1437" s="43" t="n">
        <x:f>IF(K1437="Boarding school",30,0)+IF(J1437&gt;=18,20,0)+IF(I1437&lt;=11,10,0)+IF(L1437="Has a sixth form",15,0)+IF(M1437&gt;=200,10,0)+IF(N1437&lt;&gt;"",10,0)</x:f>
        <x:v>20</x:v>
      </x:c>
      <x:c r="D1437" s="43" t="str">
        <x:f>IF(C1437&gt;=85,"A",IF(C1437&gt;=65,"B","C"))</x:f>
        <x:v>C</x:v>
      </x:c>
      <x:c r="E1437" s="43" t="str">
        <x:v>Progress Schools - Wolverhampton</x:v>
      </x:c>
      <x:c r="F1437" s="43" t="str"/>
      <x:c r="G1437" s="43" t="str"/>
      <x:c r="H1437" s="43" t="str">
        <x:v>WV3 0NR</x:v>
      </x:c>
      <x:c r="I1437" s="43" t="n">
        <x:v>11</x:v>
      </x:c>
      <x:c r="J1437" s="43" t="n">
        <x:v>16</x:v>
      </x:c>
      <x:c r="K1437" s="43" t="str">
        <x:v>No boarders</x:v>
      </x:c>
      <x:c r="L1437" s="43" t="str">
        <x:v>Does not have a sixth form</x:v>
      </x:c>
      <x:c r="M1437" s="43" t="n">
        <x:v>17</x:v>
      </x:c>
      <x:c r="N1437" s="43" t="str">
        <x:v>https://www.progress-schools.co.uk</x:v>
      </x:c>
      <x:c r="O1437" s="43" t="str">
        <x:v>01902229923</x:v>
      </x:c>
      <x:c r="P1437" s="43" t="str"/>
      <x:c r="Q1437" s="43" t="str"/>
      <x:c r="R1437" s="43" t="str">
        <x:v>Queued for contact research</x:v>
      </x:c>
      <x:c r="S1437" s="43" t="str">
        <x:v>Not reviewed</x:v>
      </x:c>
      <x:c r="T1437" s="43" t="str">
        <x:v>Hold</x:v>
      </x:c>
      <x:c r="U1437" s="43" t="str">
        <x:v>No</x:v>
      </x:c>
      <x:c r="V1437" s="44"/>
      <x:c r="W1437" s="43" t="str"/>
      <x:c r="X1437" s="43" t="str"/>
      <x:c r="Y1437" s="43" t="str"/>
      <x:c r="Z1437" s="43" t="str">
        <x:v>https://www.get-information-schools.service.gov.uk/Downloads</x:v>
      </x:c>
    </x:row>
    <x:row r="1438">
      <x:c r="A1438" s="43" t="str">
        <x:v>UK independent</x:v>
      </x:c>
      <x:c r="B1438" s="43" t="str">
        <x:v>147899</x:v>
      </x:c>
      <x:c r="C1438" s="43" t="n">
        <x:f>IF(K1438="Boarding school",30,0)+IF(J1438&gt;=18,20,0)+IF(I1438&lt;=11,10,0)+IF(L1438="Has a sixth form",15,0)+IF(M1438&gt;=200,10,0)+IF(N1438&lt;&gt;"",10,0)</x:f>
        <x:v>20</x:v>
      </x:c>
      <x:c r="D1438" s="43" t="str">
        <x:f>IF(C1438&gt;=85,"A",IF(C1438&gt;=65,"B","C"))</x:f>
        <x:v>C</x:v>
      </x:c>
      <x:c r="E1438" s="43" t="str">
        <x:v>Cornerstone Academy</x:v>
      </x:c>
      <x:c r="F1438" s="43" t="str">
        <x:v>Cheshire</x:v>
      </x:c>
      <x:c r="G1438" s="43" t="str"/>
      <x:c r="H1438" s="43" t="str">
        <x:v>CW1 4PP</x:v>
      </x:c>
      <x:c r="I1438" s="43" t="n">
        <x:v>5</x:v>
      </x:c>
      <x:c r="J1438" s="43" t="n">
        <x:v>11</x:v>
      </x:c>
      <x:c r="K1438" s="43" t="str">
        <x:v>No boarders</x:v>
      </x:c>
      <x:c r="L1438" s="43" t="str">
        <x:v>Does not have a sixth form</x:v>
      </x:c>
      <x:c r="M1438" s="43" t="n">
        <x:v>16</x:v>
      </x:c>
      <x:c r="N1438" s="43" t="str">
        <x:v>https://www.cornerstoneap.org</x:v>
      </x:c>
      <x:c r="O1438" s="43" t="str">
        <x:v>01270304094</x:v>
      </x:c>
      <x:c r="P1438" s="43" t="str"/>
      <x:c r="Q1438" s="43" t="str"/>
      <x:c r="R1438" s="43" t="str">
        <x:v>Queued for contact research</x:v>
      </x:c>
      <x:c r="S1438" s="43" t="str">
        <x:v>Not reviewed</x:v>
      </x:c>
      <x:c r="T1438" s="43" t="str">
        <x:v>Hold</x:v>
      </x:c>
      <x:c r="U1438" s="43" t="str">
        <x:v>No</x:v>
      </x:c>
      <x:c r="V1438" s="44"/>
      <x:c r="W1438" s="43" t="str"/>
      <x:c r="X1438" s="43" t="str"/>
      <x:c r="Y1438" s="43" t="str"/>
      <x:c r="Z1438" s="43" t="str">
        <x:v>https://www.get-information-schools.service.gov.uk/Downloads</x:v>
      </x:c>
    </x:row>
    <x:row r="1439">
      <x:c r="A1439" s="43" t="str">
        <x:v>UK independent</x:v>
      </x:c>
      <x:c r="B1439" s="43" t="str">
        <x:v>139973</x:v>
      </x:c>
      <x:c r="C1439" s="43" t="n">
        <x:f>IF(K1439="Boarding school",30,0)+IF(J1439&gt;=18,20,0)+IF(I1439&lt;=11,10,0)+IF(L1439="Has a sixth form",15,0)+IF(M1439&gt;=200,10,0)+IF(N1439&lt;&gt;"",10,0)</x:f>
        <x:v>20</x:v>
      </x:c>
      <x:c r="D1439" s="43" t="str">
        <x:f>IF(C1439&gt;=85,"A",IF(C1439&gt;=65,"B","C"))</x:f>
        <x:v>C</x:v>
      </x:c>
      <x:c r="E1439" s="43" t="str">
        <x:v>London Scandinavian School</x:v>
      </x:c>
      <x:c r="F1439" s="43" t="str">
        <x:v>London</x:v>
      </x:c>
      <x:c r="G1439" s="43" t="str"/>
      <x:c r="H1439" s="43" t="str">
        <x:v>N5 1RN</x:v>
      </x:c>
      <x:c r="I1439" s="43" t="n">
        <x:v>2</x:v>
      </x:c>
      <x:c r="J1439" s="43" t="n">
        <x:v>11</x:v>
      </x:c>
      <x:c r="K1439" s="43" t="str">
        <x:v>No boarders</x:v>
      </x:c>
      <x:c r="L1439" s="43" t="str">
        <x:v>Does not have a sixth form</x:v>
      </x:c>
      <x:c r="M1439" s="43" t="n">
        <x:v>15</x:v>
      </x:c>
      <x:c r="N1439" s="43" t="str">
        <x:v>https://www.scandinavianschool.co.uk</x:v>
      </x:c>
      <x:c r="O1439" s="43" t="str">
        <x:v>02074198529</x:v>
      </x:c>
      <x:c r="P1439" s="43" t="str"/>
      <x:c r="Q1439" s="43" t="str"/>
      <x:c r="R1439" s="43" t="str">
        <x:v>Queued for contact research</x:v>
      </x:c>
      <x:c r="S1439" s="43" t="str">
        <x:v>Not reviewed</x:v>
      </x:c>
      <x:c r="T1439" s="43" t="str">
        <x:v>Hold</x:v>
      </x:c>
      <x:c r="U1439" s="43" t="str">
        <x:v>No</x:v>
      </x:c>
      <x:c r="V1439" s="44"/>
      <x:c r="W1439" s="43" t="str"/>
      <x:c r="X1439" s="43" t="str"/>
      <x:c r="Y1439" s="43" t="str"/>
      <x:c r="Z1439" s="43" t="str">
        <x:v>https://www.get-information-schools.service.gov.uk/Downloads</x:v>
      </x:c>
    </x:row>
    <x:row r="1440">
      <x:c r="A1440" s="43" t="str">
        <x:v>UK independent</x:v>
      </x:c>
      <x:c r="B1440" s="43" t="str">
        <x:v>148542</x:v>
      </x:c>
      <x:c r="C1440" s="43" t="n">
        <x:f>IF(K1440="Boarding school",30,0)+IF(J1440&gt;=18,20,0)+IF(I1440&lt;=11,10,0)+IF(L1440="Has a sixth form",15,0)+IF(M1440&gt;=200,10,0)+IF(N1440&lt;&gt;"",10,0)</x:f>
        <x:v>20</x:v>
      </x:c>
      <x:c r="D1440" s="43" t="str">
        <x:f>IF(C1440&gt;=85,"A",IF(C1440&gt;=65,"B","C"))</x:f>
        <x:v>C</x:v>
      </x:c>
      <x:c r="E1440" s="43" t="str">
        <x:v>Progress Schools - Gorton</x:v>
      </x:c>
      <x:c r="F1440" s="43" t="str"/>
      <x:c r="G1440" s="43" t="str"/>
      <x:c r="H1440" s="43" t="str">
        <x:v>M12 5PX</x:v>
      </x:c>
      <x:c r="I1440" s="43" t="n">
        <x:v>11</x:v>
      </x:c>
      <x:c r="J1440" s="43" t="n">
        <x:v>16</x:v>
      </x:c>
      <x:c r="K1440" s="43" t="str">
        <x:v>No boarders</x:v>
      </x:c>
      <x:c r="L1440" s="43" t="str">
        <x:v>Does not have a sixth form</x:v>
      </x:c>
      <x:c r="M1440" s="43" t="n">
        <x:v>15</x:v>
      </x:c>
      <x:c r="N1440" s="43" t="str">
        <x:v>https://www.progress-schools.co.uk</x:v>
      </x:c>
      <x:c r="O1440" s="43" t="str">
        <x:v>01615439767</x:v>
      </x:c>
      <x:c r="P1440" s="43" t="str"/>
      <x:c r="Q1440" s="43" t="str"/>
      <x:c r="R1440" s="43" t="str">
        <x:v>Queued for contact research</x:v>
      </x:c>
      <x:c r="S1440" s="43" t="str">
        <x:v>Not reviewed</x:v>
      </x:c>
      <x:c r="T1440" s="43" t="str">
        <x:v>Hold</x:v>
      </x:c>
      <x:c r="U1440" s="43" t="str">
        <x:v>No</x:v>
      </x:c>
      <x:c r="V1440" s="44"/>
      <x:c r="W1440" s="43" t="str"/>
      <x:c r="X1440" s="43" t="str"/>
      <x:c r="Y1440" s="43" t="str"/>
      <x:c r="Z1440" s="43" t="str">
        <x:v>https://www.get-information-schools.service.gov.uk/Downloads</x:v>
      </x:c>
    </x:row>
    <x:row r="1441">
      <x:c r="A1441" s="43" t="str">
        <x:v>UK independent</x:v>
      </x:c>
      <x:c r="B1441" s="43" t="str">
        <x:v>143049</x:v>
      </x:c>
      <x:c r="C1441" s="43" t="n">
        <x:f>IF(K1441="Boarding school",30,0)+IF(J1441&gt;=18,20,0)+IF(I1441&lt;=11,10,0)+IF(L1441="Has a sixth form",15,0)+IF(M1441&gt;=200,10,0)+IF(N1441&lt;&gt;"",10,0)</x:f>
        <x:v>20</x:v>
      </x:c>
      <x:c r="D1441" s="43" t="str">
        <x:f>IF(C1441&gt;=85,"A",IF(C1441&gt;=65,"B","C"))</x:f>
        <x:v>C</x:v>
      </x:c>
      <x:c r="E1441" s="43" t="str">
        <x:v>Hopespring Newcastle</x:v>
      </x:c>
      <x:c r="F1441" s="43" t="str"/>
      <x:c r="G1441" s="43" t="str"/>
      <x:c r="H1441" s="43" t="str">
        <x:v>NE12 8UZ</x:v>
      </x:c>
      <x:c r="I1441" s="43" t="n">
        <x:v>11</x:v>
      </x:c>
      <x:c r="J1441" s="43" t="n">
        <x:v>16</x:v>
      </x:c>
      <x:c r="K1441" s="43" t="str">
        <x:v>No boarders</x:v>
      </x:c>
      <x:c r="L1441" s="43" t="str">
        <x:v>Does not have a sixth form</x:v>
      </x:c>
      <x:c r="M1441" s="43" t="n">
        <x:v>14</x:v>
      </x:c>
      <x:c r="N1441" s="43" t="str">
        <x:v>https://www.hopespringeducation.org/</x:v>
      </x:c>
      <x:c r="O1441" s="43" t="str">
        <x:v>01912189459</x:v>
      </x:c>
      <x:c r="P1441" s="43" t="str"/>
      <x:c r="Q1441" s="43" t="str"/>
      <x:c r="R1441" s="43" t="str">
        <x:v>Queued for contact research</x:v>
      </x:c>
      <x:c r="S1441" s="43" t="str">
        <x:v>Not reviewed</x:v>
      </x:c>
      <x:c r="T1441" s="43" t="str">
        <x:v>Hold</x:v>
      </x:c>
      <x:c r="U1441" s="43" t="str">
        <x:v>No</x:v>
      </x:c>
      <x:c r="V1441" s="44"/>
      <x:c r="W1441" s="43" t="str"/>
      <x:c r="X1441" s="43" t="str"/>
      <x:c r="Y1441" s="43" t="str"/>
      <x:c r="Z1441" s="43" t="str">
        <x:v>https://www.get-information-schools.service.gov.uk/Downloads</x:v>
      </x:c>
    </x:row>
    <x:row r="1442">
      <x:c r="A1442" s="43" t="str">
        <x:v>UK independent</x:v>
      </x:c>
      <x:c r="B1442" s="43" t="str">
        <x:v>144856</x:v>
      </x:c>
      <x:c r="C1442" s="43" t="n">
        <x:f>IF(K1442="Boarding school",30,0)+IF(J1442&gt;=18,20,0)+IF(I1442&lt;=11,10,0)+IF(L1442="Has a sixth form",15,0)+IF(M1442&gt;=200,10,0)+IF(N1442&lt;&gt;"",10,0)</x:f>
        <x:v>20</x:v>
      </x:c>
      <x:c r="D1442" s="43" t="str">
        <x:f>IF(C1442&gt;=85,"A",IF(C1442&gt;=65,"B","C"))</x:f>
        <x:v>C</x:v>
      </x:c>
      <x:c r="E1442" s="43" t="str">
        <x:v>Progress Schools - Wirral</x:v>
      </x:c>
      <x:c r="F1442" s="43" t="str"/>
      <x:c r="G1442" s="43" t="str"/>
      <x:c r="H1442" s="43" t="str">
        <x:v>CH41 4EA</x:v>
      </x:c>
      <x:c r="I1442" s="43" t="n">
        <x:v>11</x:v>
      </x:c>
      <x:c r="J1442" s="43" t="n">
        <x:v>16</x:v>
      </x:c>
      <x:c r="K1442" s="43" t="str">
        <x:v>No boarders</x:v>
      </x:c>
      <x:c r="L1442" s="43" t="str">
        <x:v>Does not have a sixth form</x:v>
      </x:c>
      <x:c r="M1442" s="43" t="n">
        <x:v>14</x:v>
      </x:c>
      <x:c r="N1442" s="43" t="str">
        <x:v>https://www.progress-schools.co.uk</x:v>
      </x:c>
      <x:c r="O1442" s="43" t="str">
        <x:v>01517058033</x:v>
      </x:c>
      <x:c r="P1442" s="43" t="str"/>
      <x:c r="Q1442" s="43" t="str"/>
      <x:c r="R1442" s="43" t="str">
        <x:v>Queued for contact research</x:v>
      </x:c>
      <x:c r="S1442" s="43" t="str">
        <x:v>Not reviewed</x:v>
      </x:c>
      <x:c r="T1442" s="43" t="str">
        <x:v>Hold</x:v>
      </x:c>
      <x:c r="U1442" s="43" t="str">
        <x:v>No</x:v>
      </x:c>
      <x:c r="V1442" s="44"/>
      <x:c r="W1442" s="43" t="str"/>
      <x:c r="X1442" s="43" t="str"/>
      <x:c r="Y1442" s="43" t="str"/>
      <x:c r="Z1442" s="43" t="str">
        <x:v>https://www.get-information-schools.service.gov.uk/Downloads</x:v>
      </x:c>
    </x:row>
    <x:row r="1443">
      <x:c r="A1443" s="43" t="str">
        <x:v>UK independent</x:v>
      </x:c>
      <x:c r="B1443" s="43" t="str">
        <x:v>143838</x:v>
      </x:c>
      <x:c r="C1443" s="43" t="n">
        <x:f>IF(K1443="Boarding school",30,0)+IF(J1443&gt;=18,20,0)+IF(I1443&lt;=11,10,0)+IF(L1443="Has a sixth form",15,0)+IF(M1443&gt;=200,10,0)+IF(N1443&lt;&gt;"",10,0)</x:f>
        <x:v>20</x:v>
      </x:c>
      <x:c r="D1443" s="43" t="str">
        <x:f>IF(C1443&gt;=85,"A",IF(C1443&gt;=65,"B","C"))</x:f>
        <x:v>C</x:v>
      </x:c>
      <x:c r="E1443" s="43" t="str">
        <x:v>Urban Mission School</x:v>
      </x:c>
      <x:c r="F1443" s="43" t="str">
        <x:v>LONDON</x:v>
      </x:c>
      <x:c r="G1443" s="43" t="str"/>
      <x:c r="H1443" s="43" t="str">
        <x:v>SE13 7FY</x:v>
      </x:c>
      <x:c r="I1443" s="43" t="n">
        <x:v>11</x:v>
      </x:c>
      <x:c r="J1443" s="43" t="n">
        <x:v>16</x:v>
      </x:c>
      <x:c r="K1443" s="43" t="str">
        <x:v>No boarders</x:v>
      </x:c>
      <x:c r="L1443" s="43" t="str">
        <x:v>Does not have a sixth form</x:v>
      </x:c>
      <x:c r="M1443" s="43" t="n">
        <x:v>14</x:v>
      </x:c>
      <x:c r="N1443" s="43" t="str">
        <x:v>https://www.umschool.uk</x:v>
      </x:c>
      <x:c r="O1443" s="43" t="str">
        <x:v>02083186133</x:v>
      </x:c>
      <x:c r="P1443" s="43" t="str"/>
      <x:c r="Q1443" s="43" t="str"/>
      <x:c r="R1443" s="43" t="str">
        <x:v>Queued for contact research</x:v>
      </x:c>
      <x:c r="S1443" s="43" t="str">
        <x:v>Not reviewed</x:v>
      </x:c>
      <x:c r="T1443" s="43" t="str">
        <x:v>Hold</x:v>
      </x:c>
      <x:c r="U1443" s="43" t="str">
        <x:v>No</x:v>
      </x:c>
      <x:c r="V1443" s="44"/>
      <x:c r="W1443" s="43" t="str"/>
      <x:c r="X1443" s="43" t="str"/>
      <x:c r="Y1443" s="43" t="str"/>
      <x:c r="Z1443" s="43" t="str">
        <x:v>https://www.get-information-schools.service.gov.uk/Downloads</x:v>
      </x:c>
    </x:row>
    <x:row r="1444">
      <x:c r="A1444" s="43" t="str">
        <x:v>UK independent</x:v>
      </x:c>
      <x:c r="B1444" s="43" t="str">
        <x:v>148759</x:v>
      </x:c>
      <x:c r="C1444" s="43" t="n">
        <x:f>IF(K1444="Boarding school",30,0)+IF(J1444&gt;=18,20,0)+IF(I1444&lt;=11,10,0)+IF(L1444="Has a sixth form",15,0)+IF(M1444&gt;=200,10,0)+IF(N1444&lt;&gt;"",10,0)</x:f>
        <x:v>20</x:v>
      </x:c>
      <x:c r="D1444" s="43" t="str">
        <x:f>IF(C1444&gt;=85,"A",IF(C1444&gt;=65,"B","C"))</x:f>
        <x:v>C</x:v>
      </x:c>
      <x:c r="E1444" s="43" t="str">
        <x:v>Core Training and Development limited</x:v>
      </x:c>
      <x:c r="F1444" s="43" t="str">
        <x:v>Leeds</x:v>
      </x:c>
      <x:c r="G1444" s="43" t="str"/>
      <x:c r="H1444" s="43" t="str">
        <x:v>LS12 5JB</x:v>
      </x:c>
      <x:c r="I1444" s="43" t="n">
        <x:v>8</x:v>
      </x:c>
      <x:c r="J1444" s="43" t="n">
        <x:v>16</x:v>
      </x:c>
      <x:c r="K1444" s="43" t="str">
        <x:v>No boarders</x:v>
      </x:c>
      <x:c r="L1444" s="43" t="str">
        <x:v>Does not have a sixth form</x:v>
      </x:c>
      <x:c r="M1444" s="43" t="n">
        <x:v>13</x:v>
      </x:c>
      <x:c r="N1444" s="43" t="str">
        <x:v>https://www.coretraininganddevelopment.co.uk</x:v>
      </x:c>
      <x:c r="O1444" s="43" t="str">
        <x:v>01135327083</x:v>
      </x:c>
      <x:c r="P1444" s="43" t="str"/>
      <x:c r="Q1444" s="43" t="str"/>
      <x:c r="R1444" s="43" t="str">
        <x:v>Queued for contact research</x:v>
      </x:c>
      <x:c r="S1444" s="43" t="str">
        <x:v>Not reviewed</x:v>
      </x:c>
      <x:c r="T1444" s="43" t="str">
        <x:v>Hold</x:v>
      </x:c>
      <x:c r="U1444" s="43" t="str">
        <x:v>No</x:v>
      </x:c>
      <x:c r="V1444" s="44"/>
      <x:c r="W1444" s="43" t="str"/>
      <x:c r="X1444" s="43" t="str"/>
      <x:c r="Y1444" s="43" t="str"/>
      <x:c r="Z1444" s="43" t="str">
        <x:v>https://www.get-information-schools.service.gov.uk/Downloads</x:v>
      </x:c>
    </x:row>
    <x:row r="1445">
      <x:c r="A1445" s="43" t="str">
        <x:v>UK independent</x:v>
      </x:c>
      <x:c r="B1445" s="43" t="str">
        <x:v>132095</x:v>
      </x:c>
      <x:c r="C1445" s="43" t="n">
        <x:f>IF(K1445="Boarding school",30,0)+IF(J1445&gt;=18,20,0)+IF(I1445&lt;=11,10,0)+IF(L1445="Has a sixth form",15,0)+IF(M1445&gt;=200,10,0)+IF(N1445&lt;&gt;"",10,0)</x:f>
        <x:v>20</x:v>
      </x:c>
      <x:c r="D1445" s="43" t="str">
        <x:f>IF(C1445&gt;=85,"A",IF(C1445&gt;=65,"B","C"))</x:f>
        <x:v>C</x:v>
      </x:c>
      <x:c r="E1445" s="43" t="str">
        <x:v>Lancaster Independent School for Alternative Learning (Lisal)</x:v>
      </x:c>
      <x:c r="F1445" s="43" t="str">
        <x:v>Lancaster</x:v>
      </x:c>
      <x:c r="G1445" s="43" t="str">
        <x:v>Lancashire</x:v>
      </x:c>
      <x:c r="H1445" s="43" t="str">
        <x:v>LA1 5QU</x:v>
      </x:c>
      <x:c r="I1445" s="43" t="n">
        <x:v>3</x:v>
      </x:c>
      <x:c r="J1445" s="43" t="n">
        <x:v>11</x:v>
      </x:c>
      <x:c r="K1445" s="43" t="str">
        <x:v>No boarders</x:v>
      </x:c>
      <x:c r="L1445" s="43" t="str">
        <x:v>Does not have a sixth form</x:v>
      </x:c>
      <x:c r="M1445" s="43" t="n">
        <x:v>13</x:v>
      </x:c>
      <x:c r="N1445" s="43" t="str">
        <x:v>https://lisal.school/</x:v>
      </x:c>
      <x:c r="O1445" s="43" t="str">
        <x:v>01524381876</x:v>
      </x:c>
      <x:c r="P1445" s="43" t="str"/>
      <x:c r="Q1445" s="43" t="str"/>
      <x:c r="R1445" s="43" t="str">
        <x:v>Queued for contact research</x:v>
      </x:c>
      <x:c r="S1445" s="43" t="str">
        <x:v>Not reviewed</x:v>
      </x:c>
      <x:c r="T1445" s="43" t="str">
        <x:v>Hold</x:v>
      </x:c>
      <x:c r="U1445" s="43" t="str">
        <x:v>No</x:v>
      </x:c>
      <x:c r="V1445" s="44"/>
      <x:c r="W1445" s="43" t="str"/>
      <x:c r="X1445" s="43" t="str"/>
      <x:c r="Y1445" s="43" t="str"/>
      <x:c r="Z1445" s="43" t="str">
        <x:v>https://www.get-information-schools.service.gov.uk/Downloads</x:v>
      </x:c>
    </x:row>
    <x:row r="1446">
      <x:c r="A1446" s="43" t="str">
        <x:v>UK independent</x:v>
      </x:c>
      <x:c r="B1446" s="43" t="str">
        <x:v>108110</x:v>
      </x:c>
      <x:c r="C1446" s="43" t="n">
        <x:f>IF(K1446="Boarding school",30,0)+IF(J1446&gt;=18,20,0)+IF(I1446&lt;=11,10,0)+IF(L1446="Has a sixth form",15,0)+IF(M1446&gt;=200,10,0)+IF(N1446&lt;&gt;"",10,0)</x:f>
        <x:v>20</x:v>
      </x:c>
      <x:c r="D1446" s="43" t="str">
        <x:f>IF(C1446&gt;=85,"A",IF(C1446&gt;=65,"B","C"))</x:f>
        <x:v>C</x:v>
      </x:c>
      <x:c r="E1446" s="43" t="str">
        <x:v>Leeds Menorah School</x:v>
      </x:c>
      <x:c r="F1446" s="43" t="str">
        <x:v>Leeds</x:v>
      </x:c>
      <x:c r="G1446" s="43" t="str">
        <x:v>West Yorkshire</x:v>
      </x:c>
      <x:c r="H1446" s="43" t="str">
        <x:v>LS17 6HQ</x:v>
      </x:c>
      <x:c r="I1446" s="43" t="n">
        <x:v>2</x:v>
      </x:c>
      <x:c r="J1446" s="43" t="n">
        <x:v>11</x:v>
      </x:c>
      <x:c r="K1446" s="43" t="str">
        <x:v>No boarders</x:v>
      </x:c>
      <x:c r="L1446" s="43" t="str">
        <x:v>Does not have a sixth form</x:v>
      </x:c>
      <x:c r="M1446" s="43" t="n">
        <x:v>13</x:v>
      </x:c>
      <x:c r="N1446" s="43" t="str">
        <x:v>https://www.leedsmenorahschool.org</x:v>
      </x:c>
      <x:c r="O1446" s="43" t="str">
        <x:v>01132697709</x:v>
      </x:c>
      <x:c r="P1446" s="43" t="str"/>
      <x:c r="Q1446" s="43" t="str"/>
      <x:c r="R1446" s="43" t="str">
        <x:v>Queued for contact research</x:v>
      </x:c>
      <x:c r="S1446" s="43" t="str">
        <x:v>Not reviewed</x:v>
      </x:c>
      <x:c r="T1446" s="43" t="str">
        <x:v>Hold</x:v>
      </x:c>
      <x:c r="U1446" s="43" t="str">
        <x:v>No</x:v>
      </x:c>
      <x:c r="V1446" s="44"/>
      <x:c r="W1446" s="43" t="str"/>
      <x:c r="X1446" s="43" t="str"/>
      <x:c r="Y1446" s="43" t="str"/>
      <x:c r="Z1446" s="43" t="str">
        <x:v>https://www.get-information-schools.service.gov.uk/Downloads</x:v>
      </x:c>
    </x:row>
    <x:row r="1447">
      <x:c r="A1447" s="43" t="str">
        <x:v>UK independent</x:v>
      </x:c>
      <x:c r="B1447" s="43" t="str">
        <x:v>143912</x:v>
      </x:c>
      <x:c r="C1447" s="43" t="n">
        <x:f>IF(K1447="Boarding school",30,0)+IF(J1447&gt;=18,20,0)+IF(I1447&lt;=11,10,0)+IF(L1447="Has a sixth form",15,0)+IF(M1447&gt;=200,10,0)+IF(N1447&lt;&gt;"",10,0)</x:f>
        <x:v>20</x:v>
      </x:c>
      <x:c r="D1447" s="43" t="str">
        <x:f>IF(C1447&gt;=85,"A",IF(C1447&gt;=65,"B","C"))</x:f>
        <x:v>C</x:v>
      </x:c>
      <x:c r="E1447" s="43" t="str">
        <x:v>Progress Schools - Liverpool</x:v>
      </x:c>
      <x:c r="F1447" s="43" t="str">
        <x:v>Liverpool</x:v>
      </x:c>
      <x:c r="G1447" s="43" t="str"/>
      <x:c r="H1447" s="43" t="str">
        <x:v>L8 7PB</x:v>
      </x:c>
      <x:c r="I1447" s="43" t="n">
        <x:v>11</x:v>
      </x:c>
      <x:c r="J1447" s="43" t="n">
        <x:v>16</x:v>
      </x:c>
      <x:c r="K1447" s="43" t="str">
        <x:v>No boarders</x:v>
      </x:c>
      <x:c r="L1447" s="43" t="str">
        <x:v>Does not have a sixth form</x:v>
      </x:c>
      <x:c r="M1447" s="43" t="n">
        <x:v>13</x:v>
      </x:c>
      <x:c r="N1447" s="43" t="str">
        <x:v>https://www.progress-schools.co.uk</x:v>
      </x:c>
      <x:c r="O1447" s="43" t="str">
        <x:v>01515411967</x:v>
      </x:c>
      <x:c r="P1447" s="43" t="str"/>
      <x:c r="Q1447" s="43" t="str"/>
      <x:c r="R1447" s="43" t="str">
        <x:v>Queued for contact research</x:v>
      </x:c>
      <x:c r="S1447" s="43" t="str">
        <x:v>Not reviewed</x:v>
      </x:c>
      <x:c r="T1447" s="43" t="str">
        <x:v>Hold</x:v>
      </x:c>
      <x:c r="U1447" s="43" t="str">
        <x:v>No</x:v>
      </x:c>
      <x:c r="V1447" s="44"/>
      <x:c r="W1447" s="43" t="str"/>
      <x:c r="X1447" s="43" t="str"/>
      <x:c r="Y1447" s="43" t="str"/>
      <x:c r="Z1447" s="43" t="str">
        <x:v>https://www.get-information-schools.service.gov.uk/Downloads</x:v>
      </x:c>
    </x:row>
    <x:row r="1448">
      <x:c r="A1448" s="43" t="str">
        <x:v>UK independent</x:v>
      </x:c>
      <x:c r="B1448" s="43" t="str">
        <x:v>150865</x:v>
      </x:c>
      <x:c r="C1448" s="43" t="n">
        <x:f>IF(K1448="Boarding school",30,0)+IF(J1448&gt;=18,20,0)+IF(I1448&lt;=11,10,0)+IF(L1448="Has a sixth form",15,0)+IF(M1448&gt;=200,10,0)+IF(N1448&lt;&gt;"",10,0)</x:f>
        <x:v>20</x:v>
      </x:c>
      <x:c r="D1448" s="43" t="str">
        <x:f>IF(C1448&gt;=85,"A",IF(C1448&gt;=65,"B","C"))</x:f>
        <x:v>C</x:v>
      </x:c>
      <x:c r="E1448" s="43" t="str">
        <x:v>Sikh Heritage Girls School</x:v>
      </x:c>
      <x:c r="F1448" s="43" t="str">
        <x:v>Slough</x:v>
      </x:c>
      <x:c r="G1448" s="43" t="str"/>
      <x:c r="H1448" s="43" t="str">
        <x:v>SL3 6BS</x:v>
      </x:c>
      <x:c r="I1448" s="43" t="n">
        <x:v>4</x:v>
      </x:c>
      <x:c r="J1448" s="43" t="n">
        <x:v>11</x:v>
      </x:c>
      <x:c r="K1448" s="43" t="str">
        <x:v>No boarders</x:v>
      </x:c>
      <x:c r="L1448" s="43" t="str">
        <x:v>Does not have a sixth form</x:v>
      </x:c>
      <x:c r="M1448" s="43" t="n">
        <x:v>13</x:v>
      </x:c>
      <x:c r="N1448" s="43" t="str">
        <x:v>https://www.shgs.org.uk</x:v>
      </x:c>
      <x:c r="O1448" s="43" t="str">
        <x:v>01753424470</x:v>
      </x:c>
      <x:c r="P1448" s="43" t="str"/>
      <x:c r="Q1448" s="43" t="str"/>
      <x:c r="R1448" s="43" t="str">
        <x:v>Queued for contact research</x:v>
      </x:c>
      <x:c r="S1448" s="43" t="str">
        <x:v>Not reviewed</x:v>
      </x:c>
      <x:c r="T1448" s="43" t="str">
        <x:v>Hold</x:v>
      </x:c>
      <x:c r="U1448" s="43" t="str">
        <x:v>No</x:v>
      </x:c>
      <x:c r="V1448" s="44"/>
      <x:c r="W1448" s="43" t="str"/>
      <x:c r="X1448" s="43" t="str"/>
      <x:c r="Y1448" s="43" t="str"/>
      <x:c r="Z1448" s="43" t="str">
        <x:v>https://www.get-information-schools.service.gov.uk/Downloads</x:v>
      </x:c>
    </x:row>
    <x:row r="1449">
      <x:c r="A1449" s="43" t="str">
        <x:v>UK independent</x:v>
      </x:c>
      <x:c r="B1449" s="43" t="str">
        <x:v>150902</x:v>
      </x:c>
      <x:c r="C1449" s="43" t="n">
        <x:f>IF(K1449="Boarding school",30,0)+IF(J1449&gt;=18,20,0)+IF(I1449&lt;=11,10,0)+IF(L1449="Has a sixth form",15,0)+IF(M1449&gt;=200,10,0)+IF(N1449&lt;&gt;"",10,0)</x:f>
        <x:v>20</x:v>
      </x:c>
      <x:c r="D1449" s="43" t="str">
        <x:f>IF(C1449&gt;=85,"A",IF(C1449&gt;=65,"B","C"))</x:f>
        <x:v>C</x:v>
      </x:c>
      <x:c r="E1449" s="43" t="str">
        <x:v>The Registry</x:v>
      </x:c>
      <x:c r="F1449" s="43" t="str">
        <x:v>Stoke-on-Trent</x:v>
      </x:c>
      <x:c r="G1449" s="43" t="str"/>
      <x:c r="H1449" s="43" t="str">
        <x:v>ST1 4AF</x:v>
      </x:c>
      <x:c r="I1449" s="43" t="n">
        <x:v>11</x:v>
      </x:c>
      <x:c r="J1449" s="43" t="n">
        <x:v>16</x:v>
      </x:c>
      <x:c r="K1449" s="43" t="str">
        <x:v>No boarders</x:v>
      </x:c>
      <x:c r="L1449" s="43" t="str">
        <x:v>Does not have a sixth form</x:v>
      </x:c>
      <x:c r="M1449" s="43" t="n">
        <x:v>13</x:v>
      </x:c>
      <x:c r="N1449" s="43" t="str">
        <x:v>https://www.phoenixlearning.co.uk</x:v>
      </x:c>
      <x:c r="O1449" s="43" t="str">
        <x:v>01782922306</x:v>
      </x:c>
      <x:c r="P1449" s="43" t="str"/>
      <x:c r="Q1449" s="43" t="str"/>
      <x:c r="R1449" s="43" t="str">
        <x:v>Queued for contact research</x:v>
      </x:c>
      <x:c r="S1449" s="43" t="str">
        <x:v>Not reviewed</x:v>
      </x:c>
      <x:c r="T1449" s="43" t="str">
        <x:v>Hold</x:v>
      </x:c>
      <x:c r="U1449" s="43" t="str">
        <x:v>No</x:v>
      </x:c>
      <x:c r="V1449" s="44"/>
      <x:c r="W1449" s="43" t="str"/>
      <x:c r="X1449" s="43" t="str"/>
      <x:c r="Y1449" s="43" t="str"/>
      <x:c r="Z1449" s="43" t="str">
        <x:v>https://www.get-information-schools.service.gov.uk/Downloads</x:v>
      </x:c>
    </x:row>
    <x:row r="1450">
      <x:c r="A1450" s="43" t="str">
        <x:v>UK independent</x:v>
      </x:c>
      <x:c r="B1450" s="43" t="str">
        <x:v>138873</x:v>
      </x:c>
      <x:c r="C1450" s="43" t="n">
        <x:f>IF(K1450="Boarding school",30,0)+IF(J1450&gt;=18,20,0)+IF(I1450&lt;=11,10,0)+IF(L1450="Has a sixth form",15,0)+IF(M1450&gt;=200,10,0)+IF(N1450&lt;&gt;"",10,0)</x:f>
        <x:v>20</x:v>
      </x:c>
      <x:c r="D1450" s="43" t="str">
        <x:f>IF(C1450&gt;=85,"A",IF(C1450&gt;=65,"B","C"))</x:f>
        <x:v>C</x:v>
      </x:c>
      <x:c r="E1450" s="43" t="str">
        <x:v>The Treehouse School</x:v>
      </x:c>
      <x:c r="F1450" s="43" t="str">
        <x:v>Cholsey</x:v>
      </x:c>
      <x:c r="G1450" s="43" t="str">
        <x:v>Oxfordshire</x:v>
      </x:c>
      <x:c r="H1450" s="43" t="str">
        <x:v>OX10 9LG</x:v>
      </x:c>
      <x:c r="I1450" s="43" t="n">
        <x:v>5</x:v>
      </x:c>
      <x:c r="J1450" s="43" t="n">
        <x:v>11</x:v>
      </x:c>
      <x:c r="K1450" s="43" t="str">
        <x:v>No boarders</x:v>
      </x:c>
      <x:c r="L1450" s="43" t="str">
        <x:v>Does not have a sixth form</x:v>
      </x:c>
      <x:c r="M1450" s="43" t="n">
        <x:v>12</x:v>
      </x:c>
      <x:c r="N1450" s="43" t="str">
        <x:v>https://www.thetreehouseschool.org.uk</x:v>
      </x:c>
      <x:c r="O1450" s="43" t="str">
        <x:v>01491652000</x:v>
      </x:c>
      <x:c r="P1450" s="43" t="str"/>
      <x:c r="Q1450" s="43" t="str"/>
      <x:c r="R1450" s="43" t="str">
        <x:v>Queued for contact research</x:v>
      </x:c>
      <x:c r="S1450" s="43" t="str">
        <x:v>Not reviewed</x:v>
      </x:c>
      <x:c r="T1450" s="43" t="str">
        <x:v>Hold</x:v>
      </x:c>
      <x:c r="U1450" s="43" t="str">
        <x:v>No</x:v>
      </x:c>
      <x:c r="V1450" s="44"/>
      <x:c r="W1450" s="43" t="str"/>
      <x:c r="X1450" s="43" t="str"/>
      <x:c r="Y1450" s="43" t="str"/>
      <x:c r="Z1450" s="43" t="str">
        <x:v>https://www.get-information-schools.service.gov.uk/Downloads</x:v>
      </x:c>
    </x:row>
    <x:row r="1451">
      <x:c r="A1451" s="43" t="str">
        <x:v>UK independent</x:v>
      </x:c>
      <x:c r="B1451" s="43" t="str">
        <x:v>101573</x:v>
      </x:c>
      <x:c r="C1451" s="43" t="n">
        <x:f>IF(K1451="Boarding school",30,0)+IF(J1451&gt;=18,20,0)+IF(I1451&lt;=11,10,0)+IF(L1451="Has a sixth form",15,0)+IF(M1451&gt;=200,10,0)+IF(N1451&lt;&gt;"",10,0)</x:f>
        <x:v>20</x:v>
      </x:c>
      <x:c r="D1451" s="43" t="str">
        <x:f>IF(C1451&gt;=85,"A",IF(C1451&gt;=65,"B","C"))</x:f>
        <x:v>C</x:v>
      </x:c>
      <x:c r="E1451" s="43" t="str">
        <x:v>Ysgol Gymraeg Llundain, London Welsh School</x:v>
      </x:c>
      <x:c r="F1451" s="43" t="str">
        <x:v>London</x:v>
      </x:c>
      <x:c r="G1451" s="43" t="str"/>
      <x:c r="H1451" s="43" t="str">
        <x:v>W7 1PD</x:v>
      </x:c>
      <x:c r="I1451" s="43" t="n">
        <x:v>3</x:v>
      </x:c>
      <x:c r="J1451" s="43" t="n">
        <x:v>11</x:v>
      </x:c>
      <x:c r="K1451" s="43" t="str">
        <x:v>No boarders</x:v>
      </x:c>
      <x:c r="L1451" s="43" t="str">
        <x:v>Does not have a sixth form</x:v>
      </x:c>
      <x:c r="M1451" s="43" t="n">
        <x:v>12</x:v>
      </x:c>
      <x:c r="N1451" s="43" t="str">
        <x:v>https://www.ysgolgymraegllundain.co.uk</x:v>
      </x:c>
      <x:c r="O1451" s="43" t="str">
        <x:v>02085750237</x:v>
      </x:c>
      <x:c r="P1451" s="43" t="str"/>
      <x:c r="Q1451" s="43" t="str"/>
      <x:c r="R1451" s="43" t="str">
        <x:v>Queued for contact research</x:v>
      </x:c>
      <x:c r="S1451" s="43" t="str">
        <x:v>Not reviewed</x:v>
      </x:c>
      <x:c r="T1451" s="43" t="str">
        <x:v>Hold</x:v>
      </x:c>
      <x:c r="U1451" s="43" t="str">
        <x:v>No</x:v>
      </x:c>
      <x:c r="V1451" s="44"/>
      <x:c r="W1451" s="43" t="str"/>
      <x:c r="X1451" s="43" t="str"/>
      <x:c r="Y1451" s="43" t="str"/>
      <x:c r="Z1451" s="43" t="str">
        <x:v>https://www.get-information-schools.service.gov.uk/Downloads</x:v>
      </x:c>
    </x:row>
    <x:row r="1452">
      <x:c r="A1452" s="43" t="str">
        <x:v>UK independent</x:v>
      </x:c>
      <x:c r="B1452" s="43" t="str">
        <x:v>139962</x:v>
      </x:c>
      <x:c r="C1452" s="43" t="n">
        <x:f>IF(K1452="Boarding school",30,0)+IF(J1452&gt;=18,20,0)+IF(I1452&lt;=11,10,0)+IF(L1452="Has a sixth form",15,0)+IF(M1452&gt;=200,10,0)+IF(N1452&lt;&gt;"",10,0)</x:f>
        <x:v>20</x:v>
      </x:c>
      <x:c r="D1452" s="43" t="str">
        <x:f>IF(C1452&gt;=85,"A",IF(C1452&gt;=65,"B","C"))</x:f>
        <x:v>C</x:v>
      </x:c>
      <x:c r="E1452" s="43" t="str">
        <x:v>Aspire Ap School</x:v>
      </x:c>
      <x:c r="F1452" s="43" t="str">
        <x:v>Birmingham</x:v>
      </x:c>
      <x:c r="G1452" s="43" t="str">
        <x:v>West Midlands</x:v>
      </x:c>
      <x:c r="H1452" s="43" t="str">
        <x:v>B28 9EJ</x:v>
      </x:c>
      <x:c r="I1452" s="43" t="n">
        <x:v>11</x:v>
      </x:c>
      <x:c r="J1452" s="43" t="n">
        <x:v>16</x:v>
      </x:c>
      <x:c r="K1452" s="43" t="str">
        <x:v>No boarders</x:v>
      </x:c>
      <x:c r="L1452" s="43" t="str">
        <x:v>Does not have a sixth form</x:v>
      </x:c>
      <x:c r="M1452" s="43" t="n">
        <x:v>11</x:v>
      </x:c>
      <x:c r="N1452" s="43" t="str">
        <x:v>https://www.aspireapschool.org/</x:v>
      </x:c>
      <x:c r="O1452" s="43" t="str">
        <x:v>01212435054</x:v>
      </x:c>
      <x:c r="P1452" s="43" t="str"/>
      <x:c r="Q1452" s="43" t="str"/>
      <x:c r="R1452" s="43" t="str">
        <x:v>Queued for contact research</x:v>
      </x:c>
      <x:c r="S1452" s="43" t="str">
        <x:v>Not reviewed</x:v>
      </x:c>
      <x:c r="T1452" s="43" t="str">
        <x:v>Hold</x:v>
      </x:c>
      <x:c r="U1452" s="43" t="str">
        <x:v>No</x:v>
      </x:c>
      <x:c r="V1452" s="44"/>
      <x:c r="W1452" s="43" t="str"/>
      <x:c r="X1452" s="43" t="str"/>
      <x:c r="Y1452" s="43" t="str"/>
      <x:c r="Z1452" s="43" t="str">
        <x:v>https://www.get-information-schools.service.gov.uk/Downloads</x:v>
      </x:c>
    </x:row>
    <x:row r="1453">
      <x:c r="A1453" s="43" t="str">
        <x:v>UK independent</x:v>
      </x:c>
      <x:c r="B1453" s="43" t="str">
        <x:v>151618</x:v>
      </x:c>
      <x:c r="C1453" s="43" t="n">
        <x:f>IF(K1453="Boarding school",30,0)+IF(J1453&gt;=18,20,0)+IF(I1453&lt;=11,10,0)+IF(L1453="Has a sixth form",15,0)+IF(M1453&gt;=200,10,0)+IF(N1453&lt;&gt;"",10,0)</x:f>
        <x:v>20</x:v>
      </x:c>
      <x:c r="D1453" s="43" t="str">
        <x:f>IF(C1453&gt;=85,"A",IF(C1453&gt;=65,"B","C"))</x:f>
        <x:v>C</x:v>
      </x:c>
      <x:c r="E1453" s="43" t="str">
        <x:v>Darwin School</x:v>
      </x:c>
      <x:c r="F1453" s="43" t="str">
        <x:v>Thirsk</x:v>
      </x:c>
      <x:c r="G1453" s="43" t="str">
        <x:v>North Yorkshire</x:v>
      </x:c>
      <x:c r="H1453" s="43" t="str">
        <x:v>YO7 4PT</x:v>
      </x:c>
      <x:c r="I1453" s="43" t="n">
        <x:v>11</x:v>
      </x:c>
      <x:c r="J1453" s="43" t="n">
        <x:v>16</x:v>
      </x:c>
      <x:c r="K1453" s="43" t="str">
        <x:v>No boarders</x:v>
      </x:c>
      <x:c r="L1453" s="43" t="str">
        <x:v>Does not have a sixth form</x:v>
      </x:c>
      <x:c r="M1453" s="43" t="n">
        <x:v>9</x:v>
      </x:c>
      <x:c r="N1453" s="43" t="str">
        <x:v>https://pebblescare.com/</x:v>
      </x:c>
      <x:c r="O1453" s="43" t="str">
        <x:v>01765803450</x:v>
      </x:c>
      <x:c r="P1453" s="43" t="str"/>
      <x:c r="Q1453" s="43" t="str"/>
      <x:c r="R1453" s="43" t="str">
        <x:v>Queued for contact research</x:v>
      </x:c>
      <x:c r="S1453" s="43" t="str">
        <x:v>Not reviewed</x:v>
      </x:c>
      <x:c r="T1453" s="43" t="str">
        <x:v>Hold</x:v>
      </x:c>
      <x:c r="U1453" s="43" t="str">
        <x:v>No</x:v>
      </x:c>
      <x:c r="V1453" s="44"/>
      <x:c r="W1453" s="43" t="str"/>
      <x:c r="X1453" s="43" t="str"/>
      <x:c r="Y1453" s="43" t="str"/>
      <x:c r="Z1453" s="43" t="str">
        <x:v>https://www.get-information-schools.service.gov.uk/Downloads</x:v>
      </x:c>
    </x:row>
    <x:row r="1454">
      <x:c r="A1454" s="43" t="str">
        <x:v>UK independent</x:v>
      </x:c>
      <x:c r="B1454" s="43" t="str">
        <x:v>135998</x:v>
      </x:c>
      <x:c r="C1454" s="43" t="n">
        <x:f>IF(K1454="Boarding school",30,0)+IF(J1454&gt;=18,20,0)+IF(I1454&lt;=11,10,0)+IF(L1454="Has a sixth form",15,0)+IF(M1454&gt;=200,10,0)+IF(N1454&lt;&gt;"",10,0)</x:f>
        <x:v>20</x:v>
      </x:c>
      <x:c r="D1454" s="43" t="str">
        <x:f>IF(C1454&gt;=85,"A",IF(C1454&gt;=65,"B","C"))</x:f>
        <x:v>C</x:v>
      </x:c>
      <x:c r="E1454" s="43" t="str">
        <x:v>Green Meadow Independent Primary School</x:v>
      </x:c>
      <x:c r="F1454" s="43" t="str">
        <x:v>Warrington</x:v>
      </x:c>
      <x:c r="G1454" s="43" t="str"/>
      <x:c r="H1454" s="43" t="str">
        <x:v>WA3 2RD</x:v>
      </x:c>
      <x:c r="I1454" s="43" t="n">
        <x:v>3</x:v>
      </x:c>
      <x:c r="J1454" s="43" t="n">
        <x:v>14</x:v>
      </x:c>
      <x:c r="K1454" s="43" t="str">
        <x:v>No boarders</x:v>
      </x:c>
      <x:c r="L1454" s="43" t="str">
        <x:v>Does not have a sixth form</x:v>
      </x:c>
      <x:c r="M1454" s="43" t="n">
        <x:v>9</x:v>
      </x:c>
      <x:c r="N1454" s="43" t="str">
        <x:v>https://www.greenmeadowindependentschool.com/</x:v>
      </x:c>
      <x:c r="O1454" s="43" t="str">
        <x:v>01942671138</x:v>
      </x:c>
      <x:c r="P1454" s="43" t="str"/>
      <x:c r="Q1454" s="43" t="str"/>
      <x:c r="R1454" s="43" t="str">
        <x:v>Queued for contact research</x:v>
      </x:c>
      <x:c r="S1454" s="43" t="str">
        <x:v>Not reviewed</x:v>
      </x:c>
      <x:c r="T1454" s="43" t="str">
        <x:v>Hold</x:v>
      </x:c>
      <x:c r="U1454" s="43" t="str">
        <x:v>No</x:v>
      </x:c>
      <x:c r="V1454" s="44"/>
      <x:c r="W1454" s="43" t="str"/>
      <x:c r="X1454" s="43" t="str"/>
      <x:c r="Y1454" s="43" t="str"/>
      <x:c r="Z1454" s="43" t="str">
        <x:v>https://www.get-information-schools.service.gov.uk/Downloads</x:v>
      </x:c>
    </x:row>
    <x:row r="1455">
      <x:c r="A1455" s="43" t="str">
        <x:v>UK independent</x:v>
      </x:c>
      <x:c r="B1455" s="43" t="str">
        <x:v>151870</x:v>
      </x:c>
      <x:c r="C1455" s="43" t="n">
        <x:f>IF(K1455="Boarding school",30,0)+IF(J1455&gt;=18,20,0)+IF(I1455&lt;=11,10,0)+IF(L1455="Has a sixth form",15,0)+IF(M1455&gt;=200,10,0)+IF(N1455&lt;&gt;"",10,0)</x:f>
        <x:v>20</x:v>
      </x:c>
      <x:c r="D1455" s="43" t="str">
        <x:f>IF(C1455&gt;=85,"A",IF(C1455&gt;=65,"B","C"))</x:f>
        <x:v>C</x:v>
      </x:c>
      <x:c r="E1455" s="43" t="str">
        <x:v>Cambridge Muslim Secondary School</x:v>
      </x:c>
      <x:c r="F1455" s="43" t="str">
        <x:v>Cambridge</x:v>
      </x:c>
      <x:c r="G1455" s="43" t="str"/>
      <x:c r="H1455" s="43" t="str">
        <x:v>CB1 3RH</x:v>
      </x:c>
      <x:c r="I1455" s="43" t="n">
        <x:v>11</x:v>
      </x:c>
      <x:c r="J1455" s="43" t="n">
        <x:v>16</x:v>
      </x:c>
      <x:c r="K1455" s="43" t="str">
        <x:v>No boarders</x:v>
      </x:c>
      <x:c r="L1455" s="43" t="str">
        <x:v>Not applicable</x:v>
      </x:c>
      <x:c r="M1455" s="43" t="n">
        <x:v>8</x:v>
      </x:c>
      <x:c r="N1455" s="43" t="str">
        <x:v>http://www.cambridgemuslimsecondaryschool.co.uk</x:v>
      </x:c>
      <x:c r="O1455" s="43" t="str">
        <x:v>01223243280</x:v>
      </x:c>
      <x:c r="P1455" s="43" t="str"/>
      <x:c r="Q1455" s="43" t="str"/>
      <x:c r="R1455" s="43" t="str">
        <x:v>Queued for contact research</x:v>
      </x:c>
      <x:c r="S1455" s="43" t="str">
        <x:v>Not reviewed</x:v>
      </x:c>
      <x:c r="T1455" s="43" t="str">
        <x:v>Hold</x:v>
      </x:c>
      <x:c r="U1455" s="43" t="str">
        <x:v>No</x:v>
      </x:c>
      <x:c r="V1455" s="44"/>
      <x:c r="W1455" s="43" t="str"/>
      <x:c r="X1455" s="43" t="str"/>
      <x:c r="Y1455" s="43" t="str"/>
      <x:c r="Z1455" s="43" t="str">
        <x:v>https://www.get-information-schools.service.gov.uk/Downloads</x:v>
      </x:c>
    </x:row>
    <x:row r="1456">
      <x:c r="A1456" s="43" t="str">
        <x:v>UK independent</x:v>
      </x:c>
      <x:c r="B1456" s="43" t="str">
        <x:v>147235</x:v>
      </x:c>
      <x:c r="C1456" s="43" t="n">
        <x:f>IF(K1456="Boarding school",30,0)+IF(J1456&gt;=18,20,0)+IF(I1456&lt;=11,10,0)+IF(L1456="Has a sixth form",15,0)+IF(M1456&gt;=200,10,0)+IF(N1456&lt;&gt;"",10,0)</x:f>
        <x:v>20</x:v>
      </x:c>
      <x:c r="D1456" s="43" t="str">
        <x:f>IF(C1456&gt;=85,"A",IF(C1456&gt;=65,"B","C"))</x:f>
        <x:v>C</x:v>
      </x:c>
      <x:c r="E1456" s="43" t="str">
        <x:v>Progress Schools - Stockport</x:v>
      </x:c>
      <x:c r="F1456" s="43" t="str"/>
      <x:c r="G1456" s="43" t="str"/>
      <x:c r="H1456" s="43" t="str">
        <x:v>SK3 0AN</x:v>
      </x:c>
      <x:c r="I1456" s="43" t="n">
        <x:v>11</x:v>
      </x:c>
      <x:c r="J1456" s="43" t="n">
        <x:v>16</x:v>
      </x:c>
      <x:c r="K1456" s="43" t="str">
        <x:v>No boarders</x:v>
      </x:c>
      <x:c r="L1456" s="43" t="str">
        <x:v>Does not have a sixth form</x:v>
      </x:c>
      <x:c r="M1456" s="43" t="n">
        <x:v>8</x:v>
      </x:c>
      <x:c r="N1456" s="43" t="str">
        <x:v>https://www.progress-schools.co.uk</x:v>
      </x:c>
      <x:c r="O1456" s="43" t="str">
        <x:v>01515591867</x:v>
      </x:c>
      <x:c r="P1456" s="43" t="str"/>
      <x:c r="Q1456" s="43" t="str"/>
      <x:c r="R1456" s="43" t="str">
        <x:v>Queued for contact research</x:v>
      </x:c>
      <x:c r="S1456" s="43" t="str">
        <x:v>Not reviewed</x:v>
      </x:c>
      <x:c r="T1456" s="43" t="str">
        <x:v>Hold</x:v>
      </x:c>
      <x:c r="U1456" s="43" t="str">
        <x:v>No</x:v>
      </x:c>
      <x:c r="V1456" s="44"/>
      <x:c r="W1456" s="43" t="str"/>
      <x:c r="X1456" s="43" t="str"/>
      <x:c r="Y1456" s="43" t="str"/>
      <x:c r="Z1456" s="43" t="str">
        <x:v>https://www.get-information-schools.service.gov.uk/Downloads</x:v>
      </x:c>
    </x:row>
    <x:row r="1457">
      <x:c r="A1457" s="43" t="str">
        <x:v>UK independent</x:v>
      </x:c>
      <x:c r="B1457" s="43" t="str">
        <x:v>135608</x:v>
      </x:c>
      <x:c r="C1457" s="43" t="n">
        <x:f>IF(K1457="Boarding school",30,0)+IF(J1457&gt;=18,20,0)+IF(I1457&lt;=11,10,0)+IF(L1457="Has a sixth form",15,0)+IF(M1457&gt;=200,10,0)+IF(N1457&lt;&gt;"",10,0)</x:f>
        <x:v>20</x:v>
      </x:c>
      <x:c r="D1457" s="43" t="str">
        <x:f>IF(C1457&gt;=85,"A",IF(C1457&gt;=65,"B","C"))</x:f>
        <x:v>C</x:v>
      </x:c>
      <x:c r="E1457" s="43" t="str">
        <x:v>Aspire AP School 2</x:v>
      </x:c>
      <x:c r="F1457" s="43" t="str">
        <x:v>Smethwick</x:v>
      </x:c>
      <x:c r="G1457" s="43" t="str"/>
      <x:c r="H1457" s="43" t="str">
        <x:v>B66 3ND</x:v>
      </x:c>
      <x:c r="I1457" s="43" t="n">
        <x:v>11</x:v>
      </x:c>
      <x:c r="J1457" s="43" t="n">
        <x:v>16</x:v>
      </x:c>
      <x:c r="K1457" s="43" t="str">
        <x:v>No boarders</x:v>
      </x:c>
      <x:c r="L1457" s="43" t="str">
        <x:v>Does not have a sixth form</x:v>
      </x:c>
      <x:c r="M1457" s="43" t="n">
        <x:v>7</x:v>
      </x:c>
      <x:c r="N1457" s="43" t="str">
        <x:v>https://www.aspireapschool.org/school-two/</x:v>
      </x:c>
      <x:c r="O1457" s="43" t="str">
        <x:v>07943183021</x:v>
      </x:c>
      <x:c r="P1457" s="43" t="str"/>
      <x:c r="Q1457" s="43" t="str"/>
      <x:c r="R1457" s="43" t="str">
        <x:v>Queued for contact research</x:v>
      </x:c>
      <x:c r="S1457" s="43" t="str">
        <x:v>Not reviewed</x:v>
      </x:c>
      <x:c r="T1457" s="43" t="str">
        <x:v>Hold</x:v>
      </x:c>
      <x:c r="U1457" s="43" t="str">
        <x:v>No</x:v>
      </x:c>
      <x:c r="V1457" s="44"/>
      <x:c r="W1457" s="43" t="str"/>
      <x:c r="X1457" s="43" t="str"/>
      <x:c r="Y1457" s="43" t="str"/>
      <x:c r="Z1457" s="43" t="str">
        <x:v>https://www.get-information-schools.service.gov.uk/Downloads</x:v>
      </x:c>
    </x:row>
    <x:row r="1458">
      <x:c r="A1458" s="43" t="str">
        <x:v>UK independent</x:v>
      </x:c>
      <x:c r="B1458" s="43" t="str">
        <x:v>142657</x:v>
      </x:c>
      <x:c r="C1458" s="43" t="n">
        <x:f>IF(K1458="Boarding school",30,0)+IF(J1458&gt;=18,20,0)+IF(I1458&lt;=11,10,0)+IF(L1458="Has a sixth form",15,0)+IF(M1458&gt;=200,10,0)+IF(N1458&lt;&gt;"",10,0)</x:f>
        <x:v>20</x:v>
      </x:c>
      <x:c r="D1458" s="43" t="str">
        <x:f>IF(C1458&gt;=85,"A",IF(C1458&gt;=65,"B","C"))</x:f>
        <x:v>C</x:v>
      </x:c>
      <x:c r="E1458" s="43" t="str">
        <x:v>Evergreen</x:v>
      </x:c>
      <x:c r="F1458" s="43" t="str">
        <x:v>Staffordshire</x:v>
      </x:c>
      <x:c r="G1458" s="43" t="str"/>
      <x:c r="H1458" s="43" t="str">
        <x:v>ST10 2LP</x:v>
      </x:c>
      <x:c r="I1458" s="43" t="n">
        <x:v>7</x:v>
      </x:c>
      <x:c r="J1458" s="43" t="n">
        <x:v>16</x:v>
      </x:c>
      <x:c r="K1458" s="43" t="str">
        <x:v>No boarders</x:v>
      </x:c>
      <x:c r="L1458" s="43" t="str">
        <x:v>Does not have a sixth form</x:v>
      </x:c>
      <x:c r="M1458" s="43" t="n">
        <x:v>4</x:v>
      </x:c>
      <x:c r="N1458" s="43" t="str">
        <x:v>http://www.roachesschool.net/</x:v>
      </x:c>
      <x:c r="O1458" s="43" t="str">
        <x:v>01538266874</x:v>
      </x:c>
      <x:c r="P1458" s="43" t="str"/>
      <x:c r="Q1458" s="43" t="str"/>
      <x:c r="R1458" s="43" t="str">
        <x:v>Queued for contact research</x:v>
      </x:c>
      <x:c r="S1458" s="43" t="str">
        <x:v>Not reviewed</x:v>
      </x:c>
      <x:c r="T1458" s="43" t="str">
        <x:v>Hold</x:v>
      </x:c>
      <x:c r="U1458" s="43" t="str">
        <x:v>No</x:v>
      </x:c>
      <x:c r="V1458" s="44"/>
      <x:c r="W1458" s="43" t="str"/>
      <x:c r="X1458" s="43" t="str"/>
      <x:c r="Y1458" s="43" t="str"/>
      <x:c r="Z1458" s="43" t="str">
        <x:v>https://www.get-information-schools.service.gov.uk/Downloads</x:v>
      </x:c>
    </x:row>
    <x:row r="1459">
      <x:c r="A1459" s="43" t="str">
        <x:v>UK independent</x:v>
      </x:c>
      <x:c r="B1459" s="43" t="str">
        <x:v>152055</x:v>
      </x:c>
      <x:c r="C1459" s="43" t="n">
        <x:f>IF(K1459="Boarding school",30,0)+IF(J1459&gt;=18,20,0)+IF(I1459&lt;=11,10,0)+IF(L1459="Has a sixth form",15,0)+IF(M1459&gt;=200,10,0)+IF(N1459&lt;&gt;"",10,0)</x:f>
        <x:v>20</x:v>
      </x:c>
      <x:c r="D1459" s="43" t="str">
        <x:f>IF(C1459&gt;=85,"A",IF(C1459&gt;=65,"B","C"))</x:f>
        <x:v>C</x:v>
      </x:c>
      <x:c r="E1459" s="43" t="str">
        <x:v>Kimichi Worcester</x:v>
      </x:c>
      <x:c r="F1459" s="43" t="str">
        <x:v>Worcester</x:v>
      </x:c>
      <x:c r="G1459" s="43" t="str"/>
      <x:c r="H1459" s="43" t="str">
        <x:v>WR5 2HN</x:v>
      </x:c>
      <x:c r="I1459" s="43" t="n">
        <x:v>11</x:v>
      </x:c>
      <x:c r="J1459" s="43" t="n">
        <x:v>16</x:v>
      </x:c>
      <x:c r="K1459" s="43" t="str">
        <x:v>No boarders</x:v>
      </x:c>
      <x:c r="L1459" s="43" t="str">
        <x:v>Not applicable</x:v>
      </x:c>
      <x:c r="M1459" s="43" t="n">
        <x:v>1</x:v>
      </x:c>
      <x:c r="N1459" s="43" t="str">
        <x:v>https://www.kimichiworcester.co.uk</x:v>
      </x:c>
      <x:c r="O1459" s="43" t="str">
        <x:v>07515654793</x:v>
      </x:c>
      <x:c r="P1459" s="43" t="str"/>
      <x:c r="Q1459" s="43" t="str"/>
      <x:c r="R1459" s="43" t="str">
        <x:v>Queued for contact research</x:v>
      </x:c>
      <x:c r="S1459" s="43" t="str">
        <x:v>Not reviewed</x:v>
      </x:c>
      <x:c r="T1459" s="43" t="str">
        <x:v>Hold</x:v>
      </x:c>
      <x:c r="U1459" s="43" t="str">
        <x:v>No</x:v>
      </x:c>
      <x:c r="V1459" s="44"/>
      <x:c r="W1459" s="43" t="str"/>
      <x:c r="X1459" s="43" t="str"/>
      <x:c r="Y1459" s="43" t="str"/>
      <x:c r="Z1459" s="43" t="str">
        <x:v>https://www.get-information-schools.service.gov.uk/Downloads</x:v>
      </x:c>
    </x:row>
    <x:row r="1460">
      <x:c r="A1460" s="43" t="str">
        <x:v>UK independent</x:v>
      </x:c>
      <x:c r="B1460" s="43" t="str">
        <x:v>151912</x:v>
      </x:c>
      <x:c r="C1460" s="43" t="n">
        <x:f>IF(K1460="Boarding school",30,0)+IF(J1460&gt;=18,20,0)+IF(I1460&lt;=11,10,0)+IF(L1460="Has a sixth form",15,0)+IF(M1460&gt;=200,10,0)+IF(N1460&lt;&gt;"",10,0)</x:f>
        <x:v>20</x:v>
      </x:c>
      <x:c r="D1460" s="43" t="str">
        <x:f>IF(C1460&gt;=85,"A",IF(C1460&gt;=65,"B","C"))</x:f>
        <x:v>C</x:v>
      </x:c>
      <x:c r="E1460" s="43" t="str">
        <x:v>Darul Madinah Rochdale Ltd</x:v>
      </x:c>
      <x:c r="F1460" s="43" t="str">
        <x:v>Rochdale</x:v>
      </x:c>
      <x:c r="G1460" s="43" t="str"/>
      <x:c r="H1460" s="43" t="str">
        <x:v>OL12 0JR</x:v>
      </x:c>
      <x:c r="I1460" s="43" t="n">
        <x:v>11</x:v>
      </x:c>
      <x:c r="J1460" s="43" t="n">
        <x:v>12</x:v>
      </x:c>
      <x:c r="K1460" s="43" t="str">
        <x:v>No boarders</x:v>
      </x:c>
      <x:c r="L1460" s="43" t="str">
        <x:v>Not applicable</x:v>
      </x:c>
      <x:c r="M1460" s="43" t="n">
        <x:v>0</x:v>
      </x:c>
      <x:c r="N1460" s="43" t="str">
        <x:v>https://dmrochdale.co.uk</x:v>
      </x:c>
      <x:c r="O1460" s="43" t="str">
        <x:v>07788459808</x:v>
      </x:c>
      <x:c r="P1460" s="43" t="str"/>
      <x:c r="Q1460" s="43" t="str"/>
      <x:c r="R1460" s="43" t="str">
        <x:v>Queued for contact research</x:v>
      </x:c>
      <x:c r="S1460" s="43" t="str">
        <x:v>Not reviewed</x:v>
      </x:c>
      <x:c r="T1460" s="43" t="str">
        <x:v>Hold</x:v>
      </x:c>
      <x:c r="U1460" s="43" t="str">
        <x:v>No</x:v>
      </x:c>
      <x:c r="V1460" s="44"/>
      <x:c r="W1460" s="43" t="str"/>
      <x:c r="X1460" s="43" t="str"/>
      <x:c r="Y1460" s="43" t="str"/>
      <x:c r="Z1460" s="43" t="str">
        <x:v>https://www.get-information-schools.service.gov.uk/Downloads</x:v>
      </x:c>
    </x:row>
    <x:row r="1461">
      <x:c r="A1461" s="43" t="str">
        <x:v>UK independent</x:v>
      </x:c>
      <x:c r="B1461" s="43" t="str">
        <x:v>152384</x:v>
      </x:c>
      <x:c r="C1461" s="43" t="n">
        <x:f>IF(K1461="Boarding school",30,0)+IF(J1461&gt;=18,20,0)+IF(I1461&lt;=11,10,0)+IF(L1461="Has a sixth form",15,0)+IF(M1461&gt;=200,10,0)+IF(N1461&lt;&gt;"",10,0)</x:f>
        <x:v>20</x:v>
      </x:c>
      <x:c r="D1461" s="43" t="str">
        <x:f>IF(C1461&gt;=85,"A",IF(C1461&gt;=65,"B","C"))</x:f>
        <x:v>C</x:v>
      </x:c>
      <x:c r="E1461" s="43" t="str">
        <x:v>Liberty School</x:v>
      </x:c>
      <x:c r="F1461" s="43" t="str">
        <x:v>Newcastle-upon-Tyne</x:v>
      </x:c>
      <x:c r="G1461" s="43" t="str"/>
      <x:c r="H1461" s="43" t="str">
        <x:v>NE16 3BN</x:v>
      </x:c>
      <x:c r="I1461" s="43" t="n">
        <x:v>4</x:v>
      </x:c>
      <x:c r="J1461" s="43" t="n">
        <x:v>11</x:v>
      </x:c>
      <x:c r="K1461" s="43" t="str">
        <x:v>No boarders</x:v>
      </x:c>
      <x:c r="L1461" s="43" t="str">
        <x:v>Not applicable</x:v>
      </x:c>
      <x:c r="M1461" s="43" t="n">
        <x:v>0</x:v>
      </x:c>
      <x:c r="N1461" s="43" t="str">
        <x:v>https://www.libertyschool.co.uk</x:v>
      </x:c>
      <x:c r="O1461" s="43" t="str">
        <x:v>01916030005</x:v>
      </x:c>
      <x:c r="P1461" s="43" t="str"/>
      <x:c r="Q1461" s="43" t="str"/>
      <x:c r="R1461" s="43" t="str">
        <x:v>Queued for contact research</x:v>
      </x:c>
      <x:c r="S1461" s="43" t="str">
        <x:v>Not reviewed</x:v>
      </x:c>
      <x:c r="T1461" s="43" t="str">
        <x:v>Hold</x:v>
      </x:c>
      <x:c r="U1461" s="43" t="str">
        <x:v>No</x:v>
      </x:c>
      <x:c r="V1461" s="44"/>
      <x:c r="W1461" s="43" t="str"/>
      <x:c r="X1461" s="43" t="str"/>
      <x:c r="Y1461" s="43" t="str"/>
      <x:c r="Z1461" s="43" t="str">
        <x:v>https://www.get-information-schools.service.gov.uk/Downloads</x:v>
      </x:c>
    </x:row>
    <x:row r="1462">
      <x:c r="A1462" s="43" t="str">
        <x:v>UK independent</x:v>
      </x:c>
      <x:c r="B1462" s="43" t="str">
        <x:v>136086</x:v>
      </x:c>
      <x:c r="C1462" s="43" t="n">
        <x:f>IF(K1462="Boarding school",30,0)+IF(J1462&gt;=18,20,0)+IF(I1462&lt;=11,10,0)+IF(L1462="Has a sixth form",15,0)+IF(M1462&gt;=200,10,0)+IF(N1462&lt;&gt;"",10,0)</x:f>
        <x:v>10</x:v>
      </x:c>
      <x:c r="D1462" s="43" t="str">
        <x:f>IF(C1462&gt;=85,"A",IF(C1462&gt;=65,"B","C"))</x:f>
        <x:v>C</x:v>
      </x:c>
      <x:c r="E1462" s="43" t="str">
        <x:v>Beis Ruchel Girls School</x:v>
      </x:c>
      <x:c r="F1462" s="43" t="str"/>
      <x:c r="G1462" s="43" t="str"/>
      <x:c r="H1462" s="43" t="str">
        <x:v>M7 4AJ</x:v>
      </x:c>
      <x:c r="I1462" s="43" t="n">
        <x:v>11</x:v>
      </x:c>
      <x:c r="J1462" s="43" t="n">
        <x:v>16</x:v>
      </x:c>
      <x:c r="K1462" s="43" t="str">
        <x:v>No boarders</x:v>
      </x:c>
      <x:c r="L1462" s="43" t="str">
        <x:v>Does not have a sixth form</x:v>
      </x:c>
      <x:c r="M1462" s="43" t="n">
        <x:v>198</x:v>
      </x:c>
      <x:c r="N1462" s="43" t="str"/>
      <x:c r="O1462" s="43" t="str">
        <x:v>01617088383</x:v>
      </x:c>
      <x:c r="P1462" s="43" t="str"/>
      <x:c r="Q1462" s="43" t="str"/>
      <x:c r="R1462" s="43" t="str">
        <x:v>Queued for contact research</x:v>
      </x:c>
      <x:c r="S1462" s="43" t="str">
        <x:v>Not reviewed</x:v>
      </x:c>
      <x:c r="T1462" s="43" t="str">
        <x:v>Hold</x:v>
      </x:c>
      <x:c r="U1462" s="43" t="str">
        <x:v>No</x:v>
      </x:c>
      <x:c r="V1462" s="44"/>
      <x:c r="W1462" s="43" t="str"/>
      <x:c r="X1462" s="43" t="str"/>
      <x:c r="Y1462" s="43" t="str"/>
      <x:c r="Z1462" s="43" t="str">
        <x:v>https://www.get-information-schools.service.gov.uk/Downloads</x:v>
      </x:c>
    </x:row>
    <x:row r="1463">
      <x:c r="A1463" s="43" t="str">
        <x:v>UK independent</x:v>
      </x:c>
      <x:c r="B1463" s="43" t="str">
        <x:v>145505</x:v>
      </x:c>
      <x:c r="C1463" s="43" t="n">
        <x:f>IF(K1463="Boarding school",30,0)+IF(J1463&gt;=18,20,0)+IF(I1463&lt;=11,10,0)+IF(L1463="Has a sixth form",15,0)+IF(M1463&gt;=200,10,0)+IF(N1463&lt;&gt;"",10,0)</x:f>
        <x:v>10</x:v>
      </x:c>
      <x:c r="D1463" s="43" t="str">
        <x:f>IF(C1463&gt;=85,"A",IF(C1463&gt;=65,"B","C"))</x:f>
        <x:v>C</x:v>
      </x:c>
      <x:c r="E1463" s="43" t="str">
        <x:v>Jameah Boys Academy</x:v>
      </x:c>
      <x:c r="F1463" s="43" t="str"/>
      <x:c r="G1463" s="43" t="str"/>
      <x:c r="H1463" s="43" t="str">
        <x:v>LE5 3SQ</x:v>
      </x:c>
      <x:c r="I1463" s="43" t="n">
        <x:v>5</x:v>
      </x:c>
      <x:c r="J1463" s="43" t="n">
        <x:v>16</x:v>
      </x:c>
      <x:c r="K1463" s="43" t="str">
        <x:v>No boarders</x:v>
      </x:c>
      <x:c r="L1463" s="43" t="str">
        <x:v>Does not have a sixth form</x:v>
      </x:c>
      <x:c r="M1463" s="43" t="n">
        <x:v>190</x:v>
      </x:c>
      <x:c r="N1463" s="43" t="str"/>
      <x:c r="O1463" s="43" t="str">
        <x:v>01162927746</x:v>
      </x:c>
      <x:c r="P1463" s="43" t="str"/>
      <x:c r="Q1463" s="43" t="str"/>
      <x:c r="R1463" s="43" t="str">
        <x:v>Queued for contact research</x:v>
      </x:c>
      <x:c r="S1463" s="43" t="str">
        <x:v>Not reviewed</x:v>
      </x:c>
      <x:c r="T1463" s="43" t="str">
        <x:v>Hold</x:v>
      </x:c>
      <x:c r="U1463" s="43" t="str">
        <x:v>No</x:v>
      </x:c>
      <x:c r="V1463" s="44"/>
      <x:c r="W1463" s="43" t="str"/>
      <x:c r="X1463" s="43" t="str"/>
      <x:c r="Y1463" s="43" t="str"/>
      <x:c r="Z1463" s="43" t="str">
        <x:v>https://www.get-information-schools.service.gov.uk/Downloads</x:v>
      </x:c>
    </x:row>
    <x:row r="1464">
      <x:c r="A1464" s="43" t="str">
        <x:v>UK independent</x:v>
      </x:c>
      <x:c r="B1464" s="43" t="str">
        <x:v>109726</x:v>
      </x:c>
      <x:c r="C1464" s="43" t="n">
        <x:f>IF(K1464="Boarding school",30,0)+IF(J1464&gt;=18,20,0)+IF(I1464&lt;=11,10,0)+IF(L1464="Has a sixth form",15,0)+IF(M1464&gt;=200,10,0)+IF(N1464&lt;&gt;"",10,0)</x:f>
        <x:v>10</x:v>
      </x:c>
      <x:c r="D1464" s="43" t="str">
        <x:f>IF(C1464&gt;=85,"A",IF(C1464&gt;=65,"B","C"))</x:f>
        <x:v>C</x:v>
      </x:c>
      <x:c r="E1464" s="43" t="str">
        <x:v>King's House Moorlands</x:v>
      </x:c>
      <x:c r="F1464" s="43" t="str">
        <x:v>Luton</x:v>
      </x:c>
      <x:c r="G1464" s="43" t="str"/>
      <x:c r="H1464" s="43" t="str">
        <x:v>LU4 9JY</x:v>
      </x:c>
      <x:c r="I1464" s="43" t="n">
        <x:v>5</x:v>
      </x:c>
      <x:c r="J1464" s="43" t="n">
        <x:v>16</x:v>
      </x:c>
      <x:c r="K1464" s="43" t="str">
        <x:v>No boarders</x:v>
      </x:c>
      <x:c r="L1464" s="43" t="str">
        <x:v>Does not have a sixth form</x:v>
      </x:c>
      <x:c r="M1464" s="43" t="n">
        <x:v>190</x:v>
      </x:c>
      <x:c r="N1464" s="43" t="str"/>
      <x:c r="O1464" s="43" t="str">
        <x:v>01582491430</x:v>
      </x:c>
      <x:c r="P1464" s="43" t="str"/>
      <x:c r="Q1464" s="43" t="str"/>
      <x:c r="R1464" s="43" t="str">
        <x:v>Queued for contact research</x:v>
      </x:c>
      <x:c r="S1464" s="43" t="str">
        <x:v>Not reviewed</x:v>
      </x:c>
      <x:c r="T1464" s="43" t="str">
        <x:v>Hold</x:v>
      </x:c>
      <x:c r="U1464" s="43" t="str">
        <x:v>No</x:v>
      </x:c>
      <x:c r="V1464" s="44"/>
      <x:c r="W1464" s="43" t="str"/>
      <x:c r="X1464" s="43" t="str"/>
      <x:c r="Y1464" s="43" t="str"/>
      <x:c r="Z1464" s="43" t="str">
        <x:v>https://www.get-information-schools.service.gov.uk/Downloads</x:v>
      </x:c>
    </x:row>
    <x:row r="1465">
      <x:c r="A1465" s="43" t="str">
        <x:v>UK independent</x:v>
      </x:c>
      <x:c r="B1465" s="43" t="str">
        <x:v>147208</x:v>
      </x:c>
      <x:c r="C1465" s="43" t="n">
        <x:f>IF(K1465="Boarding school",30,0)+IF(J1465&gt;=18,20,0)+IF(I1465&lt;=11,10,0)+IF(L1465="Has a sixth form",15,0)+IF(M1465&gt;=200,10,0)+IF(N1465&lt;&gt;"",10,0)</x:f>
        <x:v>10</x:v>
      </x:c>
      <x:c r="D1465" s="43" t="str">
        <x:f>IF(C1465&gt;=85,"A",IF(C1465&gt;=65,"B","C"))</x:f>
        <x:v>C</x:v>
      </x:c>
      <x:c r="E1465" s="43" t="str">
        <x:v>Ateres Elisheva</x:v>
      </x:c>
      <x:c r="F1465" s="43" t="str"/>
      <x:c r="G1465" s="43" t="str"/>
      <x:c r="H1465" s="43" t="str">
        <x:v>M7 4JD</x:v>
      </x:c>
      <x:c r="I1465" s="43" t="n">
        <x:v>2</x:v>
      </x:c>
      <x:c r="J1465" s="43" t="n">
        <x:v>11</x:v>
      </x:c>
      <x:c r="K1465" s="43" t="str">
        <x:v>No boarders</x:v>
      </x:c>
      <x:c r="L1465" s="43" t="str">
        <x:v>Does not have a sixth form</x:v>
      </x:c>
      <x:c r="M1465" s="43" t="n">
        <x:v>182</x:v>
      </x:c>
      <x:c r="N1465" s="43" t="str"/>
      <x:c r="O1465" s="43" t="str">
        <x:v>01612587647</x:v>
      </x:c>
      <x:c r="P1465" s="43" t="str"/>
      <x:c r="Q1465" s="43" t="str"/>
      <x:c r="R1465" s="43" t="str">
        <x:v>Queued for contact research</x:v>
      </x:c>
      <x:c r="S1465" s="43" t="str">
        <x:v>Not reviewed</x:v>
      </x:c>
      <x:c r="T1465" s="43" t="str">
        <x:v>Hold</x:v>
      </x:c>
      <x:c r="U1465" s="43" t="str">
        <x:v>No</x:v>
      </x:c>
      <x:c r="V1465" s="44"/>
      <x:c r="W1465" s="43" t="str"/>
      <x:c r="X1465" s="43" t="str"/>
      <x:c r="Y1465" s="43" t="str"/>
      <x:c r="Z1465" s="43" t="str">
        <x:v>https://www.get-information-schools.service.gov.uk/Downloads</x:v>
      </x:c>
    </x:row>
    <x:row r="1466">
      <x:c r="A1466" s="43" t="str">
        <x:v>UK independent</x:v>
      </x:c>
      <x:c r="B1466" s="43" t="str">
        <x:v>147312</x:v>
      </x:c>
      <x:c r="C1466" s="43" t="n">
        <x:f>IF(K1466="Boarding school",30,0)+IF(J1466&gt;=18,20,0)+IF(I1466&lt;=11,10,0)+IF(L1466="Has a sixth form",15,0)+IF(M1466&gt;=200,10,0)+IF(N1466&lt;&gt;"",10,0)</x:f>
        <x:v>10</x:v>
      </x:c>
      <x:c r="D1466" s="43" t="str">
        <x:f>IF(C1466&gt;=85,"A",IF(C1466&gt;=65,"B","C"))</x:f>
        <x:v>C</x:v>
      </x:c>
      <x:c r="E1466" s="43" t="str">
        <x:v>Ohr Emes</x:v>
      </x:c>
      <x:c r="F1466" s="43" t="str"/>
      <x:c r="G1466" s="43" t="str"/>
      <x:c r="H1466" s="43" t="str">
        <x:v>E5 9JZ</x:v>
      </x:c>
      <x:c r="I1466" s="43" t="n">
        <x:v>3</x:v>
      </x:c>
      <x:c r="J1466" s="43" t="n">
        <x:v>11</x:v>
      </x:c>
      <x:c r="K1466" s="43" t="str">
        <x:v>No boarders</x:v>
      </x:c>
      <x:c r="L1466" s="43" t="str">
        <x:v>Does not have a sixth form</x:v>
      </x:c>
      <x:c r="M1466" s="43" t="n">
        <x:v>162</x:v>
      </x:c>
      <x:c r="N1466" s="43" t="str"/>
      <x:c r="O1466" s="43" t="str">
        <x:v>02088008932</x:v>
      </x:c>
      <x:c r="P1466" s="43" t="str"/>
      <x:c r="Q1466" s="43" t="str"/>
      <x:c r="R1466" s="43" t="str">
        <x:v>Queued for contact research</x:v>
      </x:c>
      <x:c r="S1466" s="43" t="str">
        <x:v>Not reviewed</x:v>
      </x:c>
      <x:c r="T1466" s="43" t="str">
        <x:v>Hold</x:v>
      </x:c>
      <x:c r="U1466" s="43" t="str">
        <x:v>No</x:v>
      </x:c>
      <x:c r="V1466" s="44"/>
      <x:c r="W1466" s="43" t="str"/>
      <x:c r="X1466" s="43" t="str"/>
      <x:c r="Y1466" s="43" t="str"/>
      <x:c r="Z1466" s="43" t="str">
        <x:v>https://www.get-information-schools.service.gov.uk/Downloads</x:v>
      </x:c>
    </x:row>
    <x:row r="1467">
      <x:c r="A1467" s="43" t="str">
        <x:v>UK independent</x:v>
      </x:c>
      <x:c r="B1467" s="43" t="str">
        <x:v>147272</x:v>
      </x:c>
      <x:c r="C1467" s="43" t="n">
        <x:f>IF(K1467="Boarding school",30,0)+IF(J1467&gt;=18,20,0)+IF(I1467&lt;=11,10,0)+IF(L1467="Has a sixth form",15,0)+IF(M1467&gt;=200,10,0)+IF(N1467&lt;&gt;"",10,0)</x:f>
        <x:v>10</x:v>
      </x:c>
      <x:c r="D1467" s="43" t="str">
        <x:f>IF(C1467&gt;=85,"A",IF(C1467&gt;=65,"B","C"))</x:f>
        <x:v>C</x:v>
      </x:c>
      <x:c r="E1467" s="43" t="str">
        <x:v>Beis Rochel Mcr Girls school ltd</x:v>
      </x:c>
      <x:c r="F1467" s="43" t="str"/>
      <x:c r="G1467" s="43" t="str"/>
      <x:c r="H1467" s="43" t="str">
        <x:v>M7 2FZ</x:v>
      </x:c>
      <x:c r="I1467" s="43" t="n">
        <x:v>3</x:v>
      </x:c>
      <x:c r="J1467" s="43" t="n">
        <x:v>11</x:v>
      </x:c>
      <x:c r="K1467" s="43" t="str">
        <x:v>No boarders</x:v>
      </x:c>
      <x:c r="L1467" s="43" t="str">
        <x:v>Does not have a sixth form</x:v>
      </x:c>
      <x:c r="M1467" s="43" t="n">
        <x:v>161</x:v>
      </x:c>
      <x:c r="N1467" s="43" t="str"/>
      <x:c r="O1467" s="43" t="str">
        <x:v>01616601001</x:v>
      </x:c>
      <x:c r="P1467" s="43" t="str"/>
      <x:c r="Q1467" s="43" t="str"/>
      <x:c r="R1467" s="43" t="str">
        <x:v>Queued for contact research</x:v>
      </x:c>
      <x:c r="S1467" s="43" t="str">
        <x:v>Not reviewed</x:v>
      </x:c>
      <x:c r="T1467" s="43" t="str">
        <x:v>Hold</x:v>
      </x:c>
      <x:c r="U1467" s="43" t="str">
        <x:v>No</x:v>
      </x:c>
      <x:c r="V1467" s="44"/>
      <x:c r="W1467" s="43" t="str"/>
      <x:c r="X1467" s="43" t="str"/>
      <x:c r="Y1467" s="43" t="str"/>
      <x:c r="Z1467" s="43" t="str">
        <x:v>https://www.get-information-schools.service.gov.uk/Downloads</x:v>
      </x:c>
    </x:row>
    <x:row r="1468">
      <x:c r="A1468" s="43" t="str">
        <x:v>UK independent</x:v>
      </x:c>
      <x:c r="B1468" s="43" t="str">
        <x:v>100075</x:v>
      </x:c>
      <x:c r="C1468" s="43" t="n">
        <x:f>IF(K1468="Boarding school",30,0)+IF(J1468&gt;=18,20,0)+IF(I1468&lt;=11,10,0)+IF(L1468="Has a sixth form",15,0)+IF(M1468&gt;=200,10,0)+IF(N1468&lt;&gt;"",10,0)</x:f>
        <x:v>10</x:v>
      </x:c>
      <x:c r="D1468" s="43" t="str">
        <x:f>IF(C1468&gt;=85,"A",IF(C1468&gt;=65,"B","C"))</x:f>
        <x:v>C</x:v>
      </x:c>
      <x:c r="E1468" s="43" t="str">
        <x:v>Trevor-Roberts School</x:v>
      </x:c>
      <x:c r="F1468" s="43" t="str">
        <x:v>London</x:v>
      </x:c>
      <x:c r="G1468" s="43" t="str"/>
      <x:c r="H1468" s="43" t="str">
        <x:v>NW3 3ET</x:v>
      </x:c>
      <x:c r="I1468" s="43" t="n">
        <x:v>4</x:v>
      </x:c>
      <x:c r="J1468" s="43" t="n">
        <x:v>13</x:v>
      </x:c>
      <x:c r="K1468" s="43" t="str">
        <x:v>No boarders</x:v>
      </x:c>
      <x:c r="L1468" s="43" t="str">
        <x:v>Does not have a sixth form</x:v>
      </x:c>
      <x:c r="M1468" s="43" t="n">
        <x:v>160</x:v>
      </x:c>
      <x:c r="N1468" s="43" t="str"/>
      <x:c r="O1468" s="43" t="str">
        <x:v>02075861444</x:v>
      </x:c>
      <x:c r="P1468" s="43" t="str"/>
      <x:c r="Q1468" s="43" t="str"/>
      <x:c r="R1468" s="43" t="str">
        <x:v>Queued for contact research</x:v>
      </x:c>
      <x:c r="S1468" s="43" t="str">
        <x:v>Not reviewed</x:v>
      </x:c>
      <x:c r="T1468" s="43" t="str">
        <x:v>Hold</x:v>
      </x:c>
      <x:c r="U1468" s="43" t="str">
        <x:v>No</x:v>
      </x:c>
      <x:c r="V1468" s="44"/>
      <x:c r="W1468" s="43" t="str"/>
      <x:c r="X1468" s="43" t="str"/>
      <x:c r="Y1468" s="43" t="str"/>
      <x:c r="Z1468" s="43" t="str">
        <x:v>https://www.get-information-schools.service.gov.uk/Downloads</x:v>
      </x:c>
    </x:row>
    <x:row r="1469">
      <x:c r="A1469" s="43" t="str">
        <x:v>UK independent</x:v>
      </x:c>
      <x:c r="B1469" s="43" t="str">
        <x:v>101176</x:v>
      </x:c>
      <x:c r="C1469" s="43" t="n">
        <x:f>IF(K1469="Boarding school",30,0)+IF(J1469&gt;=18,20,0)+IF(I1469&lt;=11,10,0)+IF(L1469="Has a sixth form",15,0)+IF(M1469&gt;=200,10,0)+IF(N1469&lt;&gt;"",10,0)</x:f>
        <x:v>10</x:v>
      </x:c>
      <x:c r="D1469" s="43" t="str">
        <x:f>IF(C1469&gt;=85,"A",IF(C1469&gt;=65,"B","C"))</x:f>
        <x:v>C</x:v>
      </x:c>
      <x:c r="E1469" s="43" t="str">
        <x:v>Naima Jewish Preparatory School</x:v>
      </x:c>
      <x:c r="F1469" s="43" t="str">
        <x:v>London</x:v>
      </x:c>
      <x:c r="G1469" s="43" t="str"/>
      <x:c r="H1469" s="43" t="str">
        <x:v>NW6 5ED</x:v>
      </x:c>
      <x:c r="I1469" s="43" t="n">
        <x:v>2</x:v>
      </x:c>
      <x:c r="J1469" s="43" t="n">
        <x:v>11</x:v>
      </x:c>
      <x:c r="K1469" s="43" t="str">
        <x:v>No boarders</x:v>
      </x:c>
      <x:c r="L1469" s="43" t="str">
        <x:v>Does not have a sixth form</x:v>
      </x:c>
      <x:c r="M1469" s="43" t="n">
        <x:v>159</x:v>
      </x:c>
      <x:c r="N1469" s="43" t="str"/>
      <x:c r="O1469" s="43" t="str">
        <x:v>02073282802</x:v>
      </x:c>
      <x:c r="P1469" s="43" t="str"/>
      <x:c r="Q1469" s="43" t="str"/>
      <x:c r="R1469" s="43" t="str">
        <x:v>Queued for contact research</x:v>
      </x:c>
      <x:c r="S1469" s="43" t="str">
        <x:v>Not reviewed</x:v>
      </x:c>
      <x:c r="T1469" s="43" t="str">
        <x:v>Hold</x:v>
      </x:c>
      <x:c r="U1469" s="43" t="str">
        <x:v>No</x:v>
      </x:c>
      <x:c r="V1469" s="44"/>
      <x:c r="W1469" s="43" t="str"/>
      <x:c r="X1469" s="43" t="str"/>
      <x:c r="Y1469" s="43" t="str"/>
      <x:c r="Z1469" s="43" t="str">
        <x:v>https://www.get-information-schools.service.gov.uk/Downloads</x:v>
      </x:c>
    </x:row>
    <x:row r="1470">
      <x:c r="A1470" s="43" t="str">
        <x:v>UK independent</x:v>
      </x:c>
      <x:c r="B1470" s="43" t="str">
        <x:v>141968</x:v>
      </x:c>
      <x:c r="C1470" s="43" t="n">
        <x:f>IF(K1470="Boarding school",30,0)+IF(J1470&gt;=18,20,0)+IF(I1470&lt;=11,10,0)+IF(L1470="Has a sixth form",15,0)+IF(M1470&gt;=200,10,0)+IF(N1470&lt;&gt;"",10,0)</x:f>
        <x:v>10</x:v>
      </x:c>
      <x:c r="D1470" s="43" t="str">
        <x:f>IF(C1470&gt;=85,"A",IF(C1470&gt;=65,"B","C"))</x:f>
        <x:v>C</x:v>
      </x:c>
      <x:c r="E1470" s="43" t="str">
        <x:v>Manchester Senior Girls School</x:v>
      </x:c>
      <x:c r="F1470" s="43" t="str">
        <x:v>Salford</x:v>
      </x:c>
      <x:c r="G1470" s="43" t="str"/>
      <x:c r="H1470" s="43" t="str">
        <x:v>M7 4GB</x:v>
      </x:c>
      <x:c r="I1470" s="43" t="n">
        <x:v>11</x:v>
      </x:c>
      <x:c r="J1470" s="43" t="n">
        <x:v>16</x:v>
      </x:c>
      <x:c r="K1470" s="43" t="str">
        <x:v>No boarders</x:v>
      </x:c>
      <x:c r="L1470" s="43" t="str">
        <x:v>Does not have a sixth form</x:v>
      </x:c>
      <x:c r="M1470" s="43" t="n">
        <x:v>157</x:v>
      </x:c>
      <x:c r="N1470" s="43" t="str"/>
      <x:c r="O1470" s="43" t="str">
        <x:v>441612227997</x:v>
      </x:c>
      <x:c r="P1470" s="43" t="str"/>
      <x:c r="Q1470" s="43" t="str"/>
      <x:c r="R1470" s="43" t="str">
        <x:v>Queued for contact research</x:v>
      </x:c>
      <x:c r="S1470" s="43" t="str">
        <x:v>Not reviewed</x:v>
      </x:c>
      <x:c r="T1470" s="43" t="str">
        <x:v>Hold</x:v>
      </x:c>
      <x:c r="U1470" s="43" t="str">
        <x:v>No</x:v>
      </x:c>
      <x:c r="V1470" s="44"/>
      <x:c r="W1470" s="43" t="str"/>
      <x:c r="X1470" s="43" t="str"/>
      <x:c r="Y1470" s="43" t="str"/>
      <x:c r="Z1470" s="43" t="str">
        <x:v>https://www.get-information-schools.service.gov.uk/Downloads</x:v>
      </x:c>
    </x:row>
    <x:row r="1471">
      <x:c r="A1471" s="43" t="str">
        <x:v>UK independent</x:v>
      </x:c>
      <x:c r="B1471" s="43" t="str">
        <x:v>100069</x:v>
      </x:c>
      <x:c r="C1471" s="43" t="n">
        <x:f>IF(K1471="Boarding school",30,0)+IF(J1471&gt;=18,20,0)+IF(I1471&lt;=11,10,0)+IF(L1471="Has a sixth form",15,0)+IF(M1471&gt;=200,10,0)+IF(N1471&lt;&gt;"",10,0)</x:f>
        <x:v>10</x:v>
      </x:c>
      <x:c r="D1471" s="43" t="str">
        <x:f>IF(C1471&gt;=85,"A",IF(C1471&gt;=65,"B","C"))</x:f>
        <x:v>C</x:v>
      </x:c>
      <x:c r="E1471" s="43" t="str">
        <x:v>Hereward House School</x:v>
      </x:c>
      <x:c r="F1471" s="43" t="str">
        <x:v>London</x:v>
      </x:c>
      <x:c r="G1471" s="43" t="str"/>
      <x:c r="H1471" s="43" t="str">
        <x:v>NW3 4NY</x:v>
      </x:c>
      <x:c r="I1471" s="43" t="n">
        <x:v>4</x:v>
      </x:c>
      <x:c r="J1471" s="43" t="n">
        <x:v>13</x:v>
      </x:c>
      <x:c r="K1471" s="43" t="str">
        <x:v>No boarders</x:v>
      </x:c>
      <x:c r="L1471" s="43" t="str">
        <x:v>Does not have a sixth form</x:v>
      </x:c>
      <x:c r="M1471" s="43" t="n">
        <x:v>156</x:v>
      </x:c>
      <x:c r="N1471" s="43" t="str"/>
      <x:c r="O1471" s="43" t="str">
        <x:v>02077944820</x:v>
      </x:c>
      <x:c r="P1471" s="43" t="str"/>
      <x:c r="Q1471" s="43" t="str"/>
      <x:c r="R1471" s="43" t="str">
        <x:v>Queued for contact research</x:v>
      </x:c>
      <x:c r="S1471" s="43" t="str">
        <x:v>Not reviewed</x:v>
      </x:c>
      <x:c r="T1471" s="43" t="str">
        <x:v>Hold</x:v>
      </x:c>
      <x:c r="U1471" s="43" t="str">
        <x:v>No</x:v>
      </x:c>
      <x:c r="V1471" s="44"/>
      <x:c r="W1471" s="43" t="str"/>
      <x:c r="X1471" s="43" t="str"/>
      <x:c r="Y1471" s="43" t="str"/>
      <x:c r="Z1471" s="43" t="str">
        <x:v>https://www.get-information-schools.service.gov.uk/Downloads</x:v>
      </x:c>
    </x:row>
    <x:row r="1472">
      <x:c r="A1472" s="43" t="str">
        <x:v>UK independent</x:v>
      </x:c>
      <x:c r="B1472" s="43" t="str">
        <x:v>108414</x:v>
      </x:c>
      <x:c r="C1472" s="43" t="n">
        <x:f>IF(K1472="Boarding school",30,0)+IF(J1472&gt;=18,20,0)+IF(I1472&lt;=11,10,0)+IF(L1472="Has a sixth form",15,0)+IF(M1472&gt;=200,10,0)+IF(N1472&lt;&gt;"",10,0)</x:f>
        <x:v>10</x:v>
      </x:c>
      <x:c r="D1472" s="43" t="str">
        <x:f>IF(C1472&gt;=85,"A",IF(C1472&gt;=65,"B","C"))</x:f>
        <x:v>C</x:v>
      </x:c>
      <x:c r="E1472" s="43" t="str">
        <x:v>Gateshead Jewish Boarding School</x:v>
      </x:c>
      <x:c r="F1472" s="43" t="str">
        <x:v>Gateshead</x:v>
      </x:c>
      <x:c r="G1472" s="43" t="str">
        <x:v>Tyne and Wear</x:v>
      </x:c>
      <x:c r="H1472" s="43" t="str">
        <x:v>NE8 1HG</x:v>
      </x:c>
      <x:c r="I1472" s="43" t="n">
        <x:v>10</x:v>
      </x:c>
      <x:c r="J1472" s="43" t="n">
        <x:v>16</x:v>
      </x:c>
      <x:c r="K1472" s="43" t="str">
        <x:v>No boarders</x:v>
      </x:c>
      <x:c r="L1472" s="43" t="str">
        <x:v>Does not have a sixth form</x:v>
      </x:c>
      <x:c r="M1472" s="43" t="n">
        <x:v>152</x:v>
      </x:c>
      <x:c r="N1472" s="43" t="str"/>
      <x:c r="O1472" s="43" t="str">
        <x:v>01914771431</x:v>
      </x:c>
      <x:c r="P1472" s="43" t="str"/>
      <x:c r="Q1472" s="43" t="str"/>
      <x:c r="R1472" s="43" t="str">
        <x:v>Queued for contact research</x:v>
      </x:c>
      <x:c r="S1472" s="43" t="str">
        <x:v>Not reviewed</x:v>
      </x:c>
      <x:c r="T1472" s="43" t="str">
        <x:v>Hold</x:v>
      </x:c>
      <x:c r="U1472" s="43" t="str">
        <x:v>No</x:v>
      </x:c>
      <x:c r="V1472" s="44"/>
      <x:c r="W1472" s="43" t="str"/>
      <x:c r="X1472" s="43" t="str"/>
      <x:c r="Y1472" s="43" t="str"/>
      <x:c r="Z1472" s="43" t="str">
        <x:v>https://www.get-information-schools.service.gov.uk/Downloads</x:v>
      </x:c>
    </x:row>
    <x:row r="1473">
      <x:c r="A1473" s="43" t="str">
        <x:v>UK independent</x:v>
      </x:c>
      <x:c r="B1473" s="43" t="str">
        <x:v>147223</x:v>
      </x:c>
      <x:c r="C1473" s="43" t="n">
        <x:f>IF(K1473="Boarding school",30,0)+IF(J1473&gt;=18,20,0)+IF(I1473&lt;=11,10,0)+IF(L1473="Has a sixth form",15,0)+IF(M1473&gt;=200,10,0)+IF(N1473&lt;&gt;"",10,0)</x:f>
        <x:v>10</x:v>
      </x:c>
      <x:c r="D1473" s="43" t="str">
        <x:f>IF(C1473&gt;=85,"A",IF(C1473&gt;=65,"B","C"))</x:f>
        <x:v>C</x:v>
      </x:c>
      <x:c r="E1473" s="43" t="str">
        <x:v>Imam Muhammad Adam Institute Boys School</x:v>
      </x:c>
      <x:c r="F1473" s="43" t="str"/>
      <x:c r="G1473" s="43" t="str"/>
      <x:c r="H1473" s="43" t="str">
        <x:v>LE5 5AY</x:v>
      </x:c>
      <x:c r="I1473" s="43" t="n">
        <x:v>9</x:v>
      </x:c>
      <x:c r="J1473" s="43" t="n">
        <x:v>16</x:v>
      </x:c>
      <x:c r="K1473" s="43" t="str">
        <x:v>No boarders</x:v>
      </x:c>
      <x:c r="L1473" s="43" t="str">
        <x:v>Does not have a sixth form</x:v>
      </x:c>
      <x:c r="M1473" s="43" t="n">
        <x:v>152</x:v>
      </x:c>
      <x:c r="N1473" s="43" t="str"/>
      <x:c r="O1473" s="43" t="str">
        <x:v>01163192489</x:v>
      </x:c>
      <x:c r="P1473" s="43" t="str"/>
      <x:c r="Q1473" s="43" t="str"/>
      <x:c r="R1473" s="43" t="str">
        <x:v>Queued for contact research</x:v>
      </x:c>
      <x:c r="S1473" s="43" t="str">
        <x:v>Not reviewed</x:v>
      </x:c>
      <x:c r="T1473" s="43" t="str">
        <x:v>Hold</x:v>
      </x:c>
      <x:c r="U1473" s="43" t="str">
        <x:v>No</x:v>
      </x:c>
      <x:c r="V1473" s="44"/>
      <x:c r="W1473" s="43" t="str"/>
      <x:c r="X1473" s="43" t="str"/>
      <x:c r="Y1473" s="43" t="str"/>
      <x:c r="Z1473" s="43" t="str">
        <x:v>https://www.get-information-schools.service.gov.uk/Downloads</x:v>
      </x:c>
    </x:row>
    <x:row r="1474">
      <x:c r="A1474" s="43" t="str">
        <x:v>UK independent</x:v>
      </x:c>
      <x:c r="B1474" s="43" t="str">
        <x:v>147783</x:v>
      </x:c>
      <x:c r="C1474" s="43" t="n">
        <x:f>IF(K1474="Boarding school",30,0)+IF(J1474&gt;=18,20,0)+IF(I1474&lt;=11,10,0)+IF(L1474="Has a sixth form",15,0)+IF(M1474&gt;=200,10,0)+IF(N1474&lt;&gt;"",10,0)</x:f>
        <x:v>10</x:v>
      </x:c>
      <x:c r="D1474" s="43" t="str">
        <x:f>IF(C1474&gt;=85,"A",IF(C1474&gt;=65,"B","C"))</x:f>
        <x:v>C</x:v>
      </x:c>
      <x:c r="E1474" s="43" t="str">
        <x:v>RGS Dodderhill</x:v>
      </x:c>
      <x:c r="F1474" s="43" t="str"/>
      <x:c r="G1474" s="43" t="str"/>
      <x:c r="H1474" s="43" t="str">
        <x:v>WR9 0BE</x:v>
      </x:c>
      <x:c r="I1474" s="43" t="n">
        <x:v>2</x:v>
      </x:c>
      <x:c r="J1474" s="43" t="n">
        <x:v>16</x:v>
      </x:c>
      <x:c r="K1474" s="43" t="str">
        <x:v>No boarders</x:v>
      </x:c>
      <x:c r="L1474" s="43" t="str">
        <x:v>Does not have a sixth form</x:v>
      </x:c>
      <x:c r="M1474" s="43" t="n">
        <x:v>146</x:v>
      </x:c>
      <x:c r="N1474" s="43" t="str"/>
      <x:c r="O1474" s="43" t="str">
        <x:v>01905778290</x:v>
      </x:c>
      <x:c r="P1474" s="43" t="str"/>
      <x:c r="Q1474" s="43" t="str"/>
      <x:c r="R1474" s="43" t="str">
        <x:v>Queued for contact research</x:v>
      </x:c>
      <x:c r="S1474" s="43" t="str">
        <x:v>Not reviewed</x:v>
      </x:c>
      <x:c r="T1474" s="43" t="str">
        <x:v>Hold</x:v>
      </x:c>
      <x:c r="U1474" s="43" t="str">
        <x:v>No</x:v>
      </x:c>
      <x:c r="V1474" s="44"/>
      <x:c r="W1474" s="43" t="str"/>
      <x:c r="X1474" s="43" t="str"/>
      <x:c r="Y1474" s="43" t="str"/>
      <x:c r="Z1474" s="43" t="str">
        <x:v>https://www.get-information-schools.service.gov.uk/Downloads</x:v>
      </x:c>
    </x:row>
    <x:row r="1475">
      <x:c r="A1475" s="43" t="str">
        <x:v>UK independent</x:v>
      </x:c>
      <x:c r="B1475" s="43" t="str">
        <x:v>135168</x:v>
      </x:c>
      <x:c r="C1475" s="43" t="n">
        <x:f>IF(K1475="Boarding school",30,0)+IF(J1475&gt;=18,20,0)+IF(I1475&lt;=11,10,0)+IF(L1475="Has a sixth form",15,0)+IF(M1475&gt;=200,10,0)+IF(N1475&lt;&gt;"",10,0)</x:f>
        <x:v>10</x:v>
      </x:c>
      <x:c r="D1475" s="43" t="str">
        <x:f>IF(C1475&gt;=85,"A",IF(C1475&gt;=65,"B","C"))</x:f>
        <x:v>C</x:v>
      </x:c>
      <x:c r="E1475" s="43" t="str">
        <x:v>Beis Hatalmud School</x:v>
      </x:c>
      <x:c r="F1475" s="43" t="str">
        <x:v>Salford</x:v>
      </x:c>
      <x:c r="G1475" s="43" t="str">
        <x:v>Lancashire</x:v>
      </x:c>
      <x:c r="H1475" s="43" t="str">
        <x:v>M7 2FD</x:v>
      </x:c>
      <x:c r="I1475" s="43" t="n">
        <x:v>11</x:v>
      </x:c>
      <x:c r="J1475" s="43" t="n">
        <x:v>16</x:v>
      </x:c>
      <x:c r="K1475" s="43" t="str">
        <x:v>No boarders</x:v>
      </x:c>
      <x:c r="L1475" s="43" t="str">
        <x:v>Does not have a sixth form</x:v>
      </x:c>
      <x:c r="M1475" s="43" t="n">
        <x:v>145</x:v>
      </x:c>
      <x:c r="N1475" s="43" t="str"/>
      <x:c r="O1475" s="43" t="str">
        <x:v>01617080400</x:v>
      </x:c>
      <x:c r="P1475" s="43" t="str"/>
      <x:c r="Q1475" s="43" t="str"/>
      <x:c r="R1475" s="43" t="str">
        <x:v>Queued for contact research</x:v>
      </x:c>
      <x:c r="S1475" s="43" t="str">
        <x:v>Not reviewed</x:v>
      </x:c>
      <x:c r="T1475" s="43" t="str">
        <x:v>Hold</x:v>
      </x:c>
      <x:c r="U1475" s="43" t="str">
        <x:v>No</x:v>
      </x:c>
      <x:c r="V1475" s="44"/>
      <x:c r="W1475" s="43" t="str"/>
      <x:c r="X1475" s="43" t="str"/>
      <x:c r="Y1475" s="43" t="str"/>
      <x:c r="Z1475" s="43" t="str">
        <x:v>https://www.get-information-schools.service.gov.uk/Downloads</x:v>
      </x:c>
    </x:row>
    <x:row r="1476">
      <x:c r="A1476" s="43" t="str">
        <x:v>UK independent</x:v>
      </x:c>
      <x:c r="B1476" s="43" t="str">
        <x:v>137502</x:v>
      </x:c>
      <x:c r="C1476" s="43" t="n">
        <x:f>IF(K1476="Boarding school",30,0)+IF(J1476&gt;=18,20,0)+IF(I1476&lt;=11,10,0)+IF(L1476="Has a sixth form",15,0)+IF(M1476&gt;=200,10,0)+IF(N1476&lt;&gt;"",10,0)</x:f>
        <x:v>10</x:v>
      </x:c>
      <x:c r="D1476" s="43" t="str">
        <x:f>IF(C1476&gt;=85,"A",IF(C1476&gt;=65,"B","C"))</x:f>
        <x:v>C</x:v>
      </x:c>
      <x:c r="E1476" s="43" t="str">
        <x:v>Peninim</x:v>
      </x:c>
      <x:c r="F1476" s="43" t="str">
        <x:v>London</x:v>
      </x:c>
      <x:c r="G1476" s="43" t="str"/>
      <x:c r="H1476" s="43" t="str">
        <x:v>NW11 9TB</x:v>
      </x:c>
      <x:c r="I1476" s="43" t="n">
        <x:v>2</x:v>
      </x:c>
      <x:c r="J1476" s="43" t="n">
        <x:v>11</x:v>
      </x:c>
      <x:c r="K1476" s="43" t="str">
        <x:v>No boarders</x:v>
      </x:c>
      <x:c r="L1476" s="43" t="str">
        <x:v>Does not have a sixth form</x:v>
      </x:c>
      <x:c r="M1476" s="43" t="n">
        <x:v>144</x:v>
      </x:c>
      <x:c r="N1476" s="43" t="str"/>
      <x:c r="O1476" s="43" t="str">
        <x:v>02080042224</x:v>
      </x:c>
      <x:c r="P1476" s="43" t="str"/>
      <x:c r="Q1476" s="43" t="str"/>
      <x:c r="R1476" s="43" t="str">
        <x:v>Queued for contact research</x:v>
      </x:c>
      <x:c r="S1476" s="43" t="str">
        <x:v>Not reviewed</x:v>
      </x:c>
      <x:c r="T1476" s="43" t="str">
        <x:v>Hold</x:v>
      </x:c>
      <x:c r="U1476" s="43" t="str">
        <x:v>No</x:v>
      </x:c>
      <x:c r="V1476" s="44"/>
      <x:c r="W1476" s="43" t="str"/>
      <x:c r="X1476" s="43" t="str"/>
      <x:c r="Y1476" s="43" t="str"/>
      <x:c r="Z1476" s="43" t="str">
        <x:v>https://www.get-information-schools.service.gov.uk/Downloads</x:v>
      </x:c>
    </x:row>
    <x:row r="1477">
      <x:c r="A1477" s="43" t="str">
        <x:v>UK independent</x:v>
      </x:c>
      <x:c r="B1477" s="43" t="str">
        <x:v>100299</x:v>
      </x:c>
      <x:c r="C1477" s="43" t="n">
        <x:f>IF(K1477="Boarding school",30,0)+IF(J1477&gt;=18,20,0)+IF(I1477&lt;=11,10,0)+IF(L1477="Has a sixth form",15,0)+IF(M1477&gt;=200,10,0)+IF(N1477&lt;&gt;"",10,0)</x:f>
        <x:v>10</x:v>
      </x:c>
      <x:c r="D1477" s="43" t="str">
        <x:f>IF(C1477&gt;=85,"A",IF(C1477&gt;=65,"B","C"))</x:f>
        <x:v>C</x:v>
      </x:c>
      <x:c r="E1477" s="43" t="str">
        <x:v>T T T Y Y School</x:v>
      </x:c>
      <x:c r="F1477" s="43" t="str">
        <x:v>London</x:v>
      </x:c>
      <x:c r="G1477" s="43" t="str"/>
      <x:c r="H1477" s="43" t="str">
        <x:v>N16 5NH</x:v>
      </x:c>
      <x:c r="I1477" s="43" t="n">
        <x:v>2</x:v>
      </x:c>
      <x:c r="J1477" s="43" t="n">
        <x:v>13</x:v>
      </x:c>
      <x:c r="K1477" s="43" t="str">
        <x:v>No boarders</x:v>
      </x:c>
      <x:c r="L1477" s="43" t="str">
        <x:v>Does not have a sixth form</x:v>
      </x:c>
      <x:c r="M1477" s="43" t="n">
        <x:v>144</x:v>
      </x:c>
      <x:c r="N1477" s="43" t="str"/>
      <x:c r="O1477" s="43" t="str">
        <x:v>02088021348</x:v>
      </x:c>
      <x:c r="P1477" s="43" t="str"/>
      <x:c r="Q1477" s="43" t="str"/>
      <x:c r="R1477" s="43" t="str">
        <x:v>Queued for contact research</x:v>
      </x:c>
      <x:c r="S1477" s="43" t="str">
        <x:v>Not reviewed</x:v>
      </x:c>
      <x:c r="T1477" s="43" t="str">
        <x:v>Hold</x:v>
      </x:c>
      <x:c r="U1477" s="43" t="str">
        <x:v>No</x:v>
      </x:c>
      <x:c r="V1477" s="44"/>
      <x:c r="W1477" s="43" t="str"/>
      <x:c r="X1477" s="43" t="str"/>
      <x:c r="Y1477" s="43" t="str"/>
      <x:c r="Z1477" s="43" t="str">
        <x:v>https://www.get-information-schools.service.gov.uk/Downloads</x:v>
      </x:c>
    </x:row>
    <x:row r="1478">
      <x:c r="A1478" s="43" t="str">
        <x:v>UK independent</x:v>
      </x:c>
      <x:c r="B1478" s="43" t="str">
        <x:v>136098</x:v>
      </x:c>
      <x:c r="C1478" s="43" t="n">
        <x:f>IF(K1478="Boarding school",30,0)+IF(J1478&gt;=18,20,0)+IF(I1478&lt;=11,10,0)+IF(L1478="Has a sixth form",15,0)+IF(M1478&gt;=200,10,0)+IF(N1478&lt;&gt;"",10,0)</x:f>
        <x:v>10</x:v>
      </x:c>
      <x:c r="D1478" s="43" t="str">
        <x:f>IF(C1478&gt;=85,"A",IF(C1478&gt;=65,"B","C"))</x:f>
        <x:v>C</x:v>
      </x:c>
      <x:c r="E1478" s="43" t="str">
        <x:v>Al-Ikhlaas Primary School</x:v>
      </x:c>
      <x:c r="F1478" s="43" t="str">
        <x:v>Nelson</x:v>
      </x:c>
      <x:c r="G1478" s="43" t="str">
        <x:v>Lancashire</x:v>
      </x:c>
      <x:c r="H1478" s="43" t="str">
        <x:v>BB9 7SY</x:v>
      </x:c>
      <x:c r="I1478" s="43" t="n">
        <x:v>3</x:v>
      </x:c>
      <x:c r="J1478" s="43" t="n">
        <x:v>11</x:v>
      </x:c>
      <x:c r="K1478" s="43" t="str">
        <x:v>No boarders</x:v>
      </x:c>
      <x:c r="L1478" s="43" t="str">
        <x:v>Does not have a sixth form</x:v>
      </x:c>
      <x:c r="M1478" s="43" t="n">
        <x:v>142</x:v>
      </x:c>
      <x:c r="N1478" s="43" t="str"/>
      <x:c r="O1478" s="43" t="str">
        <x:v>01282618899</x:v>
      </x:c>
      <x:c r="P1478" s="43" t="str"/>
      <x:c r="Q1478" s="43" t="str"/>
      <x:c r="R1478" s="43" t="str">
        <x:v>Queued for contact research</x:v>
      </x:c>
      <x:c r="S1478" s="43" t="str">
        <x:v>Not reviewed</x:v>
      </x:c>
      <x:c r="T1478" s="43" t="str">
        <x:v>Hold</x:v>
      </x:c>
      <x:c r="U1478" s="43" t="str">
        <x:v>No</x:v>
      </x:c>
      <x:c r="V1478" s="44"/>
      <x:c r="W1478" s="43" t="str"/>
      <x:c r="X1478" s="43" t="str"/>
      <x:c r="Y1478" s="43" t="str"/>
      <x:c r="Z1478" s="43" t="str">
        <x:v>https://www.get-information-schools.service.gov.uk/Downloads</x:v>
      </x:c>
    </x:row>
    <x:row r="1479">
      <x:c r="A1479" s="43" t="str">
        <x:v>UK independent</x:v>
      </x:c>
      <x:c r="B1479" s="43" t="str">
        <x:v>147366</x:v>
      </x:c>
      <x:c r="C1479" s="43" t="n">
        <x:f>IF(K1479="Boarding school",30,0)+IF(J1479&gt;=18,20,0)+IF(I1479&lt;=11,10,0)+IF(L1479="Has a sixth form",15,0)+IF(M1479&gt;=200,10,0)+IF(N1479&lt;&gt;"",10,0)</x:f>
        <x:v>10</x:v>
      </x:c>
      <x:c r="D1479" s="43" t="str">
        <x:f>IF(C1479&gt;=85,"A",IF(C1479&gt;=65,"B","C"))</x:f>
        <x:v>C</x:v>
      </x:c>
      <x:c r="E1479" s="43" t="str">
        <x:v>Bnos Margulis Viznitz Girls' School</x:v>
      </x:c>
      <x:c r="F1479" s="43" t="str"/>
      <x:c r="G1479" s="43" t="str"/>
      <x:c r="H1479" s="43" t="str">
        <x:v>M7 4DQ</x:v>
      </x:c>
      <x:c r="I1479" s="43" t="n">
        <x:v>3</x:v>
      </x:c>
      <x:c r="J1479" s="43" t="n">
        <x:v>11</x:v>
      </x:c>
      <x:c r="K1479" s="43" t="str">
        <x:v>No boarders</x:v>
      </x:c>
      <x:c r="L1479" s="43" t="str">
        <x:v>Does not have a sixth form</x:v>
      </x:c>
      <x:c r="M1479" s="43" t="n">
        <x:v>140</x:v>
      </x:c>
      <x:c r="N1479" s="43" t="str"/>
      <x:c r="O1479" s="43" t="str">
        <x:v>01613580220</x:v>
      </x:c>
      <x:c r="P1479" s="43" t="str"/>
      <x:c r="Q1479" s="43" t="str"/>
      <x:c r="R1479" s="43" t="str">
        <x:v>Queued for contact research</x:v>
      </x:c>
      <x:c r="S1479" s="43" t="str">
        <x:v>Not reviewed</x:v>
      </x:c>
      <x:c r="T1479" s="43" t="str">
        <x:v>Hold</x:v>
      </x:c>
      <x:c r="U1479" s="43" t="str">
        <x:v>No</x:v>
      </x:c>
      <x:c r="V1479" s="44"/>
      <x:c r="W1479" s="43" t="str"/>
      <x:c r="X1479" s="43" t="str"/>
      <x:c r="Y1479" s="43" t="str"/>
      <x:c r="Z1479" s="43" t="str">
        <x:v>https://www.get-information-schools.service.gov.uk/Downloads</x:v>
      </x:c>
    </x:row>
    <x:row r="1480">
      <x:c r="A1480" s="43" t="str">
        <x:v>UK independent</x:v>
      </x:c>
      <x:c r="B1480" s="43" t="str">
        <x:v>131403</x:v>
      </x:c>
      <x:c r="C1480" s="43" t="n">
        <x:f>IF(K1480="Boarding school",30,0)+IF(J1480&gt;=18,20,0)+IF(I1480&lt;=11,10,0)+IF(L1480="Has a sixth form",15,0)+IF(M1480&gt;=200,10,0)+IF(N1480&lt;&gt;"",10,0)</x:f>
        <x:v>10</x:v>
      </x:c>
      <x:c r="D1480" s="43" t="str">
        <x:f>IF(C1480&gt;=85,"A",IF(C1480&gt;=65,"B","C"))</x:f>
        <x:v>C</x:v>
      </x:c>
      <x:c r="E1480" s="43" t="str">
        <x:v>Tiferes High School</x:v>
      </x:c>
      <x:c r="F1480" s="43" t="str">
        <x:v>London</x:v>
      </x:c>
      <x:c r="G1480" s="43" t="str"/>
      <x:c r="H1480" s="43" t="str">
        <x:v>NW4 2TA</x:v>
      </x:c>
      <x:c r="I1480" s="43" t="n">
        <x:v>11</x:v>
      </x:c>
      <x:c r="J1480" s="43" t="n">
        <x:v>16</x:v>
      </x:c>
      <x:c r="K1480" s="43" t="str">
        <x:v>No boarders</x:v>
      </x:c>
      <x:c r="L1480" s="43" t="str">
        <x:v>Does not have a sixth form</x:v>
      </x:c>
      <x:c r="M1480" s="43" t="n">
        <x:v>137</x:v>
      </x:c>
      <x:c r="N1480" s="43" t="str"/>
      <x:c r="O1480" s="43" t="str">
        <x:v>02082038618</x:v>
      </x:c>
      <x:c r="P1480" s="43" t="str"/>
      <x:c r="Q1480" s="43" t="str"/>
      <x:c r="R1480" s="43" t="str">
        <x:v>Queued for contact research</x:v>
      </x:c>
      <x:c r="S1480" s="43" t="str">
        <x:v>Not reviewed</x:v>
      </x:c>
      <x:c r="T1480" s="43" t="str">
        <x:v>Hold</x:v>
      </x:c>
      <x:c r="U1480" s="43" t="str">
        <x:v>No</x:v>
      </x:c>
      <x:c r="V1480" s="44"/>
      <x:c r="W1480" s="43" t="str"/>
      <x:c r="X1480" s="43" t="str"/>
      <x:c r="Y1480" s="43" t="str"/>
      <x:c r="Z1480" s="43" t="str">
        <x:v>https://www.get-information-schools.service.gov.uk/Downloads</x:v>
      </x:c>
    </x:row>
    <x:row r="1481">
      <x:c r="A1481" s="43" t="str">
        <x:v>UK independent</x:v>
      </x:c>
      <x:c r="B1481" s="43" t="str">
        <x:v>132738</x:v>
      </x:c>
      <x:c r="C1481" s="43" t="n">
        <x:f>IF(K1481="Boarding school",30,0)+IF(J1481&gt;=18,20,0)+IF(I1481&lt;=11,10,0)+IF(L1481="Has a sixth form",15,0)+IF(M1481&gt;=200,10,0)+IF(N1481&lt;&gt;"",10,0)</x:f>
        <x:v>10</x:v>
      </x:c>
      <x:c r="D1481" s="43" t="str">
        <x:f>IF(C1481&gt;=85,"A",IF(C1481&gt;=65,"B","C"))</x:f>
        <x:v>C</x:v>
      </x:c>
      <x:c r="E1481" s="43" t="str">
        <x:v>Imam Muhammad Zakariya School</x:v>
      </x:c>
      <x:c r="F1481" s="43" t="str">
        <x:v>Preston</x:v>
      </x:c>
      <x:c r="G1481" s="43" t="str">
        <x:v>Lancashire</x:v>
      </x:c>
      <x:c r="H1481" s="43" t="str">
        <x:v>PR1 3TN</x:v>
      </x:c>
      <x:c r="I1481" s="43" t="n">
        <x:v>2</x:v>
      </x:c>
      <x:c r="J1481" s="43" t="n">
        <x:v>11</x:v>
      </x:c>
      <x:c r="K1481" s="43" t="str">
        <x:v>No boarders</x:v>
      </x:c>
      <x:c r="L1481" s="43" t="str">
        <x:v>Does not have a sixth form</x:v>
      </x:c>
      <x:c r="M1481" s="43" t="n">
        <x:v>136</x:v>
      </x:c>
      <x:c r="N1481" s="43" t="str"/>
      <x:c r="O1481" s="43" t="str">
        <x:v>01772881968</x:v>
      </x:c>
      <x:c r="P1481" s="43" t="str"/>
      <x:c r="Q1481" s="43" t="str"/>
      <x:c r="R1481" s="43" t="str">
        <x:v>Queued for contact research</x:v>
      </x:c>
      <x:c r="S1481" s="43" t="str">
        <x:v>Not reviewed</x:v>
      </x:c>
      <x:c r="T1481" s="43" t="str">
        <x:v>Hold</x:v>
      </x:c>
      <x:c r="U1481" s="43" t="str">
        <x:v>No</x:v>
      </x:c>
      <x:c r="V1481" s="44"/>
      <x:c r="W1481" s="43" t="str"/>
      <x:c r="X1481" s="43" t="str"/>
      <x:c r="Y1481" s="43" t="str"/>
      <x:c r="Z1481" s="43" t="str">
        <x:v>https://www.get-information-schools.service.gov.uk/Downloads</x:v>
      </x:c>
    </x:row>
    <x:row r="1482">
      <x:c r="A1482" s="43" t="str">
        <x:v>UK independent</x:v>
      </x:c>
      <x:c r="B1482" s="43" t="str">
        <x:v>133453</x:v>
      </x:c>
      <x:c r="C1482" s="43" t="n">
        <x:f>IF(K1482="Boarding school",30,0)+IF(J1482&gt;=18,20,0)+IF(I1482&lt;=11,10,0)+IF(L1482="Has a sixth form",15,0)+IF(M1482&gt;=200,10,0)+IF(N1482&lt;&gt;"",10,0)</x:f>
        <x:v>10</x:v>
      </x:c>
      <x:c r="D1482" s="43" t="str">
        <x:f>IF(C1482&gt;=85,"A",IF(C1482&gt;=65,"B","C"))</x:f>
        <x:v>C</x:v>
      </x:c>
      <x:c r="E1482" s="43" t="str">
        <x:v>Islamic Tarbiyyah Preparatory School</x:v>
      </x:c>
      <x:c r="F1482" s="43" t="str">
        <x:v>Bradford</x:v>
      </x:c>
      <x:c r="G1482" s="43" t="str">
        <x:v>West Yorkshire</x:v>
      </x:c>
      <x:c r="H1482" s="43" t="str">
        <x:v>BD8 8AW</x:v>
      </x:c>
      <x:c r="I1482" s="43" t="n">
        <x:v>3</x:v>
      </x:c>
      <x:c r="J1482" s="43" t="n">
        <x:v>11</x:v>
      </x:c>
      <x:c r="K1482" s="43" t="str">
        <x:v>No boarders</x:v>
      </x:c>
      <x:c r="L1482" s="43" t="str">
        <x:v>Does not have a sixth form</x:v>
      </x:c>
      <x:c r="M1482" s="43" t="n">
        <x:v>134</x:v>
      </x:c>
      <x:c r="N1482" s="43" t="str"/>
      <x:c r="O1482" s="43" t="str">
        <x:v>01274490462</x:v>
      </x:c>
      <x:c r="P1482" s="43" t="str"/>
      <x:c r="Q1482" s="43" t="str"/>
      <x:c r="R1482" s="43" t="str">
        <x:v>Queued for contact research</x:v>
      </x:c>
      <x:c r="S1482" s="43" t="str">
        <x:v>Not reviewed</x:v>
      </x:c>
      <x:c r="T1482" s="43" t="str">
        <x:v>Hold</x:v>
      </x:c>
      <x:c r="U1482" s="43" t="str">
        <x:v>No</x:v>
      </x:c>
      <x:c r="V1482" s="44"/>
      <x:c r="W1482" s="43" t="str"/>
      <x:c r="X1482" s="43" t="str"/>
      <x:c r="Y1482" s="43" t="str"/>
      <x:c r="Z1482" s="43" t="str">
        <x:v>https://www.get-information-schools.service.gov.uk/Downloads</x:v>
      </x:c>
    </x:row>
    <x:row r="1483">
      <x:c r="A1483" s="43" t="str">
        <x:v>UK independent</x:v>
      </x:c>
      <x:c r="B1483" s="43" t="str">
        <x:v>136226</x:v>
      </x:c>
      <x:c r="C1483" s="43" t="n">
        <x:f>IF(K1483="Boarding school",30,0)+IF(J1483&gt;=18,20,0)+IF(I1483&lt;=11,10,0)+IF(L1483="Has a sixth form",15,0)+IF(M1483&gt;=200,10,0)+IF(N1483&lt;&gt;"",10,0)</x:f>
        <x:v>10</x:v>
      </x:c>
      <x:c r="D1483" s="43" t="str">
        <x:f>IF(C1483&gt;=85,"A",IF(C1483&gt;=65,"B","C"))</x:f>
        <x:v>C</x:v>
      </x:c>
      <x:c r="E1483" s="43" t="str">
        <x:v>Cumnor House School</x:v>
      </x:c>
      <x:c r="F1483" s="43" t="str"/>
      <x:c r="G1483" s="43" t="str">
        <x:v>Surrey</x:v>
      </x:c>
      <x:c r="H1483" s="43" t="str">
        <x:v>CR8 3HB</x:v>
      </x:c>
      <x:c r="I1483" s="43" t="n">
        <x:v>4</x:v>
      </x:c>
      <x:c r="J1483" s="43" t="n">
        <x:v>11</x:v>
      </x:c>
      <x:c r="K1483" s="43" t="str">
        <x:v>No boarders</x:v>
      </x:c>
      <x:c r="L1483" s="43" t="str">
        <x:v>Does not have a sixth form</x:v>
      </x:c>
      <x:c r="M1483" s="43" t="n">
        <x:v>131</x:v>
      </x:c>
      <x:c r="N1483" s="43" t="str"/>
      <x:c r="O1483" s="43" t="str">
        <x:v>02086680050</x:v>
      </x:c>
      <x:c r="P1483" s="43" t="str"/>
      <x:c r="Q1483" s="43" t="str"/>
      <x:c r="R1483" s="43" t="str">
        <x:v>Queued for contact research</x:v>
      </x:c>
      <x:c r="S1483" s="43" t="str">
        <x:v>Not reviewed</x:v>
      </x:c>
      <x:c r="T1483" s="43" t="str">
        <x:v>Hold</x:v>
      </x:c>
      <x:c r="U1483" s="43" t="str">
        <x:v>No</x:v>
      </x:c>
      <x:c r="V1483" s="44"/>
      <x:c r="W1483" s="43" t="str"/>
      <x:c r="X1483" s="43" t="str"/>
      <x:c r="Y1483" s="43" t="str"/>
      <x:c r="Z1483" s="43" t="str">
        <x:v>https://www.get-information-schools.service.gov.uk/Downloads</x:v>
      </x:c>
    </x:row>
    <x:row r="1484">
      <x:c r="A1484" s="43" t="str">
        <x:v>UK independent</x:v>
      </x:c>
      <x:c r="B1484" s="43" t="str">
        <x:v>101576</x:v>
      </x:c>
      <x:c r="C1484" s="43" t="n">
        <x:f>IF(K1484="Boarding school",30,0)+IF(J1484&gt;=18,20,0)+IF(I1484&lt;=11,10,0)+IF(L1484="Has a sixth form",15,0)+IF(M1484&gt;=200,10,0)+IF(N1484&lt;&gt;"",10,0)</x:f>
        <x:v>10</x:v>
      </x:c>
      <x:c r="D1484" s="43" t="str">
        <x:f>IF(C1484&gt;=85,"A",IF(C1484&gt;=65,"B","C"))</x:f>
        <x:v>C</x:v>
      </x:c>
      <x:c r="E1484" s="43" t="str">
        <x:v>Al-Sadiq School</x:v>
      </x:c>
      <x:c r="F1484" s="43" t="str">
        <x:v>London</x:v>
      </x:c>
      <x:c r="G1484" s="43" t="str"/>
      <x:c r="H1484" s="43" t="str">
        <x:v>NW6 6TP</x:v>
      </x:c>
      <x:c r="I1484" s="43" t="n">
        <x:v>3</x:v>
      </x:c>
      <x:c r="J1484" s="43" t="n">
        <x:v>16</x:v>
      </x:c>
      <x:c r="K1484" s="43" t="str">
        <x:v>No boarders</x:v>
      </x:c>
      <x:c r="L1484" s="43" t="str">
        <x:v>Does not have a sixth form</x:v>
      </x:c>
      <x:c r="M1484" s="43" t="n">
        <x:v>130</x:v>
      </x:c>
      <x:c r="N1484" s="43" t="str"/>
      <x:c r="O1484" s="43" t="str">
        <x:v>02073726760</x:v>
      </x:c>
      <x:c r="P1484" s="43" t="str"/>
      <x:c r="Q1484" s="43" t="str"/>
      <x:c r="R1484" s="43" t="str">
        <x:v>Queued for contact research</x:v>
      </x:c>
      <x:c r="S1484" s="43" t="str">
        <x:v>Not reviewed</x:v>
      </x:c>
      <x:c r="T1484" s="43" t="str">
        <x:v>Hold</x:v>
      </x:c>
      <x:c r="U1484" s="43" t="str">
        <x:v>No</x:v>
      </x:c>
      <x:c r="V1484" s="44"/>
      <x:c r="W1484" s="43" t="str"/>
      <x:c r="X1484" s="43" t="str"/>
      <x:c r="Y1484" s="43" t="str"/>
      <x:c r="Z1484" s="43" t="str">
        <x:v>https://www.get-information-schools.service.gov.uk/Downloads</x:v>
      </x:c>
    </x:row>
    <x:row r="1485">
      <x:c r="A1485" s="43" t="str">
        <x:v>UK independent</x:v>
      </x:c>
      <x:c r="B1485" s="43" t="str">
        <x:v>142572</x:v>
      </x:c>
      <x:c r="C1485" s="43" t="n">
        <x:f>IF(K1485="Boarding school",30,0)+IF(J1485&gt;=18,20,0)+IF(I1485&lt;=11,10,0)+IF(L1485="Has a sixth form",15,0)+IF(M1485&gt;=200,10,0)+IF(N1485&lt;&gt;"",10,0)</x:f>
        <x:v>10</x:v>
      </x:c>
      <x:c r="D1485" s="43" t="str">
        <x:f>IF(C1485&gt;=85,"A",IF(C1485&gt;=65,"B","C"))</x:f>
        <x:v>C</x:v>
      </x:c>
      <x:c r="E1485" s="43" t="str">
        <x:v>Talmud Torah London</x:v>
      </x:c>
      <x:c r="F1485" s="43" t="str">
        <x:v>London</x:v>
      </x:c>
      <x:c r="G1485" s="43" t="str"/>
      <x:c r="H1485" s="43" t="str">
        <x:v>N16 5AW</x:v>
      </x:c>
      <x:c r="I1485" s="43" t="n">
        <x:v>5</x:v>
      </x:c>
      <x:c r="J1485" s="43" t="n">
        <x:v>14</x:v>
      </x:c>
      <x:c r="K1485" s="43" t="str">
        <x:v>No boarders</x:v>
      </x:c>
      <x:c r="L1485" s="43" t="str">
        <x:v>Does not have a sixth form</x:v>
      </x:c>
      <x:c r="M1485" s="43" t="n">
        <x:v>120</x:v>
      </x:c>
      <x:c r="N1485" s="43" t="str"/>
      <x:c r="O1485" s="43" t="str">
        <x:v>02033227879</x:v>
      </x:c>
      <x:c r="P1485" s="43" t="str"/>
      <x:c r="Q1485" s="43" t="str"/>
      <x:c r="R1485" s="43" t="str">
        <x:v>Queued for contact research</x:v>
      </x:c>
      <x:c r="S1485" s="43" t="str">
        <x:v>Not reviewed</x:v>
      </x:c>
      <x:c r="T1485" s="43" t="str">
        <x:v>Hold</x:v>
      </x:c>
      <x:c r="U1485" s="43" t="str">
        <x:v>No</x:v>
      </x:c>
      <x:c r="V1485" s="44"/>
      <x:c r="W1485" s="43" t="str"/>
      <x:c r="X1485" s="43" t="str"/>
      <x:c r="Y1485" s="43" t="str"/>
      <x:c r="Z1485" s="43" t="str">
        <x:v>https://www.get-information-schools.service.gov.uk/Downloads</x:v>
      </x:c>
    </x:row>
    <x:row r="1486">
      <x:c r="A1486" s="43" t="str">
        <x:v>UK independent</x:v>
      </x:c>
      <x:c r="B1486" s="43" t="str">
        <x:v>101090</x:v>
      </x:c>
      <x:c r="C1486" s="43" t="n">
        <x:f>IF(K1486="Boarding school",30,0)+IF(J1486&gt;=18,20,0)+IF(I1486&lt;=11,10,0)+IF(L1486="Has a sixth form",15,0)+IF(M1486&gt;=200,10,0)+IF(N1486&lt;&gt;"",10,0)</x:f>
        <x:v>10</x:v>
      </x:c>
      <x:c r="D1486" s="43" t="str">
        <x:f>IF(C1486&gt;=85,"A",IF(C1486&gt;=65,"B","C"))</x:f>
        <x:v>C</x:v>
      </x:c>
      <x:c r="E1486" s="43" t="str">
        <x:v>Al Risalah Secondary School</x:v>
      </x:c>
      <x:c r="F1486" s="43" t="str">
        <x:v>London</x:v>
      </x:c>
      <x:c r="G1486" s="43" t="str"/>
      <x:c r="H1486" s="43" t="str">
        <x:v>SW17 7TJ</x:v>
      </x:c>
      <x:c r="I1486" s="43" t="n">
        <x:v>11</x:v>
      </x:c>
      <x:c r="J1486" s="43" t="n">
        <x:v>16</x:v>
      </x:c>
      <x:c r="K1486" s="43" t="str">
        <x:v>No boarders</x:v>
      </x:c>
      <x:c r="L1486" s="43" t="str">
        <x:v>Does not have a sixth form</x:v>
      </x:c>
      <x:c r="M1486" s="43" t="n">
        <x:v>113</x:v>
      </x:c>
      <x:c r="N1486" s="43" t="str"/>
      <x:c r="O1486" s="43" t="str">
        <x:v>02087676057</x:v>
      </x:c>
      <x:c r="P1486" s="43" t="str"/>
      <x:c r="Q1486" s="43" t="str"/>
      <x:c r="R1486" s="43" t="str">
        <x:v>Queued for contact research</x:v>
      </x:c>
      <x:c r="S1486" s="43" t="str">
        <x:v>Not reviewed</x:v>
      </x:c>
      <x:c r="T1486" s="43" t="str">
        <x:v>Hold</x:v>
      </x:c>
      <x:c r="U1486" s="43" t="str">
        <x:v>No</x:v>
      </x:c>
      <x:c r="V1486" s="44"/>
      <x:c r="W1486" s="43" t="str"/>
      <x:c r="X1486" s="43" t="str"/>
      <x:c r="Y1486" s="43" t="str"/>
      <x:c r="Z1486" s="43" t="str">
        <x:v>https://www.get-information-schools.service.gov.uk/Downloads</x:v>
      </x:c>
    </x:row>
    <x:row r="1487">
      <x:c r="A1487" s="43" t="str">
        <x:v>UK independent</x:v>
      </x:c>
      <x:c r="B1487" s="43" t="str">
        <x:v>134289</x:v>
      </x:c>
      <x:c r="C1487" s="43" t="n">
        <x:f>IF(K1487="Boarding school",30,0)+IF(J1487&gt;=18,20,0)+IF(I1487&lt;=11,10,0)+IF(L1487="Has a sixth form",15,0)+IF(M1487&gt;=200,10,0)+IF(N1487&lt;&gt;"",10,0)</x:f>
        <x:v>10</x:v>
      </x:c>
      <x:c r="D1487" s="43" t="str">
        <x:f>IF(C1487&gt;=85,"A",IF(C1487&gt;=65,"B","C"))</x:f>
        <x:v>C</x:v>
      </x:c>
      <x:c r="E1487" s="43" t="str">
        <x:v>Mehria Primary School</x:v>
      </x:c>
      <x:c r="F1487" s="43" t="str"/>
      <x:c r="G1487" s="43" t="str"/>
      <x:c r="H1487" s="43" t="str">
        <x:v>LU4 8JD</x:v>
      </x:c>
      <x:c r="I1487" s="43" t="n">
        <x:v>5</x:v>
      </x:c>
      <x:c r="J1487" s="43" t="n">
        <x:v>11</x:v>
      </x:c>
      <x:c r="K1487" s="43" t="str">
        <x:v>No boarders</x:v>
      </x:c>
      <x:c r="L1487" s="43" t="str">
        <x:v>Does not have a sixth form</x:v>
      </x:c>
      <x:c r="M1487" s="43" t="n">
        <x:v>110</x:v>
      </x:c>
      <x:c r="N1487" s="43" t="str"/>
      <x:c r="O1487" s="43" t="str">
        <x:v>07930672266</x:v>
      </x:c>
      <x:c r="P1487" s="43" t="str"/>
      <x:c r="Q1487" s="43" t="str"/>
      <x:c r="R1487" s="43" t="str">
        <x:v>Queued for contact research</x:v>
      </x:c>
      <x:c r="S1487" s="43" t="str">
        <x:v>Not reviewed</x:v>
      </x:c>
      <x:c r="T1487" s="43" t="str">
        <x:v>Hold</x:v>
      </x:c>
      <x:c r="U1487" s="43" t="str">
        <x:v>No</x:v>
      </x:c>
      <x:c r="V1487" s="44"/>
      <x:c r="W1487" s="43" t="str"/>
      <x:c r="X1487" s="43" t="str"/>
      <x:c r="Y1487" s="43" t="str"/>
      <x:c r="Z1487" s="43" t="str">
        <x:v>https://www.get-information-schools.service.gov.uk/Downloads</x:v>
      </x:c>
    </x:row>
    <x:row r="1488">
      <x:c r="A1488" s="43" t="str">
        <x:v>UK independent</x:v>
      </x:c>
      <x:c r="B1488" s="43" t="str">
        <x:v>126620</x:v>
      </x:c>
      <x:c r="C1488" s="43" t="n">
        <x:f>IF(K1488="Boarding school",30,0)+IF(J1488&gt;=18,20,0)+IF(I1488&lt;=11,10,0)+IF(L1488="Has a sixth form",15,0)+IF(M1488&gt;=200,10,0)+IF(N1488&lt;&gt;"",10,0)</x:f>
        <x:v>10</x:v>
      </x:c>
      <x:c r="D1488" s="43" t="str">
        <x:f>IF(C1488&gt;=85,"A",IF(C1488&gt;=65,"B","C"))</x:f>
        <x:v>C</x:v>
      </x:c>
      <x:c r="E1488" s="43" t="str">
        <x:v>Apex Primary School</x:v>
      </x:c>
      <x:c r="F1488" s="43" t="str">
        <x:v>Ilford</x:v>
      </x:c>
      <x:c r="G1488" s="43" t="str">
        <x:v>Essex</x:v>
      </x:c>
      <x:c r="H1488" s="43" t="str">
        <x:v>IG1 3BG</x:v>
      </x:c>
      <x:c r="I1488" s="43" t="n">
        <x:v>3</x:v>
      </x:c>
      <x:c r="J1488" s="43" t="n">
        <x:v>11</x:v>
      </x:c>
      <x:c r="K1488" s="43" t="str">
        <x:v>No boarders</x:v>
      </x:c>
      <x:c r="L1488" s="43" t="str">
        <x:v>Does not have a sixth form</x:v>
      </x:c>
      <x:c r="M1488" s="43" t="n">
        <x:v>109</x:v>
      </x:c>
      <x:c r="N1488" s="43" t="str"/>
      <x:c r="O1488" s="43" t="str">
        <x:v>02085541208</x:v>
      </x:c>
      <x:c r="P1488" s="43" t="str"/>
      <x:c r="Q1488" s="43" t="str"/>
      <x:c r="R1488" s="43" t="str">
        <x:v>Queued for contact research</x:v>
      </x:c>
      <x:c r="S1488" s="43" t="str">
        <x:v>Not reviewed</x:v>
      </x:c>
      <x:c r="T1488" s="43" t="str">
        <x:v>Hold</x:v>
      </x:c>
      <x:c r="U1488" s="43" t="str">
        <x:v>No</x:v>
      </x:c>
      <x:c r="V1488" s="44"/>
      <x:c r="W1488" s="43" t="str"/>
      <x:c r="X1488" s="43" t="str"/>
      <x:c r="Y1488" s="43" t="str"/>
      <x:c r="Z1488" s="43" t="str">
        <x:v>https://www.get-information-schools.service.gov.uk/Downloads</x:v>
      </x:c>
    </x:row>
    <x:row r="1489">
      <x:c r="A1489" s="43" t="str">
        <x:v>UK independent</x:v>
      </x:c>
      <x:c r="B1489" s="43" t="str">
        <x:v>140492</x:v>
      </x:c>
      <x:c r="C1489" s="43" t="n">
        <x:f>IF(K1489="Boarding school",30,0)+IF(J1489&gt;=18,20,0)+IF(I1489&lt;=11,10,0)+IF(L1489="Has a sixth form",15,0)+IF(M1489&gt;=200,10,0)+IF(N1489&lt;&gt;"",10,0)</x:f>
        <x:v>10</x:v>
      </x:c>
      <x:c r="D1489" s="43" t="str">
        <x:f>IF(C1489&gt;=85,"A",IF(C1489&gt;=65,"B","C"))</x:f>
        <x:v>C</x:v>
      </x:c>
      <x:c r="E1489" s="43" t="str">
        <x:v>Beis Medrash Elyon</x:v>
      </x:c>
      <x:c r="F1489" s="43" t="str">
        <x:v>London</x:v>
      </x:c>
      <x:c r="G1489" s="43" t="str"/>
      <x:c r="H1489" s="43" t="str">
        <x:v>NW9 7DH</x:v>
      </x:c>
      <x:c r="I1489" s="43" t="n">
        <x:v>11</x:v>
      </x:c>
      <x:c r="J1489" s="43" t="n">
        <x:v>16</x:v>
      </x:c>
      <x:c r="K1489" s="43" t="str">
        <x:v>No boarders</x:v>
      </x:c>
      <x:c r="L1489" s="43" t="str">
        <x:v>Does not have a sixth form</x:v>
      </x:c>
      <x:c r="M1489" s="43" t="n">
        <x:v>109</x:v>
      </x:c>
      <x:c r="N1489" s="43" t="str"/>
      <x:c r="O1489" s="43" t="str">
        <x:v>02082038240</x:v>
      </x:c>
      <x:c r="P1489" s="43" t="str"/>
      <x:c r="Q1489" s="43" t="str"/>
      <x:c r="R1489" s="43" t="str">
        <x:v>Queued for contact research</x:v>
      </x:c>
      <x:c r="S1489" s="43" t="str">
        <x:v>Not reviewed</x:v>
      </x:c>
      <x:c r="T1489" s="43" t="str">
        <x:v>Hold</x:v>
      </x:c>
      <x:c r="U1489" s="43" t="str">
        <x:v>No</x:v>
      </x:c>
      <x:c r="V1489" s="44"/>
      <x:c r="W1489" s="43" t="str"/>
      <x:c r="X1489" s="43" t="str"/>
      <x:c r="Y1489" s="43" t="str"/>
      <x:c r="Z1489" s="43" t="str">
        <x:v>https://www.get-information-schools.service.gov.uk/Downloads</x:v>
      </x:c>
    </x:row>
    <x:row r="1490">
      <x:c r="A1490" s="43" t="str">
        <x:v>UK independent</x:v>
      </x:c>
      <x:c r="B1490" s="43" t="str">
        <x:v>101575</x:v>
      </x:c>
      <x:c r="C1490" s="43" t="n">
        <x:f>IF(K1490="Boarding school",30,0)+IF(J1490&gt;=18,20,0)+IF(I1490&lt;=11,10,0)+IF(L1490="Has a sixth form",15,0)+IF(M1490&gt;=200,10,0)+IF(N1490&lt;&gt;"",10,0)</x:f>
        <x:v>10</x:v>
      </x:c>
      <x:c r="D1490" s="43" t="str">
        <x:f>IF(C1490&gt;=85,"A",IF(C1490&gt;=65,"B","C"))</x:f>
        <x:v>C</x:v>
      </x:c>
      <x:c r="E1490" s="43" t="str">
        <x:v>Islamia School for Girls'</x:v>
      </x:c>
      <x:c r="F1490" s="43" t="str">
        <x:v>London</x:v>
      </x:c>
      <x:c r="G1490" s="43" t="str"/>
      <x:c r="H1490" s="43" t="str">
        <x:v>NW6 6PE</x:v>
      </x:c>
      <x:c r="I1490" s="43" t="n">
        <x:v>11</x:v>
      </x:c>
      <x:c r="J1490" s="43" t="n">
        <x:v>16</x:v>
      </x:c>
      <x:c r="K1490" s="43" t="str">
        <x:v>No boarders</x:v>
      </x:c>
      <x:c r="L1490" s="43" t="str">
        <x:v>Does not have a sixth form</x:v>
      </x:c>
      <x:c r="M1490" s="43" t="n">
        <x:v>108</x:v>
      </x:c>
      <x:c r="N1490" s="43" t="str"/>
      <x:c r="O1490" s="43" t="str">
        <x:v>02073723472</x:v>
      </x:c>
      <x:c r="P1490" s="43" t="str"/>
      <x:c r="Q1490" s="43" t="str"/>
      <x:c r="R1490" s="43" t="str">
        <x:v>Queued for contact research</x:v>
      </x:c>
      <x:c r="S1490" s="43" t="str">
        <x:v>Not reviewed</x:v>
      </x:c>
      <x:c r="T1490" s="43" t="str">
        <x:v>Hold</x:v>
      </x:c>
      <x:c r="U1490" s="43" t="str">
        <x:v>No</x:v>
      </x:c>
      <x:c r="V1490" s="44"/>
      <x:c r="W1490" s="43" t="str"/>
      <x:c r="X1490" s="43" t="str"/>
      <x:c r="Y1490" s="43" t="str"/>
      <x:c r="Z1490" s="43" t="str">
        <x:v>https://www.get-information-schools.service.gov.uk/Downloads</x:v>
      </x:c>
    </x:row>
    <x:row r="1491">
      <x:c r="A1491" s="43" t="str">
        <x:v>UK independent</x:v>
      </x:c>
      <x:c r="B1491" s="43" t="str">
        <x:v>135390</x:v>
      </x:c>
      <x:c r="C1491" s="43" t="n">
        <x:f>IF(K1491="Boarding school",30,0)+IF(J1491&gt;=18,20,0)+IF(I1491&lt;=11,10,0)+IF(L1491="Has a sixth form",15,0)+IF(M1491&gt;=200,10,0)+IF(N1491&lt;&gt;"",10,0)</x:f>
        <x:v>10</x:v>
      </x:c>
      <x:c r="D1491" s="43" t="str">
        <x:f>IF(C1491&gt;=85,"A",IF(C1491&gt;=65,"B","C"))</x:f>
        <x:v>C</x:v>
      </x:c>
      <x:c r="E1491" s="43" t="str">
        <x:v>Al-Islamia Institute for Education</x:v>
      </x:c>
      <x:c r="F1491" s="43" t="str">
        <x:v>Leicester</x:v>
      </x:c>
      <x:c r="G1491" s="43" t="str">
        <x:v>Leicestershire</x:v>
      </x:c>
      <x:c r="H1491" s="43" t="str">
        <x:v>LE2 0SA</x:v>
      </x:c>
      <x:c r="I1491" s="43" t="n">
        <x:v>2</x:v>
      </x:c>
      <x:c r="J1491" s="43" t="n">
        <x:v>11</x:v>
      </x:c>
      <x:c r="K1491" s="43" t="str">
        <x:v>No boarders</x:v>
      </x:c>
      <x:c r="L1491" s="43" t="str">
        <x:v>Does not have a sixth form</x:v>
      </x:c>
      <x:c r="M1491" s="43" t="n">
        <x:v>103</x:v>
      </x:c>
      <x:c r="N1491" s="43" t="str"/>
      <x:c r="O1491" s="43" t="str">
        <x:v>01162515101</x:v>
      </x:c>
      <x:c r="P1491" s="43" t="str"/>
      <x:c r="Q1491" s="43" t="str"/>
      <x:c r="R1491" s="43" t="str">
        <x:v>Queued for contact research</x:v>
      </x:c>
      <x:c r="S1491" s="43" t="str">
        <x:v>Not reviewed</x:v>
      </x:c>
      <x:c r="T1491" s="43" t="str">
        <x:v>Hold</x:v>
      </x:c>
      <x:c r="U1491" s="43" t="str">
        <x:v>No</x:v>
      </x:c>
      <x:c r="V1491" s="44"/>
      <x:c r="W1491" s="43" t="str"/>
      <x:c r="X1491" s="43" t="str"/>
      <x:c r="Y1491" s="43" t="str"/>
      <x:c r="Z1491" s="43" t="str">
        <x:v>https://www.get-information-schools.service.gov.uk/Downloads</x:v>
      </x:c>
    </x:row>
    <x:row r="1492">
      <x:c r="A1492" s="43" t="str">
        <x:v>UK independent</x:v>
      </x:c>
      <x:c r="B1492" s="43" t="str">
        <x:v>149301</x:v>
      </x:c>
      <x:c r="C1492" s="43" t="n">
        <x:f>IF(K1492="Boarding school",30,0)+IF(J1492&gt;=18,20,0)+IF(I1492&lt;=11,10,0)+IF(L1492="Has a sixth form",15,0)+IF(M1492&gt;=200,10,0)+IF(N1492&lt;&gt;"",10,0)</x:f>
        <x:v>10</x:v>
      </x:c>
      <x:c r="D1492" s="43" t="str">
        <x:f>IF(C1492&gt;=85,"A",IF(C1492&gt;=65,"B","C"))</x:f>
        <x:v>C</x:v>
      </x:c>
      <x:c r="E1492" s="43" t="str">
        <x:v>Beis Chinuch Lebonos Westcliff</x:v>
      </x:c>
      <x:c r="F1492" s="43" t="str">
        <x:v>Southend-on-Sea</x:v>
      </x:c>
      <x:c r="G1492" s="43" t="str">
        <x:v>Essex</x:v>
      </x:c>
      <x:c r="H1492" s="43" t="str">
        <x:v>SS0 7AH</x:v>
      </x:c>
      <x:c r="I1492" s="43" t="n">
        <x:v>3</x:v>
      </x:c>
      <x:c r="J1492" s="43" t="n">
        <x:v>11</x:v>
      </x:c>
      <x:c r="K1492" s="43" t="str">
        <x:v>No boarders</x:v>
      </x:c>
      <x:c r="L1492" s="43" t="str">
        <x:v>Does not have a sixth form</x:v>
      </x:c>
      <x:c r="M1492" s="43" t="n">
        <x:v>103</x:v>
      </x:c>
      <x:c r="N1492" s="43" t="str"/>
      <x:c r="O1492" s="43" t="str">
        <x:v>01702680881</x:v>
      </x:c>
      <x:c r="P1492" s="43" t="str"/>
      <x:c r="Q1492" s="43" t="str"/>
      <x:c r="R1492" s="43" t="str">
        <x:v>Queued for contact research</x:v>
      </x:c>
      <x:c r="S1492" s="43" t="str">
        <x:v>Not reviewed</x:v>
      </x:c>
      <x:c r="T1492" s="43" t="str">
        <x:v>Hold</x:v>
      </x:c>
      <x:c r="U1492" s="43" t="str">
        <x:v>No</x:v>
      </x:c>
      <x:c r="V1492" s="44"/>
      <x:c r="W1492" s="43" t="str"/>
      <x:c r="X1492" s="43" t="str"/>
      <x:c r="Y1492" s="43" t="str"/>
      <x:c r="Z1492" s="43" t="str">
        <x:v>https://www.get-information-schools.service.gov.uk/Downloads</x:v>
      </x:c>
    </x:row>
    <x:row r="1493">
      <x:c r="A1493" s="43" t="str">
        <x:v>UK independent</x:v>
      </x:c>
      <x:c r="B1493" s="43" t="str">
        <x:v>108416</x:v>
      </x:c>
      <x:c r="C1493" s="43" t="n">
        <x:f>IF(K1493="Boarding school",30,0)+IF(J1493&gt;=18,20,0)+IF(I1493&lt;=11,10,0)+IF(L1493="Has a sixth form",15,0)+IF(M1493&gt;=200,10,0)+IF(N1493&lt;&gt;"",10,0)</x:f>
        <x:v>10</x:v>
      </x:c>
      <x:c r="D1493" s="43" t="str">
        <x:f>IF(C1493&gt;=85,"A",IF(C1493&gt;=65,"B","C"))</x:f>
        <x:v>C</x:v>
      </x:c>
      <x:c r="E1493" s="43" t="str">
        <x:v>Keser Torah Boys' School</x:v>
      </x:c>
      <x:c r="F1493" s="43" t="str">
        <x:v>Gateshead</x:v>
      </x:c>
      <x:c r="G1493" s="43" t="str">
        <x:v>Tyne and Wear</x:v>
      </x:c>
      <x:c r="H1493" s="43" t="str">
        <x:v>NE8 4EA</x:v>
      </x:c>
      <x:c r="I1493" s="43" t="n">
        <x:v>5</x:v>
      </x:c>
      <x:c r="J1493" s="43" t="n">
        <x:v>11</x:v>
      </x:c>
      <x:c r="K1493" s="43" t="str">
        <x:v>No boarders</x:v>
      </x:c>
      <x:c r="L1493" s="43" t="str">
        <x:v>Does not have a sixth form</x:v>
      </x:c>
      <x:c r="M1493" s="43" t="n">
        <x:v>103</x:v>
      </x:c>
      <x:c r="N1493" s="43" t="str"/>
      <x:c r="O1493" s="43" t="str">
        <x:v>01914772154</x:v>
      </x:c>
      <x:c r="P1493" s="43" t="str"/>
      <x:c r="Q1493" s="43" t="str"/>
      <x:c r="R1493" s="43" t="str">
        <x:v>Queued for contact research</x:v>
      </x:c>
      <x:c r="S1493" s="43" t="str">
        <x:v>Not reviewed</x:v>
      </x:c>
      <x:c r="T1493" s="43" t="str">
        <x:v>Hold</x:v>
      </x:c>
      <x:c r="U1493" s="43" t="str">
        <x:v>No</x:v>
      </x:c>
      <x:c r="V1493" s="44"/>
      <x:c r="W1493" s="43" t="str"/>
      <x:c r="X1493" s="43" t="str"/>
      <x:c r="Y1493" s="43" t="str"/>
      <x:c r="Z1493" s="43" t="str">
        <x:v>https://www.get-information-schools.service.gov.uk/Downloads</x:v>
      </x:c>
    </x:row>
    <x:row r="1494">
      <x:c r="A1494" s="43" t="str">
        <x:v>UK independent</x:v>
      </x:c>
      <x:c r="B1494" s="43" t="str">
        <x:v>136817</x:v>
      </x:c>
      <x:c r="C1494" s="43" t="n">
        <x:f>IF(K1494="Boarding school",30,0)+IF(J1494&gt;=18,20,0)+IF(I1494&lt;=11,10,0)+IF(L1494="Has a sixth form",15,0)+IF(M1494&gt;=200,10,0)+IF(N1494&lt;&gt;"",10,0)</x:f>
        <x:v>10</x:v>
      </x:c>
      <x:c r="D1494" s="43" t="str">
        <x:f>IF(C1494&gt;=85,"A",IF(C1494&gt;=65,"B","C"))</x:f>
        <x:v>C</x:v>
      </x:c>
      <x:c r="E1494" s="43" t="str">
        <x:v>Beis Yaakov Girls School</x:v>
      </x:c>
      <x:c r="F1494" s="43" t="str">
        <x:v>London</x:v>
      </x:c>
      <x:c r="G1494" s="43" t="str"/>
      <x:c r="H1494" s="43" t="str">
        <x:v>N16 5DH</x:v>
      </x:c>
      <x:c r="I1494" s="43" t="n">
        <x:v>3</x:v>
      </x:c>
      <x:c r="J1494" s="43" t="n">
        <x:v>11</x:v>
      </x:c>
      <x:c r="K1494" s="43" t="str">
        <x:v>No boarders</x:v>
      </x:c>
      <x:c r="L1494" s="43" t="str">
        <x:v>Does not have a sixth form</x:v>
      </x:c>
      <x:c r="M1494" s="43" t="n">
        <x:v>100</x:v>
      </x:c>
      <x:c r="N1494" s="43" t="str"/>
      <x:c r="O1494" s="43" t="str">
        <x:v>02075022840</x:v>
      </x:c>
      <x:c r="P1494" s="43" t="str"/>
      <x:c r="Q1494" s="43" t="str"/>
      <x:c r="R1494" s="43" t="str">
        <x:v>Queued for contact research</x:v>
      </x:c>
      <x:c r="S1494" s="43" t="str">
        <x:v>Not reviewed</x:v>
      </x:c>
      <x:c r="T1494" s="43" t="str">
        <x:v>Hold</x:v>
      </x:c>
      <x:c r="U1494" s="43" t="str">
        <x:v>No</x:v>
      </x:c>
      <x:c r="V1494" s="44"/>
      <x:c r="W1494" s="43" t="str"/>
      <x:c r="X1494" s="43" t="str"/>
      <x:c r="Y1494" s="43" t="str"/>
      <x:c r="Z1494" s="43" t="str">
        <x:v>https://www.get-information-schools.service.gov.uk/Downloads</x:v>
      </x:c>
    </x:row>
    <x:row r="1495">
      <x:c r="A1495" s="43" t="str">
        <x:v>UK independent</x:v>
      </x:c>
      <x:c r="B1495" s="43" t="str">
        <x:v>135561</x:v>
      </x:c>
      <x:c r="C1495" s="43" t="n">
        <x:f>IF(K1495="Boarding school",30,0)+IF(J1495&gt;=18,20,0)+IF(I1495&lt;=11,10,0)+IF(L1495="Has a sixth form",15,0)+IF(M1495&gt;=200,10,0)+IF(N1495&lt;&gt;"",10,0)</x:f>
        <x:v>10</x:v>
      </x:c>
      <x:c r="D1495" s="43" t="str">
        <x:f>IF(C1495&gt;=85,"A",IF(C1495&gt;=65,"B","C"))</x:f>
        <x:v>C</x:v>
      </x:c>
      <x:c r="E1495" s="43" t="str">
        <x:v>Flexible Learning School</x:v>
      </x:c>
      <x:c r="F1495" s="43" t="str">
        <x:v>Birmingham</x:v>
      </x:c>
      <x:c r="G1495" s="43" t="str"/>
      <x:c r="H1495" s="43" t="str">
        <x:v>B18 5QB</x:v>
      </x:c>
      <x:c r="I1495" s="43" t="n">
        <x:v>13</x:v>
      </x:c>
      <x:c r="J1495" s="43" t="n">
        <x:v>16</x:v>
      </x:c>
      <x:c r="K1495" s="43" t="str">
        <x:v>No boarders</x:v>
      </x:c>
      <x:c r="L1495" s="43" t="str">
        <x:v>Does not have a sixth form</x:v>
      </x:c>
      <x:c r="M1495" s="43" t="n">
        <x:v>99</x:v>
      </x:c>
      <x:c r="N1495" s="43" t="str">
        <x:v>https://www.flexiblelearning.org.uk</x:v>
      </x:c>
      <x:c r="O1495" s="43" t="str">
        <x:v>01215547918</x:v>
      </x:c>
      <x:c r="P1495" s="43" t="str"/>
      <x:c r="Q1495" s="43" t="str"/>
      <x:c r="R1495" s="43" t="str">
        <x:v>Queued for contact research</x:v>
      </x:c>
      <x:c r="S1495" s="43" t="str">
        <x:v>Not reviewed</x:v>
      </x:c>
      <x:c r="T1495" s="43" t="str">
        <x:v>Hold</x:v>
      </x:c>
      <x:c r="U1495" s="43" t="str">
        <x:v>No</x:v>
      </x:c>
      <x:c r="V1495" s="44"/>
      <x:c r="W1495" s="43" t="str"/>
      <x:c r="X1495" s="43" t="str"/>
      <x:c r="Y1495" s="43" t="str"/>
      <x:c r="Z1495" s="43" t="str">
        <x:v>https://www.get-information-schools.service.gov.uk/Downloads</x:v>
      </x:c>
    </x:row>
    <x:row r="1496">
      <x:c r="A1496" s="43" t="str">
        <x:v>UK independent</x:v>
      </x:c>
      <x:c r="B1496" s="43" t="str">
        <x:v>148652</x:v>
      </x:c>
      <x:c r="C1496" s="43" t="n">
        <x:f>IF(K1496="Boarding school",30,0)+IF(J1496&gt;=18,20,0)+IF(I1496&lt;=11,10,0)+IF(L1496="Has a sixth form",15,0)+IF(M1496&gt;=200,10,0)+IF(N1496&lt;&gt;"",10,0)</x:f>
        <x:v>10</x:v>
      </x:c>
      <x:c r="D1496" s="43" t="str">
        <x:f>IF(C1496&gt;=85,"A",IF(C1496&gt;=65,"B","C"))</x:f>
        <x:v>C</x:v>
      </x:c>
      <x:c r="E1496" s="43" t="str">
        <x:v>Ateres Beis Yaakov</x:v>
      </x:c>
      <x:c r="F1496" s="43" t="str"/>
      <x:c r="G1496" s="43" t="str"/>
      <x:c r="H1496" s="43" t="str">
        <x:v>NW4 2NL</x:v>
      </x:c>
      <x:c r="I1496" s="43" t="n">
        <x:v>5</x:v>
      </x:c>
      <x:c r="J1496" s="43" t="n">
        <x:v>11</x:v>
      </x:c>
      <x:c r="K1496" s="43" t="str">
        <x:v>No boarders</x:v>
      </x:c>
      <x:c r="L1496" s="43" t="str">
        <x:v>Does not have a sixth form</x:v>
      </x:c>
      <x:c r="M1496" s="43" t="n">
        <x:v>98</x:v>
      </x:c>
      <x:c r="N1496" s="43" t="str"/>
      <x:c r="O1496" s="43" t="str">
        <x:v>02080596528</x:v>
      </x:c>
      <x:c r="P1496" s="43" t="str"/>
      <x:c r="Q1496" s="43" t="str"/>
      <x:c r="R1496" s="43" t="str">
        <x:v>Queued for contact research</x:v>
      </x:c>
      <x:c r="S1496" s="43" t="str">
        <x:v>Not reviewed</x:v>
      </x:c>
      <x:c r="T1496" s="43" t="str">
        <x:v>Hold</x:v>
      </x:c>
      <x:c r="U1496" s="43" t="str">
        <x:v>No</x:v>
      </x:c>
      <x:c r="V1496" s="44"/>
      <x:c r="W1496" s="43" t="str"/>
      <x:c r="X1496" s="43" t="str"/>
      <x:c r="Y1496" s="43" t="str"/>
      <x:c r="Z1496" s="43" t="str">
        <x:v>https://www.get-information-schools.service.gov.uk/Downloads</x:v>
      </x:c>
    </x:row>
    <x:row r="1497">
      <x:c r="A1497" s="43" t="str">
        <x:v>UK independent</x:v>
      </x:c>
      <x:c r="B1497" s="43" t="str">
        <x:v>136231</x:v>
      </x:c>
      <x:c r="C1497" s="43" t="n">
        <x:f>IF(K1497="Boarding school",30,0)+IF(J1497&gt;=18,20,0)+IF(I1497&lt;=11,10,0)+IF(L1497="Has a sixth form",15,0)+IF(M1497&gt;=200,10,0)+IF(N1497&lt;&gt;"",10,0)</x:f>
        <x:v>10</x:v>
      </x:c>
      <x:c r="D1497" s="43" t="str">
        <x:f>IF(C1497&gt;=85,"A",IF(C1497&gt;=65,"B","C"))</x:f>
        <x:v>C</x:v>
      </x:c>
      <x:c r="E1497" s="43" t="str">
        <x:v>Bnos Beis Yaakov Primary School</x:v>
      </x:c>
      <x:c r="F1497" s="43" t="str">
        <x:v>London</x:v>
      </x:c>
      <x:c r="G1497" s="43" t="str"/>
      <x:c r="H1497" s="43" t="str">
        <x:v>NW9 8XR</x:v>
      </x:c>
      <x:c r="I1497" s="43" t="n">
        <x:v>3</x:v>
      </x:c>
      <x:c r="J1497" s="43" t="n">
        <x:v>11</x:v>
      </x:c>
      <x:c r="K1497" s="43" t="str">
        <x:v>No boarders</x:v>
      </x:c>
      <x:c r="L1497" s="43" t="str">
        <x:v>Does not have a sixth form</x:v>
      </x:c>
      <x:c r="M1497" s="43" t="n">
        <x:v>97</x:v>
      </x:c>
      <x:c r="N1497" s="43" t="str"/>
      <x:c r="O1497" s="43" t="str">
        <x:v>02082044078</x:v>
      </x:c>
      <x:c r="P1497" s="43" t="str"/>
      <x:c r="Q1497" s="43" t="str"/>
      <x:c r="R1497" s="43" t="str">
        <x:v>Queued for contact research</x:v>
      </x:c>
      <x:c r="S1497" s="43" t="str">
        <x:v>Not reviewed</x:v>
      </x:c>
      <x:c r="T1497" s="43" t="str">
        <x:v>Hold</x:v>
      </x:c>
      <x:c r="U1497" s="43" t="str">
        <x:v>No</x:v>
      </x:c>
      <x:c r="V1497" s="44"/>
      <x:c r="W1497" s="43" t="str"/>
      <x:c r="X1497" s="43" t="str"/>
      <x:c r="Y1497" s="43" t="str"/>
      <x:c r="Z1497" s="43" t="str">
        <x:v>https://www.get-information-schools.service.gov.uk/Downloads</x:v>
      </x:c>
    </x:row>
    <x:row r="1498">
      <x:c r="A1498" s="43" t="str">
        <x:v>UK independent</x:v>
      </x:c>
      <x:c r="B1498" s="43" t="str">
        <x:v>115400</x:v>
      </x:c>
      <x:c r="C1498" s="43" t="n">
        <x:f>IF(K1498="Boarding school",30,0)+IF(J1498&gt;=18,20,0)+IF(I1498&lt;=11,10,0)+IF(L1498="Has a sixth form",15,0)+IF(M1498&gt;=200,10,0)+IF(N1498&lt;&gt;"",10,0)</x:f>
        <x:v>10</x:v>
      </x:c>
      <x:c r="D1498" s="43" t="str">
        <x:f>IF(C1498&gt;=85,"A",IF(C1498&gt;=65,"B","C"))</x:f>
        <x:v>C</x:v>
      </x:c>
      <x:c r="E1498" s="43" t="str">
        <x:v>Daiglen School</x:v>
      </x:c>
      <x:c r="F1498" s="43" t="str"/>
      <x:c r="G1498" s="43" t="str"/>
      <x:c r="H1498" s="43" t="str">
        <x:v>IG9 5LG</x:v>
      </x:c>
      <x:c r="I1498" s="43" t="n">
        <x:v>3</x:v>
      </x:c>
      <x:c r="J1498" s="43" t="n">
        <x:v>11</x:v>
      </x:c>
      <x:c r="K1498" s="43" t="str">
        <x:v>No boarders</x:v>
      </x:c>
      <x:c r="L1498" s="43" t="str">
        <x:v>Does not have a sixth form</x:v>
      </x:c>
      <x:c r="M1498" s="43" t="n">
        <x:v>95</x:v>
      </x:c>
      <x:c r="N1498" s="43" t="str"/>
      <x:c r="O1498" s="43" t="str">
        <x:v>02085047108</x:v>
      </x:c>
      <x:c r="P1498" s="43" t="str"/>
      <x:c r="Q1498" s="43" t="str"/>
      <x:c r="R1498" s="43" t="str">
        <x:v>Queued for contact research</x:v>
      </x:c>
      <x:c r="S1498" s="43" t="str">
        <x:v>Not reviewed</x:v>
      </x:c>
      <x:c r="T1498" s="43" t="str">
        <x:v>Hold</x:v>
      </x:c>
      <x:c r="U1498" s="43" t="str">
        <x:v>No</x:v>
      </x:c>
      <x:c r="V1498" s="44"/>
      <x:c r="W1498" s="43" t="str"/>
      <x:c r="X1498" s="43" t="str"/>
      <x:c r="Y1498" s="43" t="str"/>
      <x:c r="Z1498" s="43" t="str">
        <x:v>https://www.get-information-schools.service.gov.uk/Downloads</x:v>
      </x:c>
    </x:row>
    <x:row r="1499">
      <x:c r="A1499" s="43" t="str">
        <x:v>UK independent</x:v>
      </x:c>
      <x:c r="B1499" s="43" t="str">
        <x:v>110928</x:v>
      </x:c>
      <x:c r="C1499" s="43" t="n">
        <x:f>IF(K1499="Boarding school",30,0)+IF(J1499&gt;=18,20,0)+IF(I1499&lt;=11,10,0)+IF(L1499="Has a sixth form",15,0)+IF(M1499&gt;=200,10,0)+IF(N1499&lt;&gt;"",10,0)</x:f>
        <x:v>10</x:v>
      </x:c>
      <x:c r="D1499" s="43" t="str">
        <x:f>IF(C1499&gt;=85,"A",IF(C1499&gt;=65,"B","C"))</x:f>
        <x:v>C</x:v>
      </x:c>
      <x:c r="E1499" s="43" t="str">
        <x:v>Whitehall School</x:v>
      </x:c>
      <x:c r="F1499" s="43" t="str">
        <x:v>Huntingdon</x:v>
      </x:c>
      <x:c r="G1499" s="43" t="str">
        <x:v>Cambridgeshire</x:v>
      </x:c>
      <x:c r="H1499" s="43" t="str">
        <x:v>PE28 3EH</x:v>
      </x:c>
      <x:c r="I1499" s="43" t="n">
        <x:v>1</x:v>
      </x:c>
      <x:c r="J1499" s="43" t="n">
        <x:v>11</x:v>
      </x:c>
      <x:c r="K1499" s="43" t="str">
        <x:v>No boarders</x:v>
      </x:c>
      <x:c r="L1499" s="43" t="str">
        <x:v>Does not have a sixth form</x:v>
      </x:c>
      <x:c r="M1499" s="43" t="n">
        <x:v>95</x:v>
      </x:c>
      <x:c r="N1499" s="43" t="str"/>
      <x:c r="O1499" s="43" t="str">
        <x:v>01487840966</x:v>
      </x:c>
      <x:c r="P1499" s="43" t="str"/>
      <x:c r="Q1499" s="43" t="str"/>
      <x:c r="R1499" s="43" t="str">
        <x:v>Queued for contact research</x:v>
      </x:c>
      <x:c r="S1499" s="43" t="str">
        <x:v>Not reviewed</x:v>
      </x:c>
      <x:c r="T1499" s="43" t="str">
        <x:v>Hold</x:v>
      </x:c>
      <x:c r="U1499" s="43" t="str">
        <x:v>No</x:v>
      </x:c>
      <x:c r="V1499" s="44"/>
      <x:c r="W1499" s="43" t="str"/>
      <x:c r="X1499" s="43" t="str"/>
      <x:c r="Y1499" s="43" t="str"/>
      <x:c r="Z1499" s="43" t="str">
        <x:v>https://www.get-information-schools.service.gov.uk/Downloads</x:v>
      </x:c>
    </x:row>
    <x:row r="1500">
      <x:c r="A1500" s="43" t="str">
        <x:v>UK independent</x:v>
      </x:c>
      <x:c r="B1500" s="43" t="str">
        <x:v>148551</x:v>
      </x:c>
      <x:c r="C1500" s="43" t="n">
        <x:f>IF(K1500="Boarding school",30,0)+IF(J1500&gt;=18,20,0)+IF(I1500&lt;=11,10,0)+IF(L1500="Has a sixth form",15,0)+IF(M1500&gt;=200,10,0)+IF(N1500&lt;&gt;"",10,0)</x:f>
        <x:v>10</x:v>
      </x:c>
      <x:c r="D1500" s="43" t="str">
        <x:f>IF(C1500&gt;=85,"A",IF(C1500&gt;=65,"B","C"))</x:f>
        <x:v>C</x:v>
      </x:c>
      <x:c r="E1500" s="43" t="str">
        <x:v>Baytul Ilm Secondary School</x:v>
      </x:c>
      <x:c r="F1500" s="43" t="str"/>
      <x:c r="G1500" s="43" t="str"/>
      <x:c r="H1500" s="43" t="str">
        <x:v>MK1 1LG</x:v>
      </x:c>
      <x:c r="I1500" s="43" t="n">
        <x:v>11</x:v>
      </x:c>
      <x:c r="J1500" s="43" t="n">
        <x:v>16</x:v>
      </x:c>
      <x:c r="K1500" s="43" t="str">
        <x:v>No boarders</x:v>
      </x:c>
      <x:c r="L1500" s="43" t="str">
        <x:v>Does not have a sixth form</x:v>
      </x:c>
      <x:c r="M1500" s="43" t="n">
        <x:v>82</x:v>
      </x:c>
      <x:c r="N1500" s="43" t="str"/>
      <x:c r="O1500" s="43" t="str">
        <x:v>01908804163</x:v>
      </x:c>
      <x:c r="P1500" s="43" t="str"/>
      <x:c r="Q1500" s="43" t="str"/>
      <x:c r="R1500" s="43" t="str">
        <x:v>Queued for contact research</x:v>
      </x:c>
      <x:c r="S1500" s="43" t="str">
        <x:v>Not reviewed</x:v>
      </x:c>
      <x:c r="T1500" s="43" t="str">
        <x:v>Hold</x:v>
      </x:c>
      <x:c r="U1500" s="43" t="str">
        <x:v>No</x:v>
      </x:c>
      <x:c r="V1500" s="44"/>
      <x:c r="W1500" s="43" t="str"/>
      <x:c r="X1500" s="43" t="str"/>
      <x:c r="Y1500" s="43" t="str"/>
      <x:c r="Z1500" s="43" t="str">
        <x:v>https://www.get-information-schools.service.gov.uk/Downloads</x:v>
      </x:c>
    </x:row>
    <x:row r="1501">
      <x:c r="A1501" s="43" t="str">
        <x:v>UK independent</x:v>
      </x:c>
      <x:c r="B1501" s="43" t="str">
        <x:v>123317</x:v>
      </x:c>
      <x:c r="C1501" s="43" t="n">
        <x:f>IF(K1501="Boarding school",30,0)+IF(J1501&gt;=18,20,0)+IF(I1501&lt;=11,10,0)+IF(L1501="Has a sixth form",15,0)+IF(M1501&gt;=200,10,0)+IF(N1501&lt;&gt;"",10,0)</x:f>
        <x:v>10</x:v>
      </x:c>
      <x:c r="D1501" s="43" t="str">
        <x:f>IF(C1501&gt;=85,"A",IF(C1501&gt;=65,"B","C"))</x:f>
        <x:v>C</x:v>
      </x:c>
      <x:c r="E1501" s="43" t="str">
        <x:v>Emmanuel Christian School</x:v>
      </x:c>
      <x:c r="F1501" s="43" t="str">
        <x:v>Oxford</x:v>
      </x:c>
      <x:c r="G1501" s="43" t="str">
        <x:v>Oxfordshire</x:v>
      </x:c>
      <x:c r="H1501" s="43" t="str">
        <x:v>OX4 4PU</x:v>
      </x:c>
      <x:c r="I1501" s="43" t="n">
        <x:v>3</x:v>
      </x:c>
      <x:c r="J1501" s="43" t="n">
        <x:v>11</x:v>
      </x:c>
      <x:c r="K1501" s="43" t="str">
        <x:v>No boarders</x:v>
      </x:c>
      <x:c r="L1501" s="43" t="str">
        <x:v>Does not have a sixth form</x:v>
      </x:c>
      <x:c r="M1501" s="43" t="n">
        <x:v>80</x:v>
      </x:c>
      <x:c r="N1501" s="43" t="str"/>
      <x:c r="O1501" s="43" t="str">
        <x:v>01865395236</x:v>
      </x:c>
      <x:c r="P1501" s="43" t="str"/>
      <x:c r="Q1501" s="43" t="str"/>
      <x:c r="R1501" s="43" t="str">
        <x:v>Queued for contact research</x:v>
      </x:c>
      <x:c r="S1501" s="43" t="str">
        <x:v>Not reviewed</x:v>
      </x:c>
      <x:c r="T1501" s="43" t="str">
        <x:v>Hold</x:v>
      </x:c>
      <x:c r="U1501" s="43" t="str">
        <x:v>No</x:v>
      </x:c>
      <x:c r="V1501" s="44"/>
      <x:c r="W1501" s="43" t="str"/>
      <x:c r="X1501" s="43" t="str"/>
      <x:c r="Y1501" s="43" t="str"/>
      <x:c r="Z1501" s="43" t="str">
        <x:v>https://www.get-information-schools.service.gov.uk/Downloads</x:v>
      </x:c>
    </x:row>
    <x:row r="1502">
      <x:c r="A1502" s="43" t="str">
        <x:v>UK independent</x:v>
      </x:c>
      <x:c r="B1502" s="43" t="str">
        <x:v>134440</x:v>
      </x:c>
      <x:c r="C1502" s="43" t="n">
        <x:f>IF(K1502="Boarding school",30,0)+IF(J1502&gt;=18,20,0)+IF(I1502&lt;=11,10,0)+IF(L1502="Has a sixth form",15,0)+IF(M1502&gt;=200,10,0)+IF(N1502&lt;&gt;"",10,0)</x:f>
        <x:v>10</x:v>
      </x:c>
      <x:c r="D1502" s="43" t="str">
        <x:f>IF(C1502&gt;=85,"A",IF(C1502&gt;=65,"B","C"))</x:f>
        <x:v>C</x:v>
      </x:c>
      <x:c r="E1502" s="43" t="str">
        <x:v>Include School Norfolk</x:v>
      </x:c>
      <x:c r="F1502" s="43" t="str">
        <x:v>Norfolk</x:v>
      </x:c>
      <x:c r="G1502" s="43" t="str"/>
      <x:c r="H1502" s="43" t="str">
        <x:v>NR6 6HE</x:v>
      </x:c>
      <x:c r="I1502" s="43" t="n">
        <x:v>14</x:v>
      </x:c>
      <x:c r="J1502" s="43" t="n">
        <x:v>16</x:v>
      </x:c>
      <x:c r="K1502" s="43" t="str">
        <x:v>No boarders</x:v>
      </x:c>
      <x:c r="L1502" s="43" t="str">
        <x:v>Does not have a sixth form</x:v>
      </x:c>
      <x:c r="M1502" s="43" t="n">
        <x:v>80</x:v>
      </x:c>
      <x:c r="N1502" s="43" t="str">
        <x:v>https://www.includenorfolk.org.uk/</x:v>
      </x:c>
      <x:c r="O1502" s="43" t="str">
        <x:v>01603401515</x:v>
      </x:c>
      <x:c r="P1502" s="43" t="str"/>
      <x:c r="Q1502" s="43" t="str"/>
      <x:c r="R1502" s="43" t="str">
        <x:v>Queued for contact research</x:v>
      </x:c>
      <x:c r="S1502" s="43" t="str">
        <x:v>Not reviewed</x:v>
      </x:c>
      <x:c r="T1502" s="43" t="str">
        <x:v>Hold</x:v>
      </x:c>
      <x:c r="U1502" s="43" t="str">
        <x:v>No</x:v>
      </x:c>
      <x:c r="V1502" s="44"/>
      <x:c r="W1502" s="43" t="str"/>
      <x:c r="X1502" s="43" t="str"/>
      <x:c r="Y1502" s="43" t="str"/>
      <x:c r="Z1502" s="43" t="str">
        <x:v>https://www.get-information-schools.service.gov.uk/Downloads</x:v>
      </x:c>
    </x:row>
    <x:row r="1503">
      <x:c r="A1503" s="43" t="str">
        <x:v>UK independent</x:v>
      </x:c>
      <x:c r="B1503" s="43" t="str">
        <x:v>147662</x:v>
      </x:c>
      <x:c r="C1503" s="43" t="n">
        <x:f>IF(K1503="Boarding school",30,0)+IF(J1503&gt;=18,20,0)+IF(I1503&lt;=11,10,0)+IF(L1503="Has a sixth form",15,0)+IF(M1503&gt;=200,10,0)+IF(N1503&lt;&gt;"",10,0)</x:f>
        <x:v>10</x:v>
      </x:c>
      <x:c r="D1503" s="43" t="str">
        <x:f>IF(C1503&gt;=85,"A",IF(C1503&gt;=65,"B","C"))</x:f>
        <x:v>C</x:v>
      </x:c>
      <x:c r="E1503" s="43" t="str">
        <x:v>Rochdale Islamic Academy</x:v>
      </x:c>
      <x:c r="F1503" s="43" t="str"/>
      <x:c r="G1503" s="43" t="str"/>
      <x:c r="H1503" s="43" t="str">
        <x:v>OL12 0HZ</x:v>
      </x:c>
      <x:c r="I1503" s="43" t="n">
        <x:v>11</x:v>
      </x:c>
      <x:c r="J1503" s="43" t="n">
        <x:v>16</x:v>
      </x:c>
      <x:c r="K1503" s="43" t="str">
        <x:v>No boarders</x:v>
      </x:c>
      <x:c r="L1503" s="43" t="str">
        <x:v>Does not have a sixth form</x:v>
      </x:c>
      <x:c r="M1503" s="43" t="n">
        <x:v>80</x:v>
      </x:c>
      <x:c r="N1503" s="43" t="str"/>
      <x:c r="O1503" s="43" t="str">
        <x:v>01706710184</x:v>
      </x:c>
      <x:c r="P1503" s="43" t="str"/>
      <x:c r="Q1503" s="43" t="str"/>
      <x:c r="R1503" s="43" t="str">
        <x:v>Queued for contact research</x:v>
      </x:c>
      <x:c r="S1503" s="43" t="str">
        <x:v>Not reviewed</x:v>
      </x:c>
      <x:c r="T1503" s="43" t="str">
        <x:v>Hold</x:v>
      </x:c>
      <x:c r="U1503" s="43" t="str">
        <x:v>No</x:v>
      </x:c>
      <x:c r="V1503" s="44"/>
      <x:c r="W1503" s="43" t="str"/>
      <x:c r="X1503" s="43" t="str"/>
      <x:c r="Y1503" s="43" t="str"/>
      <x:c r="Z1503" s="43" t="str">
        <x:v>https://www.get-information-schools.service.gov.uk/Downloads</x:v>
      </x:c>
    </x:row>
    <x:row r="1504">
      <x:c r="A1504" s="43" t="str">
        <x:v>UK independent</x:v>
      </x:c>
      <x:c r="B1504" s="43" t="str">
        <x:v>140036</x:v>
      </x:c>
      <x:c r="C1504" s="43" t="n">
        <x:f>IF(K1504="Boarding school",30,0)+IF(J1504&gt;=18,20,0)+IF(I1504&lt;=11,10,0)+IF(L1504="Has a sixth form",15,0)+IF(M1504&gt;=200,10,0)+IF(N1504&lt;&gt;"",10,0)</x:f>
        <x:v>10</x:v>
      </x:c>
      <x:c r="D1504" s="43" t="str">
        <x:f>IF(C1504&gt;=85,"A",IF(C1504&gt;=65,"B","C"))</x:f>
        <x:v>C</x:v>
      </x:c>
      <x:c r="E1504" s="43" t="str">
        <x:v>Ahavas Torah Boys Academy</x:v>
      </x:c>
      <x:c r="F1504" s="43" t="str">
        <x:v>Manchester</x:v>
      </x:c>
      <x:c r="G1504" s="43" t="str"/>
      <x:c r="H1504" s="43" t="str">
        <x:v>M7 3NJ</x:v>
      </x:c>
      <x:c r="I1504" s="43" t="n">
        <x:v>11</x:v>
      </x:c>
      <x:c r="J1504" s="43" t="n">
        <x:v>16</x:v>
      </x:c>
      <x:c r="K1504" s="43" t="str">
        <x:v>No boarders</x:v>
      </x:c>
      <x:c r="L1504" s="43" t="str">
        <x:v>Does not have a sixth form</x:v>
      </x:c>
      <x:c r="M1504" s="43" t="n">
        <x:v>73</x:v>
      </x:c>
      <x:c r="N1504" s="43" t="str"/>
      <x:c r="O1504" s="43" t="str">
        <x:v>01615374030</x:v>
      </x:c>
      <x:c r="P1504" s="43" t="str"/>
      <x:c r="Q1504" s="43" t="str"/>
      <x:c r="R1504" s="43" t="str">
        <x:v>Queued for contact research</x:v>
      </x:c>
      <x:c r="S1504" s="43" t="str">
        <x:v>Not reviewed</x:v>
      </x:c>
      <x:c r="T1504" s="43" t="str">
        <x:v>Hold</x:v>
      </x:c>
      <x:c r="U1504" s="43" t="str">
        <x:v>No</x:v>
      </x:c>
      <x:c r="V1504" s="44"/>
      <x:c r="W1504" s="43" t="str"/>
      <x:c r="X1504" s="43" t="str"/>
      <x:c r="Y1504" s="43" t="str"/>
      <x:c r="Z1504" s="43" t="str">
        <x:v>https://www.get-information-schools.service.gov.uk/Downloads</x:v>
      </x:c>
    </x:row>
    <x:row r="1505">
      <x:c r="A1505" s="43" t="str">
        <x:v>UK independent</x:v>
      </x:c>
      <x:c r="B1505" s="43" t="str">
        <x:v>105999</x:v>
      </x:c>
      <x:c r="C1505" s="43" t="n">
        <x:f>IF(K1505="Boarding school",30,0)+IF(J1505&gt;=18,20,0)+IF(I1505&lt;=11,10,0)+IF(L1505="Has a sixth form",15,0)+IF(M1505&gt;=200,10,0)+IF(N1505&lt;&gt;"",10,0)</x:f>
        <x:v>10</x:v>
      </x:c>
      <x:c r="D1505" s="43" t="str">
        <x:f>IF(C1505&gt;=85,"A",IF(C1505&gt;=65,"B","C"))</x:f>
        <x:v>C</x:v>
      </x:c>
      <x:c r="E1505" s="43" t="str">
        <x:v>Mechinoh School</x:v>
      </x:c>
      <x:c r="F1505" s="43" t="str">
        <x:v>Salford</x:v>
      </x:c>
      <x:c r="G1505" s="43" t="str">
        <x:v>Lancashire</x:v>
      </x:c>
      <x:c r="H1505" s="43" t="str">
        <x:v>M7 4HY</x:v>
      </x:c>
      <x:c r="I1505" s="43" t="n">
        <x:v>11</x:v>
      </x:c>
      <x:c r="J1505" s="43" t="n">
        <x:v>16</x:v>
      </x:c>
      <x:c r="K1505" s="43" t="str">
        <x:v>No boarders</x:v>
      </x:c>
      <x:c r="L1505" s="43" t="str">
        <x:v>Does not have a sixth form</x:v>
      </x:c>
      <x:c r="M1505" s="43" t="n">
        <x:v>73</x:v>
      </x:c>
      <x:c r="N1505" s="43" t="str"/>
      <x:c r="O1505" s="43" t="str">
        <x:v>01617959656</x:v>
      </x:c>
      <x:c r="P1505" s="43" t="str"/>
      <x:c r="Q1505" s="43" t="str"/>
      <x:c r="R1505" s="43" t="str">
        <x:v>Queued for contact research</x:v>
      </x:c>
      <x:c r="S1505" s="43" t="str">
        <x:v>Not reviewed</x:v>
      </x:c>
      <x:c r="T1505" s="43" t="str">
        <x:v>Hold</x:v>
      </x:c>
      <x:c r="U1505" s="43" t="str">
        <x:v>No</x:v>
      </x:c>
      <x:c r="V1505" s="44"/>
      <x:c r="W1505" s="43" t="str"/>
      <x:c r="X1505" s="43" t="str"/>
      <x:c r="Y1505" s="43" t="str"/>
      <x:c r="Z1505" s="43" t="str">
        <x:v>https://www.get-information-schools.service.gov.uk/Downloads</x:v>
      </x:c>
    </x:row>
    <x:row r="1506">
      <x:c r="A1506" s="43" t="str">
        <x:v>UK independent</x:v>
      </x:c>
      <x:c r="B1506" s="43" t="str">
        <x:v>133385</x:v>
      </x:c>
      <x:c r="C1506" s="43" t="n">
        <x:f>IF(K1506="Boarding school",30,0)+IF(J1506&gt;=18,20,0)+IF(I1506&lt;=11,10,0)+IF(L1506="Has a sixth form",15,0)+IF(M1506&gt;=200,10,0)+IF(N1506&lt;&gt;"",10,0)</x:f>
        <x:v>10</x:v>
      </x:c>
      <x:c r="D1506" s="43" t="str">
        <x:f>IF(C1506&gt;=85,"A",IF(C1506&gt;=65,"B","C"))</x:f>
        <x:v>C</x:v>
      </x:c>
      <x:c r="E1506" s="43" t="str">
        <x:v>The School of the Islamic Republic of Iran</x:v>
      </x:c>
      <x:c r="F1506" s="43" t="str">
        <x:v>London</x:v>
      </x:c>
      <x:c r="G1506" s="43" t="str"/>
      <x:c r="H1506" s="43" t="str">
        <x:v>NW6 5HE</x:v>
      </x:c>
      <x:c r="I1506" s="43" t="n">
        <x:v>6</x:v>
      </x:c>
      <x:c r="J1506" s="43" t="n">
        <x:v>16</x:v>
      </x:c>
      <x:c r="K1506" s="43" t="str">
        <x:v>No boarders</x:v>
      </x:c>
      <x:c r="L1506" s="43" t="str">
        <x:v>Does not have a sixth form</x:v>
      </x:c>
      <x:c r="M1506" s="43" t="n">
        <x:v>72</x:v>
      </x:c>
      <x:c r="N1506" s="43" t="str"/>
      <x:c r="O1506" s="43" t="str">
        <x:v>02073728051</x:v>
      </x:c>
      <x:c r="P1506" s="43" t="str"/>
      <x:c r="Q1506" s="43" t="str"/>
      <x:c r="R1506" s="43" t="str">
        <x:v>Queued for contact research</x:v>
      </x:c>
      <x:c r="S1506" s="43" t="str">
        <x:v>Not reviewed</x:v>
      </x:c>
      <x:c r="T1506" s="43" t="str">
        <x:v>Hold</x:v>
      </x:c>
      <x:c r="U1506" s="43" t="str">
        <x:v>No</x:v>
      </x:c>
      <x:c r="V1506" s="44"/>
      <x:c r="W1506" s="43" t="str"/>
      <x:c r="X1506" s="43" t="str"/>
      <x:c r="Y1506" s="43" t="str"/>
      <x:c r="Z1506" s="43" t="str">
        <x:v>https://www.get-information-schools.service.gov.uk/Downloads</x:v>
      </x:c>
    </x:row>
    <x:row r="1507">
      <x:c r="A1507" s="43" t="str">
        <x:v>UK independent</x:v>
      </x:c>
      <x:c r="B1507" s="43" t="str">
        <x:v>150312</x:v>
      </x:c>
      <x:c r="C1507" s="43" t="n">
        <x:f>IF(K1507="Boarding school",30,0)+IF(J1507&gt;=18,20,0)+IF(I1507&lt;=11,10,0)+IF(L1507="Has a sixth form",15,0)+IF(M1507&gt;=200,10,0)+IF(N1507&lt;&gt;"",10,0)</x:f>
        <x:v>10</x:v>
      </x:c>
      <x:c r="D1507" s="43" t="str">
        <x:f>IF(C1507&gt;=85,"A",IF(C1507&gt;=65,"B","C"))</x:f>
        <x:v>C</x:v>
      </x:c>
      <x:c r="E1507" s="43" t="str">
        <x:v>Tarbiyyah Secondary School for Boys</x:v>
      </x:c>
      <x:c r="F1507" s="43" t="str">
        <x:v>Hounslow</x:v>
      </x:c>
      <x:c r="G1507" s="43" t="str"/>
      <x:c r="H1507" s="43" t="str">
        <x:v>TW5 0LJ</x:v>
      </x:c>
      <x:c r="I1507" s="43" t="n">
        <x:v>11</x:v>
      </x:c>
      <x:c r="J1507" s="43" t="n">
        <x:v>16</x:v>
      </x:c>
      <x:c r="K1507" s="43" t="str">
        <x:v>No boarders</x:v>
      </x:c>
      <x:c r="L1507" s="43" t="str">
        <x:v>Does not have a sixth form</x:v>
      </x:c>
      <x:c r="M1507" s="43" t="n">
        <x:v>69</x:v>
      </x:c>
      <x:c r="N1507" s="43" t="str"/>
      <x:c r="O1507" s="43" t="str">
        <x:v>02037198697</x:v>
      </x:c>
      <x:c r="P1507" s="43" t="str"/>
      <x:c r="Q1507" s="43" t="str"/>
      <x:c r="R1507" s="43" t="str">
        <x:v>Queued for contact research</x:v>
      </x:c>
      <x:c r="S1507" s="43" t="str">
        <x:v>Not reviewed</x:v>
      </x:c>
      <x:c r="T1507" s="43" t="str">
        <x:v>Hold</x:v>
      </x:c>
      <x:c r="U1507" s="43" t="str">
        <x:v>No</x:v>
      </x:c>
      <x:c r="V1507" s="44"/>
      <x:c r="W1507" s="43" t="str"/>
      <x:c r="X1507" s="43" t="str"/>
      <x:c r="Y1507" s="43" t="str"/>
      <x:c r="Z1507" s="43" t="str">
        <x:v>https://www.get-information-schools.service.gov.uk/Downloads</x:v>
      </x:c>
    </x:row>
    <x:row r="1508">
      <x:c r="A1508" s="43" t="str">
        <x:v>UK independent</x:v>
      </x:c>
      <x:c r="B1508" s="43" t="str">
        <x:v>114646</x:v>
      </x:c>
      <x:c r="C1508" s="43" t="n">
        <x:f>IF(K1508="Boarding school",30,0)+IF(J1508&gt;=18,20,0)+IF(I1508&lt;=11,10,0)+IF(L1508="Has a sixth form",15,0)+IF(M1508&gt;=200,10,0)+IF(N1508&lt;&gt;"",10,0)</x:f>
        <x:v>10</x:v>
      </x:c>
      <x:c r="D1508" s="43" t="str">
        <x:f>IF(C1508&gt;=85,"A",IF(C1508&gt;=65,"B","C"))</x:f>
        <x:v>C</x:v>
      </x:c>
      <x:c r="E1508" s="43" t="str">
        <x:v>Darvell School</x:v>
      </x:c>
      <x:c r="F1508" s="43" t="str">
        <x:v>Robertsbridge</x:v>
      </x:c>
      <x:c r="G1508" s="43" t="str">
        <x:v>East Sussex</x:v>
      </x:c>
      <x:c r="H1508" s="43" t="str">
        <x:v>TN32 5DR</x:v>
      </x:c>
      <x:c r="I1508" s="43" t="n">
        <x:v>4</x:v>
      </x:c>
      <x:c r="J1508" s="43" t="n">
        <x:v>16</x:v>
      </x:c>
      <x:c r="K1508" s="43" t="str">
        <x:v>No boarders</x:v>
      </x:c>
      <x:c r="L1508" s="43" t="str">
        <x:v>Does not have a sixth form</x:v>
      </x:c>
      <x:c r="M1508" s="43" t="n">
        <x:v>68</x:v>
      </x:c>
      <x:c r="N1508" s="43" t="str"/>
      <x:c r="O1508" s="43" t="str">
        <x:v>01580883300</x:v>
      </x:c>
      <x:c r="P1508" s="43" t="str"/>
      <x:c r="Q1508" s="43" t="str"/>
      <x:c r="R1508" s="43" t="str">
        <x:v>Queued for contact research</x:v>
      </x:c>
      <x:c r="S1508" s="43" t="str">
        <x:v>Not reviewed</x:v>
      </x:c>
      <x:c r="T1508" s="43" t="str">
        <x:v>Hold</x:v>
      </x:c>
      <x:c r="U1508" s="43" t="str">
        <x:v>No</x:v>
      </x:c>
      <x:c r="V1508" s="44"/>
      <x:c r="W1508" s="43" t="str"/>
      <x:c r="X1508" s="43" t="str"/>
      <x:c r="Y1508" s="43" t="str"/>
      <x:c r="Z1508" s="43" t="str">
        <x:v>https://www.get-information-schools.service.gov.uk/Downloads</x:v>
      </x:c>
    </x:row>
    <x:row r="1509">
      <x:c r="A1509" s="43" t="str">
        <x:v>UK independent</x:v>
      </x:c>
      <x:c r="B1509" s="43" t="str">
        <x:v>148756</x:v>
      </x:c>
      <x:c r="C1509" s="43" t="n">
        <x:f>IF(K1509="Boarding school",30,0)+IF(J1509&gt;=18,20,0)+IF(I1509&lt;=11,10,0)+IF(L1509="Has a sixth form",15,0)+IF(M1509&gt;=200,10,0)+IF(N1509&lt;&gt;"",10,0)</x:f>
        <x:v>10</x:v>
      </x:c>
      <x:c r="D1509" s="43" t="str">
        <x:f>IF(C1509&gt;=85,"A",IF(C1509&gt;=65,"B","C"))</x:f>
        <x:v>C</x:v>
      </x:c>
      <x:c r="E1509" s="43" t="str">
        <x:v>Refocus</x:v>
      </x:c>
      <x:c r="F1509" s="43" t="str"/>
      <x:c r="G1509" s="43" t="str"/>
      <x:c r="H1509" s="43" t="str">
        <x:v>NN8 1HW</x:v>
      </x:c>
      <x:c r="I1509" s="43" t="n">
        <x:v>14</x:v>
      </x:c>
      <x:c r="J1509" s="43" t="n">
        <x:v>16</x:v>
      </x:c>
      <x:c r="K1509" s="43" t="str">
        <x:v>No boarders</x:v>
      </x:c>
      <x:c r="L1509" s="43" t="str">
        <x:v>Does not have a sixth form</x:v>
      </x:c>
      <x:c r="M1509" s="43" t="n">
        <x:v>63</x:v>
      </x:c>
      <x:c r="N1509" s="43" t="str">
        <x:v>https://www.refocus.school</x:v>
      </x:c>
      <x:c r="O1509" s="43" t="str">
        <x:v>01933391660</x:v>
      </x:c>
      <x:c r="P1509" s="43" t="str"/>
      <x:c r="Q1509" s="43" t="str"/>
      <x:c r="R1509" s="43" t="str">
        <x:v>Queued for contact research</x:v>
      </x:c>
      <x:c r="S1509" s="43" t="str">
        <x:v>Not reviewed</x:v>
      </x:c>
      <x:c r="T1509" s="43" t="str">
        <x:v>Hold</x:v>
      </x:c>
      <x:c r="U1509" s="43" t="str">
        <x:v>No</x:v>
      </x:c>
      <x:c r="V1509" s="44"/>
      <x:c r="W1509" s="43" t="str"/>
      <x:c r="X1509" s="43" t="str"/>
      <x:c r="Y1509" s="43" t="str"/>
      <x:c r="Z1509" s="43" t="str">
        <x:v>https://www.get-information-schools.service.gov.uk/Downloads</x:v>
      </x:c>
    </x:row>
    <x:row r="1510">
      <x:c r="A1510" s="43" t="str">
        <x:v>UK independent</x:v>
      </x:c>
      <x:c r="B1510" s="43" t="str">
        <x:v>137809</x:v>
      </x:c>
      <x:c r="C1510" s="43" t="n">
        <x:f>IF(K1510="Boarding school",30,0)+IF(J1510&gt;=18,20,0)+IF(I1510&lt;=11,10,0)+IF(L1510="Has a sixth form",15,0)+IF(M1510&gt;=200,10,0)+IF(N1510&lt;&gt;"",10,0)</x:f>
        <x:v>10</x:v>
      </x:c>
      <x:c r="D1510" s="43" t="str">
        <x:f>IF(C1510&gt;=85,"A",IF(C1510&gt;=65,"B","C"))</x:f>
        <x:v>C</x:v>
      </x:c>
      <x:c r="E1510" s="43" t="str">
        <x:v>Wiznitz Cheder School</x:v>
      </x:c>
      <x:c r="F1510" s="43" t="str">
        <x:v>London</x:v>
      </x:c>
      <x:c r="G1510" s="43" t="str"/>
      <x:c r="H1510" s="43" t="str">
        <x:v>N16 6QT</x:v>
      </x:c>
      <x:c r="I1510" s="43" t="n">
        <x:v>3</x:v>
      </x:c>
      <x:c r="J1510" s="43" t="n">
        <x:v>11</x:v>
      </x:c>
      <x:c r="K1510" s="43" t="str">
        <x:v>No boarders</x:v>
      </x:c>
      <x:c r="L1510" s="43" t="str">
        <x:v>Does not have a sixth form</x:v>
      </x:c>
      <x:c r="M1510" s="43" t="n">
        <x:v>61</x:v>
      </x:c>
      <x:c r="N1510" s="43" t="str"/>
      <x:c r="O1510" s="43" t="str">
        <x:v>02088099513</x:v>
      </x:c>
      <x:c r="P1510" s="43" t="str"/>
      <x:c r="Q1510" s="43" t="str"/>
      <x:c r="R1510" s="43" t="str">
        <x:v>Queued for contact research</x:v>
      </x:c>
      <x:c r="S1510" s="43" t="str">
        <x:v>Not reviewed</x:v>
      </x:c>
      <x:c r="T1510" s="43" t="str">
        <x:v>Hold</x:v>
      </x:c>
      <x:c r="U1510" s="43" t="str">
        <x:v>No</x:v>
      </x:c>
      <x:c r="V1510" s="44"/>
      <x:c r="W1510" s="43" t="str"/>
      <x:c r="X1510" s="43" t="str"/>
      <x:c r="Y1510" s="43" t="str"/>
      <x:c r="Z1510" s="43" t="str">
        <x:v>https://www.get-information-schools.service.gov.uk/Downloads</x:v>
      </x:c>
    </x:row>
    <x:row r="1511">
      <x:c r="A1511" s="43" t="str">
        <x:v>UK independent</x:v>
      </x:c>
      <x:c r="B1511" s="43" t="str">
        <x:v>135995</x:v>
      </x:c>
      <x:c r="C1511" s="43" t="n">
        <x:f>IF(K1511="Boarding school",30,0)+IF(J1511&gt;=18,20,0)+IF(I1511&lt;=11,10,0)+IF(L1511="Has a sixth form",15,0)+IF(M1511&gt;=200,10,0)+IF(N1511&lt;&gt;"",10,0)</x:f>
        <x:v>10</x:v>
      </x:c>
      <x:c r="D1511" s="43" t="str">
        <x:f>IF(C1511&gt;=85,"A",IF(C1511&gt;=65,"B","C"))</x:f>
        <x:v>C</x:v>
      </x:c>
      <x:c r="E1511" s="43" t="str">
        <x:v>The Deenway Montessori School</x:v>
      </x:c>
      <x:c r="F1511" s="43" t="str"/>
      <x:c r="G1511" s="43" t="str"/>
      <x:c r="H1511" s="43" t="str">
        <x:v>RG1 4QZ</x:v>
      </x:c>
      <x:c r="I1511" s="43" t="n">
        <x:v>3</x:v>
      </x:c>
      <x:c r="J1511" s="43" t="n">
        <x:v>16</x:v>
      </x:c>
      <x:c r="K1511" s="43" t="str">
        <x:v>No boarders</x:v>
      </x:c>
      <x:c r="L1511" s="43" t="str">
        <x:v>Does not have a sixth form</x:v>
      </x:c>
      <x:c r="M1511" s="43" t="n">
        <x:v>59</x:v>
      </x:c>
      <x:c r="N1511" s="43" t="str"/>
      <x:c r="O1511" s="43" t="str">
        <x:v>01189574737</x:v>
      </x:c>
      <x:c r="P1511" s="43" t="str"/>
      <x:c r="Q1511" s="43" t="str"/>
      <x:c r="R1511" s="43" t="str">
        <x:v>Queued for contact research</x:v>
      </x:c>
      <x:c r="S1511" s="43" t="str">
        <x:v>Not reviewed</x:v>
      </x:c>
      <x:c r="T1511" s="43" t="str">
        <x:v>Hold</x:v>
      </x:c>
      <x:c r="U1511" s="43" t="str">
        <x:v>No</x:v>
      </x:c>
      <x:c r="V1511" s="44"/>
      <x:c r="W1511" s="43" t="str"/>
      <x:c r="X1511" s="43" t="str"/>
      <x:c r="Y1511" s="43" t="str"/>
      <x:c r="Z1511" s="43" t="str">
        <x:v>https://www.get-information-schools.service.gov.uk/Downloads</x:v>
      </x:c>
    </x:row>
    <x:row r="1512">
      <x:c r="A1512" s="43" t="str">
        <x:v>UK independent</x:v>
      </x:c>
      <x:c r="B1512" s="43" t="str">
        <x:v>147038</x:v>
      </x:c>
      <x:c r="C1512" s="43" t="n">
        <x:f>IF(K1512="Boarding school",30,0)+IF(J1512&gt;=18,20,0)+IF(I1512&lt;=11,10,0)+IF(L1512="Has a sixth form",15,0)+IF(M1512&gt;=200,10,0)+IF(N1512&lt;&gt;"",10,0)</x:f>
        <x:v>10</x:v>
      </x:c>
      <x:c r="D1512" s="43" t="str">
        <x:f>IF(C1512&gt;=85,"A",IF(C1512&gt;=65,"B","C"))</x:f>
        <x:v>C</x:v>
      </x:c>
      <x:c r="E1512" s="43" t="str">
        <x:v>Heritage Academy</x:v>
      </x:c>
      <x:c r="F1512" s="43" t="str"/>
      <x:c r="G1512" s="43" t="str"/>
      <x:c r="H1512" s="43" t="str">
        <x:v>B12 0DX</x:v>
      </x:c>
      <x:c r="I1512" s="43" t="n">
        <x:v>11</x:v>
      </x:c>
      <x:c r="J1512" s="43" t="n">
        <x:v>16</x:v>
      </x:c>
      <x:c r="K1512" s="43" t="str">
        <x:v>No boarders</x:v>
      </x:c>
      <x:c r="L1512" s="43" t="str">
        <x:v>Does not have a sixth form</x:v>
      </x:c>
      <x:c r="M1512" s="43" t="n">
        <x:v>58</x:v>
      </x:c>
      <x:c r="N1512" s="43" t="str"/>
      <x:c r="O1512" s="43" t="str">
        <x:v>01214402222</x:v>
      </x:c>
      <x:c r="P1512" s="43" t="str"/>
      <x:c r="Q1512" s="43" t="str"/>
      <x:c r="R1512" s="43" t="str">
        <x:v>Queued for contact research</x:v>
      </x:c>
      <x:c r="S1512" s="43" t="str">
        <x:v>Not reviewed</x:v>
      </x:c>
      <x:c r="T1512" s="43" t="str">
        <x:v>Hold</x:v>
      </x:c>
      <x:c r="U1512" s="43" t="str">
        <x:v>No</x:v>
      </x:c>
      <x:c r="V1512" s="44"/>
      <x:c r="W1512" s="43" t="str"/>
      <x:c r="X1512" s="43" t="str"/>
      <x:c r="Y1512" s="43" t="str"/>
      <x:c r="Z1512" s="43" t="str">
        <x:v>https://www.get-information-schools.service.gov.uk/Downloads</x:v>
      </x:c>
    </x:row>
    <x:row r="1513">
      <x:c r="A1513" s="43" t="str">
        <x:v>UK independent</x:v>
      </x:c>
      <x:c r="B1513" s="43" t="str">
        <x:v>144727</x:v>
      </x:c>
      <x:c r="C1513" s="43" t="n">
        <x:f>IF(K1513="Boarding school",30,0)+IF(J1513&gt;=18,20,0)+IF(I1513&lt;=11,10,0)+IF(L1513="Has a sixth form",15,0)+IF(M1513&gt;=200,10,0)+IF(N1513&lt;&gt;"",10,0)</x:f>
        <x:v>10</x:v>
      </x:c>
      <x:c r="D1513" s="43" t="str">
        <x:f>IF(C1513&gt;=85,"A",IF(C1513&gt;=65,"B","C"))</x:f>
        <x:v>C</x:v>
      </x:c>
      <x:c r="E1513" s="43" t="str">
        <x:v>Lubavitch Yeshiva Ketanah of London</x:v>
      </x:c>
      <x:c r="F1513" s="43" t="str"/>
      <x:c r="G1513" s="43" t="str"/>
      <x:c r="H1513" s="43" t="str">
        <x:v>NW11 0QB</x:v>
      </x:c>
      <x:c r="I1513" s="43" t="n">
        <x:v>11</x:v>
      </x:c>
      <x:c r="J1513" s="43" t="n">
        <x:v>16</x:v>
      </x:c>
      <x:c r="K1513" s="43" t="str">
        <x:v>No boarders</x:v>
      </x:c>
      <x:c r="L1513" s="43" t="str">
        <x:v>Does not have a sixth form</x:v>
      </x:c>
      <x:c r="M1513" s="43" t="n">
        <x:v>55</x:v>
      </x:c>
      <x:c r="N1513" s="43" t="str"/>
      <x:c r="O1513" s="43" t="str">
        <x:v>02034091853</x:v>
      </x:c>
      <x:c r="P1513" s="43" t="str"/>
      <x:c r="Q1513" s="43" t="str"/>
      <x:c r="R1513" s="43" t="str">
        <x:v>Queued for contact research</x:v>
      </x:c>
      <x:c r="S1513" s="43" t="str">
        <x:v>Not reviewed</x:v>
      </x:c>
      <x:c r="T1513" s="43" t="str">
        <x:v>Hold</x:v>
      </x:c>
      <x:c r="U1513" s="43" t="str">
        <x:v>No</x:v>
      </x:c>
      <x:c r="V1513" s="44"/>
      <x:c r="W1513" s="43" t="str"/>
      <x:c r="X1513" s="43" t="str"/>
      <x:c r="Y1513" s="43" t="str"/>
      <x:c r="Z1513" s="43" t="str">
        <x:v>https://www.get-information-schools.service.gov.uk/Downloads</x:v>
      </x:c>
    </x:row>
    <x:row r="1514">
      <x:c r="A1514" s="43" t="str">
        <x:v>UK independent</x:v>
      </x:c>
      <x:c r="B1514" s="43" t="str">
        <x:v>137583</x:v>
      </x:c>
      <x:c r="C1514" s="43" t="n">
        <x:f>IF(K1514="Boarding school",30,0)+IF(J1514&gt;=18,20,0)+IF(I1514&lt;=11,10,0)+IF(L1514="Has a sixth form",15,0)+IF(M1514&gt;=200,10,0)+IF(N1514&lt;&gt;"",10,0)</x:f>
        <x:v>10</x:v>
      </x:c>
      <x:c r="D1514" s="43" t="str">
        <x:f>IF(C1514&gt;=85,"A",IF(C1514&gt;=65,"B","C"))</x:f>
        <x:v>C</x:v>
      </x:c>
      <x:c r="E1514" s="43" t="str">
        <x:v>LPW Independent School</x:v>
      </x:c>
      <x:c r="F1514" s="43" t="str">
        <x:v>Bristol</x:v>
      </x:c>
      <x:c r="G1514" s="43" t="str"/>
      <x:c r="H1514" s="43" t="str">
        <x:v>BS3 4AG</x:v>
      </x:c>
      <x:c r="I1514" s="43" t="n">
        <x:v>14</x:v>
      </x:c>
      <x:c r="J1514" s="43" t="n">
        <x:v>16</x:v>
      </x:c>
      <x:c r="K1514" s="43" t="str">
        <x:v>No boarders</x:v>
      </x:c>
      <x:c r="L1514" s="43" t="str">
        <x:v>Does not have a sixth form</x:v>
      </x:c>
      <x:c r="M1514" s="43" t="n">
        <x:v>54</x:v>
      </x:c>
      <x:c r="N1514" s="43" t="str">
        <x:v>http://www.lpw-school.co.uk</x:v>
      </x:c>
      <x:c r="O1514" s="43" t="str">
        <x:v>01179074500</x:v>
      </x:c>
      <x:c r="P1514" s="43" t="str"/>
      <x:c r="Q1514" s="43" t="str"/>
      <x:c r="R1514" s="43" t="str">
        <x:v>Queued for contact research</x:v>
      </x:c>
      <x:c r="S1514" s="43" t="str">
        <x:v>Not reviewed</x:v>
      </x:c>
      <x:c r="T1514" s="43" t="str">
        <x:v>Hold</x:v>
      </x:c>
      <x:c r="U1514" s="43" t="str">
        <x:v>No</x:v>
      </x:c>
      <x:c r="V1514" s="44"/>
      <x:c r="W1514" s="43" t="str"/>
      <x:c r="X1514" s="43" t="str"/>
      <x:c r="Y1514" s="43" t="str"/>
      <x:c r="Z1514" s="43" t="str">
        <x:v>https://www.get-information-schools.service.gov.uk/Downloads</x:v>
      </x:c>
    </x:row>
    <x:row r="1515">
      <x:c r="A1515" s="43" t="str">
        <x:v>UK independent</x:v>
      </x:c>
      <x:c r="B1515" s="43" t="str">
        <x:v>147787</x:v>
      </x:c>
      <x:c r="C1515" s="43" t="n">
        <x:f>IF(K1515="Boarding school",30,0)+IF(J1515&gt;=18,20,0)+IF(I1515&lt;=11,10,0)+IF(L1515="Has a sixth form",15,0)+IF(M1515&gt;=200,10,0)+IF(N1515&lt;&gt;"",10,0)</x:f>
        <x:v>10</x:v>
      </x:c>
      <x:c r="D1515" s="43" t="str">
        <x:f>IF(C1515&gt;=85,"A",IF(C1515&gt;=65,"B","C"))</x:f>
        <x:v>C</x:v>
      </x:c>
      <x:c r="E1515" s="43" t="str">
        <x:v>OYY Lubavitch Boys School</x:v>
      </x:c>
      <x:c r="F1515" s="43" t="str">
        <x:v>Salford</x:v>
      </x:c>
      <x:c r="G1515" s="43" t="str">
        <x:v>Greater Manchester</x:v>
      </x:c>
      <x:c r="H1515" s="43" t="str">
        <x:v>M7 4HL</x:v>
      </x:c>
      <x:c r="I1515" s="43" t="n">
        <x:v>5</x:v>
      </x:c>
      <x:c r="J1515" s="43" t="n">
        <x:v>16</x:v>
      </x:c>
      <x:c r="K1515" s="43" t="str">
        <x:v>No boarders</x:v>
      </x:c>
      <x:c r="L1515" s="43" t="str">
        <x:v>Does not have a sixth form</x:v>
      </x:c>
      <x:c r="M1515" s="43" t="n">
        <x:v>51</x:v>
      </x:c>
      <x:c r="N1515" s="43" t="str"/>
      <x:c r="O1515" s="43" t="str">
        <x:v>01617400923</x:v>
      </x:c>
      <x:c r="P1515" s="43" t="str"/>
      <x:c r="Q1515" s="43" t="str"/>
      <x:c r="R1515" s="43" t="str">
        <x:v>Queued for contact research</x:v>
      </x:c>
      <x:c r="S1515" s="43" t="str">
        <x:v>Not reviewed</x:v>
      </x:c>
      <x:c r="T1515" s="43" t="str">
        <x:v>Hold</x:v>
      </x:c>
      <x:c r="U1515" s="43" t="str">
        <x:v>No</x:v>
      </x:c>
      <x:c r="V1515" s="44"/>
      <x:c r="W1515" s="43" t="str"/>
      <x:c r="X1515" s="43" t="str"/>
      <x:c r="Y1515" s="43" t="str"/>
      <x:c r="Z1515" s="43" t="str">
        <x:v>https://www.get-information-schools.service.gov.uk/Downloads</x:v>
      </x:c>
    </x:row>
    <x:row r="1516">
      <x:c r="A1516" s="43" t="str">
        <x:v>UK independent</x:v>
      </x:c>
      <x:c r="B1516" s="43" t="str">
        <x:v>149339</x:v>
      </x:c>
      <x:c r="C1516" s="43" t="n">
        <x:f>IF(K1516="Boarding school",30,0)+IF(J1516&gt;=18,20,0)+IF(I1516&lt;=11,10,0)+IF(L1516="Has a sixth form",15,0)+IF(M1516&gt;=200,10,0)+IF(N1516&lt;&gt;"",10,0)</x:f>
        <x:v>10</x:v>
      </x:c>
      <x:c r="D1516" s="43" t="str">
        <x:f>IF(C1516&gt;=85,"A",IF(C1516&gt;=65,"B","C"))</x:f>
        <x:v>C</x:v>
      </x:c>
      <x:c r="E1516" s="43" t="str">
        <x:v>Sapience Girls Academy</x:v>
      </x:c>
      <x:c r="F1516" s="43" t="str">
        <x:v>Oldham</x:v>
      </x:c>
      <x:c r="G1516" s="43" t="str"/>
      <x:c r="H1516" s="43" t="str">
        <x:v>OL4 1ER</x:v>
      </x:c>
      <x:c r="I1516" s="43" t="n">
        <x:v>11</x:v>
      </x:c>
      <x:c r="J1516" s="43" t="n">
        <x:v>16</x:v>
      </x:c>
      <x:c r="K1516" s="43" t="str">
        <x:v>No boarders</x:v>
      </x:c>
      <x:c r="L1516" s="43" t="str">
        <x:v>Does not have a sixth form</x:v>
      </x:c>
      <x:c r="M1516" s="43" t="n">
        <x:v>51</x:v>
      </x:c>
      <x:c r="N1516" s="43" t="str"/>
      <x:c r="O1516" s="43" t="str">
        <x:v>01616528563</x:v>
      </x:c>
      <x:c r="P1516" s="43" t="str"/>
      <x:c r="Q1516" s="43" t="str"/>
      <x:c r="R1516" s="43" t="str">
        <x:v>Queued for contact research</x:v>
      </x:c>
      <x:c r="S1516" s="43" t="str">
        <x:v>Not reviewed</x:v>
      </x:c>
      <x:c r="T1516" s="43" t="str">
        <x:v>Hold</x:v>
      </x:c>
      <x:c r="U1516" s="43" t="str">
        <x:v>No</x:v>
      </x:c>
      <x:c r="V1516" s="44"/>
      <x:c r="W1516" s="43" t="str"/>
      <x:c r="X1516" s="43" t="str"/>
      <x:c r="Y1516" s="43" t="str"/>
      <x:c r="Z1516" s="43" t="str">
        <x:v>https://www.get-information-schools.service.gov.uk/Downloads</x:v>
      </x:c>
    </x:row>
    <x:row r="1517">
      <x:c r="A1517" s="43" t="str">
        <x:v>UK independent</x:v>
      </x:c>
      <x:c r="B1517" s="43" t="str">
        <x:v>148620</x:v>
      </x:c>
      <x:c r="C1517" s="43" t="n">
        <x:f>IF(K1517="Boarding school",30,0)+IF(J1517&gt;=18,20,0)+IF(I1517&lt;=11,10,0)+IF(L1517="Has a sixth form",15,0)+IF(M1517&gt;=200,10,0)+IF(N1517&lt;&gt;"",10,0)</x:f>
        <x:v>10</x:v>
      </x:c>
      <x:c r="D1517" s="43" t="str">
        <x:f>IF(C1517&gt;=85,"A",IF(C1517&gt;=65,"B","C"))</x:f>
        <x:v>C</x:v>
      </x:c>
      <x:c r="E1517" s="43" t="str">
        <x:v>NexGen Academy</x:v>
      </x:c>
      <x:c r="F1517" s="43" t="str">
        <x:v>Liverpool</x:v>
      </x:c>
      <x:c r="G1517" s="43" t="str">
        <x:v>Merseyside</x:v>
      </x:c>
      <x:c r="H1517" s="43" t="str">
        <x:v>L14 9BA</x:v>
      </x:c>
      <x:c r="I1517" s="43" t="n">
        <x:v>14</x:v>
      </x:c>
      <x:c r="J1517" s="43" t="n">
        <x:v>16</x:v>
      </x:c>
      <x:c r="K1517" s="43" t="str">
        <x:v>No boarders</x:v>
      </x:c>
      <x:c r="L1517" s="43" t="str">
        <x:v>Not applicable</x:v>
      </x:c>
      <x:c r="M1517" s="43" t="n">
        <x:v>45</x:v>
      </x:c>
      <x:c r="N1517" s="43" t="str">
        <x:v>https://www.nexgenacademy.co.uk</x:v>
      </x:c>
      <x:c r="O1517" s="43" t="str">
        <x:v>01513478867</x:v>
      </x:c>
      <x:c r="P1517" s="43" t="str"/>
      <x:c r="Q1517" s="43" t="str"/>
      <x:c r="R1517" s="43" t="str">
        <x:v>Queued for contact research</x:v>
      </x:c>
      <x:c r="S1517" s="43" t="str">
        <x:v>Not reviewed</x:v>
      </x:c>
      <x:c r="T1517" s="43" t="str">
        <x:v>Hold</x:v>
      </x:c>
      <x:c r="U1517" s="43" t="str">
        <x:v>No</x:v>
      </x:c>
      <x:c r="V1517" s="44"/>
      <x:c r="W1517" s="43" t="str"/>
      <x:c r="X1517" s="43" t="str"/>
      <x:c r="Y1517" s="43" t="str"/>
      <x:c r="Z1517" s="43" t="str">
        <x:v>https://www.get-information-schools.service.gov.uk/Downloads</x:v>
      </x:c>
    </x:row>
    <x:row r="1518">
      <x:c r="A1518" s="43" t="str">
        <x:v>UK independent</x:v>
      </x:c>
      <x:c r="B1518" s="43" t="str">
        <x:v>135185</x:v>
      </x:c>
      <x:c r="C1518" s="43" t="n">
        <x:f>IF(K1518="Boarding school",30,0)+IF(J1518&gt;=18,20,0)+IF(I1518&lt;=11,10,0)+IF(L1518="Has a sixth form",15,0)+IF(M1518&gt;=200,10,0)+IF(N1518&lt;&gt;"",10,0)</x:f>
        <x:v>10</x:v>
      </x:c>
      <x:c r="D1518" s="43" t="str">
        <x:f>IF(C1518&gt;=85,"A",IF(C1518&gt;=65,"B","C"))</x:f>
        <x:v>C</x:v>
      </x:c>
      <x:c r="E1518" s="43" t="str">
        <x:v>Brooke House Day School</x:v>
      </x:c>
      <x:c r="F1518" s="43" t="str">
        <x:v>Leicester</x:v>
      </x:c>
      <x:c r="G1518" s="43" t="str">
        <x:v>Leicestershire</x:v>
      </x:c>
      <x:c r="H1518" s="43" t="str">
        <x:v>LE9 1SE</x:v>
      </x:c>
      <x:c r="I1518" s="43" t="n">
        <x:v>5</x:v>
      </x:c>
      <x:c r="J1518" s="43" t="n">
        <x:v>16</x:v>
      </x:c>
      <x:c r="K1518" s="43" t="str">
        <x:v>No boarders</x:v>
      </x:c>
      <x:c r="L1518" s="43" t="str">
        <x:v>Does not have a sixth form</x:v>
      </x:c>
      <x:c r="M1518" s="43" t="n">
        <x:v>42</x:v>
      </x:c>
      <x:c r="N1518" s="43" t="str"/>
      <x:c r="O1518" s="43" t="str">
        <x:v>01162867372</x:v>
      </x:c>
      <x:c r="P1518" s="43" t="str"/>
      <x:c r="Q1518" s="43" t="str"/>
      <x:c r="R1518" s="43" t="str">
        <x:v>Queued for contact research</x:v>
      </x:c>
      <x:c r="S1518" s="43" t="str">
        <x:v>Not reviewed</x:v>
      </x:c>
      <x:c r="T1518" s="43" t="str">
        <x:v>Hold</x:v>
      </x:c>
      <x:c r="U1518" s="43" t="str">
        <x:v>No</x:v>
      </x:c>
      <x:c r="V1518" s="44"/>
      <x:c r="W1518" s="43" t="str"/>
      <x:c r="X1518" s="43" t="str"/>
      <x:c r="Y1518" s="43" t="str"/>
      <x:c r="Z1518" s="43" t="str">
        <x:v>https://www.get-information-schools.service.gov.uk/Downloads</x:v>
      </x:c>
    </x:row>
    <x:row r="1519">
      <x:c r="A1519" s="43" t="str">
        <x:v>UK independent</x:v>
      </x:c>
      <x:c r="B1519" s="43" t="str">
        <x:v>151475</x:v>
      </x:c>
      <x:c r="C1519" s="43" t="n">
        <x:f>IF(K1519="Boarding school",30,0)+IF(J1519&gt;=18,20,0)+IF(I1519&lt;=11,10,0)+IF(L1519="Has a sixth form",15,0)+IF(M1519&gt;=200,10,0)+IF(N1519&lt;&gt;"",10,0)</x:f>
        <x:v>10</x:v>
      </x:c>
      <x:c r="D1519" s="43" t="str">
        <x:f>IF(C1519&gt;=85,"A",IF(C1519&gt;=65,"B","C"))</x:f>
        <x:v>C</x:v>
      </x:c>
      <x:c r="E1519" s="43" t="str">
        <x:v>Apex Secondary School for Boys</x:v>
      </x:c>
      <x:c r="F1519" s="43" t="str">
        <x:v>Ilford</x:v>
      </x:c>
      <x:c r="G1519" s="43" t="str"/>
      <x:c r="H1519" s="43" t="str">
        <x:v>IG1 4UA</x:v>
      </x:c>
      <x:c r="I1519" s="43" t="n">
        <x:v>11</x:v>
      </x:c>
      <x:c r="J1519" s="43" t="n">
        <x:v>16</x:v>
      </x:c>
      <x:c r="K1519" s="43" t="str">
        <x:v>No boarders</x:v>
      </x:c>
      <x:c r="L1519" s="43" t="str">
        <x:v>Does not have a sixth form</x:v>
      </x:c>
      <x:c r="M1519" s="43" t="n">
        <x:v>39</x:v>
      </x:c>
      <x:c r="N1519" s="43" t="str"/>
      <x:c r="O1519" s="43" t="str">
        <x:v>02085541208</x:v>
      </x:c>
      <x:c r="P1519" s="43" t="str"/>
      <x:c r="Q1519" s="43" t="str"/>
      <x:c r="R1519" s="43" t="str">
        <x:v>Queued for contact research</x:v>
      </x:c>
      <x:c r="S1519" s="43" t="str">
        <x:v>Not reviewed</x:v>
      </x:c>
      <x:c r="T1519" s="43" t="str">
        <x:v>Hold</x:v>
      </x:c>
      <x:c r="U1519" s="43" t="str">
        <x:v>No</x:v>
      </x:c>
      <x:c r="V1519" s="44"/>
      <x:c r="W1519" s="43" t="str"/>
      <x:c r="X1519" s="43" t="str"/>
      <x:c r="Y1519" s="43" t="str"/>
      <x:c r="Z1519" s="43" t="str">
        <x:v>https://www.get-information-schools.service.gov.uk/Downloads</x:v>
      </x:c>
    </x:row>
    <x:row r="1520">
      <x:c r="A1520" s="43" t="str">
        <x:v>UK independent</x:v>
      </x:c>
      <x:c r="B1520" s="43" t="str">
        <x:v>134591</x:v>
      </x:c>
      <x:c r="C1520" s="43" t="n">
        <x:f>IF(K1520="Boarding school",30,0)+IF(J1520&gt;=18,20,0)+IF(I1520&lt;=11,10,0)+IF(L1520="Has a sixth form",15,0)+IF(M1520&gt;=200,10,0)+IF(N1520&lt;&gt;"",10,0)</x:f>
        <x:v>10</x:v>
      </x:c>
      <x:c r="D1520" s="43" t="str">
        <x:f>IF(C1520&gt;=85,"A",IF(C1520&gt;=65,"B","C"))</x:f>
        <x:v>C</x:v>
      </x:c>
      <x:c r="E1520" s="43" t="str">
        <x:v>Madaniyah Foundation</x:v>
      </x:c>
      <x:c r="F1520" s="43" t="str">
        <x:v>London</x:v>
      </x:c>
      <x:c r="G1520" s="43" t="str"/>
      <x:c r="H1520" s="43" t="str">
        <x:v>E7 8NN</x:v>
      </x:c>
      <x:c r="I1520" s="43" t="n">
        <x:v>3</x:v>
      </x:c>
      <x:c r="J1520" s="43" t="n">
        <x:v>11</x:v>
      </x:c>
      <x:c r="K1520" s="43" t="str">
        <x:v>No boarders</x:v>
      </x:c>
      <x:c r="L1520" s="43" t="str">
        <x:v>Does not have a sixth form</x:v>
      </x:c>
      <x:c r="M1520" s="43" t="n">
        <x:v>39</x:v>
      </x:c>
      <x:c r="N1520" s="43" t="str"/>
      <x:c r="O1520" s="43" t="str">
        <x:v>07983563506</x:v>
      </x:c>
      <x:c r="P1520" s="43" t="str"/>
      <x:c r="Q1520" s="43" t="str"/>
      <x:c r="R1520" s="43" t="str">
        <x:v>Queued for contact research</x:v>
      </x:c>
      <x:c r="S1520" s="43" t="str">
        <x:v>Not reviewed</x:v>
      </x:c>
      <x:c r="T1520" s="43" t="str">
        <x:v>Hold</x:v>
      </x:c>
      <x:c r="U1520" s="43" t="str">
        <x:v>No</x:v>
      </x:c>
      <x:c r="V1520" s="44"/>
      <x:c r="W1520" s="43" t="str"/>
      <x:c r="X1520" s="43" t="str"/>
      <x:c r="Y1520" s="43" t="str"/>
      <x:c r="Z1520" s="43" t="str">
        <x:v>https://www.get-information-schools.service.gov.uk/Downloads</x:v>
      </x:c>
    </x:row>
    <x:row r="1521">
      <x:c r="A1521" s="43" t="str">
        <x:v>UK independent</x:v>
      </x:c>
      <x:c r="B1521" s="43" t="str">
        <x:v>147665</x:v>
      </x:c>
      <x:c r="C1521" s="43" t="n">
        <x:f>IF(K1521="Boarding school",30,0)+IF(J1521&gt;=18,20,0)+IF(I1521&lt;=11,10,0)+IF(L1521="Has a sixth form",15,0)+IF(M1521&gt;=200,10,0)+IF(N1521&lt;&gt;"",10,0)</x:f>
        <x:v>10</x:v>
      </x:c>
      <x:c r="D1521" s="43" t="str">
        <x:f>IF(C1521&gt;=85,"A",IF(C1521&gt;=65,"B","C"))</x:f>
        <x:v>C</x:v>
      </x:c>
      <x:c r="E1521" s="43" t="str">
        <x:v>Prudentia Education</x:v>
      </x:c>
      <x:c r="F1521" s="43" t="str">
        <x:v>Liverpool</x:v>
      </x:c>
      <x:c r="G1521" s="43" t="str">
        <x:v>Merseyside</x:v>
      </x:c>
      <x:c r="H1521" s="43" t="str">
        <x:v>L24 0TR</x:v>
      </x:c>
      <x:c r="I1521" s="43" t="n">
        <x:v>12</x:v>
      </x:c>
      <x:c r="J1521" s="43" t="n">
        <x:v>16</x:v>
      </x:c>
      <x:c r="K1521" s="43" t="str">
        <x:v>No boarders</x:v>
      </x:c>
      <x:c r="L1521" s="43" t="str">
        <x:v>Does not have a sixth form</x:v>
      </x:c>
      <x:c r="M1521" s="43" t="n">
        <x:v>39</x:v>
      </x:c>
      <x:c r="N1521" s="43" t="str">
        <x:v>https://www.prudentiaeducation.co.uk</x:v>
      </x:c>
      <x:c r="O1521" s="43" t="str">
        <x:v>01514278111</x:v>
      </x:c>
      <x:c r="P1521" s="43" t="str"/>
      <x:c r="Q1521" s="43" t="str"/>
      <x:c r="R1521" s="43" t="str">
        <x:v>Queued for contact research</x:v>
      </x:c>
      <x:c r="S1521" s="43" t="str">
        <x:v>Not reviewed</x:v>
      </x:c>
      <x:c r="T1521" s="43" t="str">
        <x:v>Hold</x:v>
      </x:c>
      <x:c r="U1521" s="43" t="str">
        <x:v>No</x:v>
      </x:c>
      <x:c r="V1521" s="44"/>
      <x:c r="W1521" s="43" t="str"/>
      <x:c r="X1521" s="43" t="str"/>
      <x:c r="Y1521" s="43" t="str"/>
      <x:c r="Z1521" s="43" t="str">
        <x:v>https://www.get-information-schools.service.gov.uk/Downloads</x:v>
      </x:c>
    </x:row>
    <x:row r="1522">
      <x:c r="A1522" s="43" t="str">
        <x:v>UK independent</x:v>
      </x:c>
      <x:c r="B1522" s="43" t="str">
        <x:v>134587</x:v>
      </x:c>
      <x:c r="C1522" s="43" t="n">
        <x:f>IF(K1522="Boarding school",30,0)+IF(J1522&gt;=18,20,0)+IF(I1522&lt;=11,10,0)+IF(L1522="Has a sixth form",15,0)+IF(M1522&gt;=200,10,0)+IF(N1522&lt;&gt;"",10,0)</x:f>
        <x:v>10</x:v>
      </x:c>
      <x:c r="D1522" s="43" t="str">
        <x:f>IF(C1522&gt;=85,"A",IF(C1522&gt;=65,"B","C"))</x:f>
        <x:v>C</x:v>
      </x:c>
      <x:c r="E1522" s="43" t="str">
        <x:v>The Fountain School</x:v>
      </x:c>
      <x:c r="F1522" s="43" t="str">
        <x:v>Bradford</x:v>
      </x:c>
      <x:c r="G1522" s="43" t="str"/>
      <x:c r="H1522" s="43" t="str">
        <x:v>BD5 8BP</x:v>
      </x:c>
      <x:c r="I1522" s="43" t="n">
        <x:v>10</x:v>
      </x:c>
      <x:c r="J1522" s="43" t="n">
        <x:v>16</x:v>
      </x:c>
      <x:c r="K1522" s="43" t="str">
        <x:v>No boarders</x:v>
      </x:c>
      <x:c r="L1522" s="43" t="str">
        <x:v>Does not have a sixth form</x:v>
      </x:c>
      <x:c r="M1522" s="43" t="n">
        <x:v>39</x:v>
      </x:c>
      <x:c r="N1522" s="43" t="str"/>
      <x:c r="O1522" s="43" t="str">
        <x:v>01274735913</x:v>
      </x:c>
      <x:c r="P1522" s="43" t="str"/>
      <x:c r="Q1522" s="43" t="str"/>
      <x:c r="R1522" s="43" t="str">
        <x:v>Queued for contact research</x:v>
      </x:c>
      <x:c r="S1522" s="43" t="str">
        <x:v>Not reviewed</x:v>
      </x:c>
      <x:c r="T1522" s="43" t="str">
        <x:v>Hold</x:v>
      </x:c>
      <x:c r="U1522" s="43" t="str">
        <x:v>No</x:v>
      </x:c>
      <x:c r="V1522" s="44"/>
      <x:c r="W1522" s="43" t="str"/>
      <x:c r="X1522" s="43" t="str"/>
      <x:c r="Y1522" s="43" t="str"/>
      <x:c r="Z1522" s="43" t="str">
        <x:v>https://www.get-information-schools.service.gov.uk/Downloads</x:v>
      </x:c>
    </x:row>
    <x:row r="1523">
      <x:c r="A1523" s="43" t="str">
        <x:v>UK independent</x:v>
      </x:c>
      <x:c r="B1523" s="43" t="str">
        <x:v>152215</x:v>
      </x:c>
      <x:c r="C1523" s="43" t="n">
        <x:f>IF(K1523="Boarding school",30,0)+IF(J1523&gt;=18,20,0)+IF(I1523&lt;=11,10,0)+IF(L1523="Has a sixth form",15,0)+IF(M1523&gt;=200,10,0)+IF(N1523&lt;&gt;"",10,0)</x:f>
        <x:v>10</x:v>
      </x:c>
      <x:c r="D1523" s="43" t="str">
        <x:f>IF(C1523&gt;=85,"A",IF(C1523&gt;=65,"B","C"))</x:f>
        <x:v>C</x:v>
      </x:c>
      <x:c r="E1523" s="43" t="str">
        <x:v>Blackwater Academy Sandwell</x:v>
      </x:c>
      <x:c r="F1523" s="43" t="str">
        <x:v>Tipton</x:v>
      </x:c>
      <x:c r="G1523" s="43" t="str">
        <x:v>West Midlands</x:v>
      </x:c>
      <x:c r="H1523" s="43" t="str">
        <x:v>DY4 7NB</x:v>
      </x:c>
      <x:c r="I1523" s="43" t="n">
        <x:v>11</x:v>
      </x:c>
      <x:c r="J1523" s="43" t="n">
        <x:v>16</x:v>
      </x:c>
      <x:c r="K1523" s="43" t="str">
        <x:v>No boarders</x:v>
      </x:c>
      <x:c r="L1523" s="43" t="str">
        <x:v>Not applicable</x:v>
      </x:c>
      <x:c r="M1523" s="43" t="n">
        <x:v>38</x:v>
      </x:c>
      <x:c r="N1523" s="43" t="str"/>
      <x:c r="O1523" s="43" t="str">
        <x:v>01212855123</x:v>
      </x:c>
      <x:c r="P1523" s="43" t="str"/>
      <x:c r="Q1523" s="43" t="str"/>
      <x:c r="R1523" s="43" t="str">
        <x:v>Queued for contact research</x:v>
      </x:c>
      <x:c r="S1523" s="43" t="str">
        <x:v>Not reviewed</x:v>
      </x:c>
      <x:c r="T1523" s="43" t="str">
        <x:v>Hold</x:v>
      </x:c>
      <x:c r="U1523" s="43" t="str">
        <x:v>No</x:v>
      </x:c>
      <x:c r="V1523" s="44"/>
      <x:c r="W1523" s="43" t="str"/>
      <x:c r="X1523" s="43" t="str"/>
      <x:c r="Y1523" s="43" t="str"/>
      <x:c r="Z1523" s="43" t="str">
        <x:v>https://www.get-information-schools.service.gov.uk/Downloads</x:v>
      </x:c>
    </x:row>
    <x:row r="1524">
      <x:c r="A1524" s="43" t="str">
        <x:v>UK independent</x:v>
      </x:c>
      <x:c r="B1524" s="43" t="str">
        <x:v>142224</x:v>
      </x:c>
      <x:c r="C1524" s="43" t="n">
        <x:f>IF(K1524="Boarding school",30,0)+IF(J1524&gt;=18,20,0)+IF(I1524&lt;=11,10,0)+IF(L1524="Has a sixth form",15,0)+IF(M1524&gt;=200,10,0)+IF(N1524&lt;&gt;"",10,0)</x:f>
        <x:v>10</x:v>
      </x:c>
      <x:c r="D1524" s="43" t="str">
        <x:f>IF(C1524&gt;=85,"A",IF(C1524&gt;=65,"B","C"))</x:f>
        <x:v>C</x:v>
      </x:c>
      <x:c r="E1524" s="43" t="str">
        <x:v>Manchester Vocational and Learning Academy</x:v>
      </x:c>
      <x:c r="F1524" s="43" t="str">
        <x:v>Manchester</x:v>
      </x:c>
      <x:c r="G1524" s="43" t="str"/>
      <x:c r="H1524" s="43" t="str">
        <x:v>M19 2EQ</x:v>
      </x:c>
      <x:c r="I1524" s="43" t="n">
        <x:v>11</x:v>
      </x:c>
      <x:c r="J1524" s="43" t="n">
        <x:v>16</x:v>
      </x:c>
      <x:c r="K1524" s="43" t="str">
        <x:v>No boarders</x:v>
      </x:c>
      <x:c r="L1524" s="43" t="str">
        <x:v>Does not have a sixth form</x:v>
      </x:c>
      <x:c r="M1524" s="43" t="n">
        <x:v>35</x:v>
      </x:c>
      <x:c r="N1524" s="43" t="str"/>
      <x:c r="O1524" s="43" t="str">
        <x:v>01612250567</x:v>
      </x:c>
      <x:c r="P1524" s="43" t="str"/>
      <x:c r="Q1524" s="43" t="str"/>
      <x:c r="R1524" s="43" t="str">
        <x:v>Queued for contact research</x:v>
      </x:c>
      <x:c r="S1524" s="43" t="str">
        <x:v>Not reviewed</x:v>
      </x:c>
      <x:c r="T1524" s="43" t="str">
        <x:v>Hold</x:v>
      </x:c>
      <x:c r="U1524" s="43" t="str">
        <x:v>No</x:v>
      </x:c>
      <x:c r="V1524" s="44"/>
      <x:c r="W1524" s="43" t="str"/>
      <x:c r="X1524" s="43" t="str"/>
      <x:c r="Y1524" s="43" t="str"/>
      <x:c r="Z1524" s="43" t="str">
        <x:v>https://www.get-information-schools.service.gov.uk/Downloads</x:v>
      </x:c>
    </x:row>
    <x:row r="1525">
      <x:c r="A1525" s="43" t="str">
        <x:v>UK independent</x:v>
      </x:c>
      <x:c r="B1525" s="43" t="str">
        <x:v>141859</x:v>
      </x:c>
      <x:c r="C1525" s="43" t="n">
        <x:f>IF(K1525="Boarding school",30,0)+IF(J1525&gt;=18,20,0)+IF(I1525&lt;=11,10,0)+IF(L1525="Has a sixth form",15,0)+IF(M1525&gt;=200,10,0)+IF(N1525&lt;&gt;"",10,0)</x:f>
        <x:v>10</x:v>
      </x:c>
      <x:c r="D1525" s="43" t="str">
        <x:f>IF(C1525&gt;=85,"A",IF(C1525&gt;=65,"B","C"))</x:f>
        <x:v>C</x:v>
      </x:c>
      <x:c r="E1525" s="43" t="str">
        <x:v>Footsteps Trust</x:v>
      </x:c>
      <x:c r="F1525" s="43" t="str">
        <x:v>London</x:v>
      </x:c>
      <x:c r="G1525" s="43" t="str"/>
      <x:c r="H1525" s="43" t="str">
        <x:v>N22 5QW</x:v>
      </x:c>
      <x:c r="I1525" s="43" t="n">
        <x:v>12</x:v>
      </x:c>
      <x:c r="J1525" s="43" t="n">
        <x:v>16</x:v>
      </x:c>
      <x:c r="K1525" s="43" t="str">
        <x:v>No boarders</x:v>
      </x:c>
      <x:c r="L1525" s="43" t="str">
        <x:v>Does not have a sixth form</x:v>
      </x:c>
      <x:c r="M1525" s="43" t="n">
        <x:v>34</x:v>
      </x:c>
      <x:c r="N1525" s="43" t="str">
        <x:v>https://Footstepstrust.com</x:v>
      </x:c>
      <x:c r="O1525" s="43" t="str">
        <x:v>02088814050</x:v>
      </x:c>
      <x:c r="P1525" s="43" t="str"/>
      <x:c r="Q1525" s="43" t="str"/>
      <x:c r="R1525" s="43" t="str">
        <x:v>Queued for contact research</x:v>
      </x:c>
      <x:c r="S1525" s="43" t="str">
        <x:v>Not reviewed</x:v>
      </x:c>
      <x:c r="T1525" s="43" t="str">
        <x:v>Hold</x:v>
      </x:c>
      <x:c r="U1525" s="43" t="str">
        <x:v>No</x:v>
      </x:c>
      <x:c r="V1525" s="44"/>
      <x:c r="W1525" s="43" t="str"/>
      <x:c r="X1525" s="43" t="str"/>
      <x:c r="Y1525" s="43" t="str"/>
      <x:c r="Z1525" s="43" t="str">
        <x:v>https://www.get-information-schools.service.gov.uk/Downloads</x:v>
      </x:c>
    </x:row>
    <x:row r="1526">
      <x:c r="A1526" s="43" t="str">
        <x:v>UK independent</x:v>
      </x:c>
      <x:c r="B1526" s="43" t="str">
        <x:v>151474</x:v>
      </x:c>
      <x:c r="C1526" s="43" t="n">
        <x:f>IF(K1526="Boarding school",30,0)+IF(J1526&gt;=18,20,0)+IF(I1526&lt;=11,10,0)+IF(L1526="Has a sixth form",15,0)+IF(M1526&gt;=200,10,0)+IF(N1526&lt;&gt;"",10,0)</x:f>
        <x:v>10</x:v>
      </x:c>
      <x:c r="D1526" s="43" t="str">
        <x:f>IF(C1526&gt;=85,"A",IF(C1526&gt;=65,"B","C"))</x:f>
        <x:v>C</x:v>
      </x:c>
      <x:c r="E1526" s="43" t="str">
        <x:v>Apex Secondary School for Girls</x:v>
      </x:c>
      <x:c r="F1526" s="43" t="str">
        <x:v>Ilford</x:v>
      </x:c>
      <x:c r="G1526" s="43" t="str"/>
      <x:c r="H1526" s="43" t="str">
        <x:v>IG1 4UA</x:v>
      </x:c>
      <x:c r="I1526" s="43" t="n">
        <x:v>11</x:v>
      </x:c>
      <x:c r="J1526" s="43" t="n">
        <x:v>16</x:v>
      </x:c>
      <x:c r="K1526" s="43" t="str"/>
      <x:c r="L1526" s="43" t="str">
        <x:v>Does not have a sixth form</x:v>
      </x:c>
      <x:c r="M1526" s="43" t="n">
        <x:v>33</x:v>
      </x:c>
      <x:c r="N1526" s="43" t="str"/>
      <x:c r="O1526" s="43" t="str">
        <x:v>02085541208</x:v>
      </x:c>
      <x:c r="P1526" s="43" t="str"/>
      <x:c r="Q1526" s="43" t="str"/>
      <x:c r="R1526" s="43" t="str">
        <x:v>Queued for contact research</x:v>
      </x:c>
      <x:c r="S1526" s="43" t="str">
        <x:v>Not reviewed</x:v>
      </x:c>
      <x:c r="T1526" s="43" t="str">
        <x:v>Hold</x:v>
      </x:c>
      <x:c r="U1526" s="43" t="str">
        <x:v>No</x:v>
      </x:c>
      <x:c r="V1526" s="44"/>
      <x:c r="W1526" s="43" t="str"/>
      <x:c r="X1526" s="43" t="str"/>
      <x:c r="Y1526" s="43" t="str"/>
      <x:c r="Z1526" s="43" t="str">
        <x:v>https://www.get-information-schools.service.gov.uk/Downloads</x:v>
      </x:c>
    </x:row>
    <x:row r="1527">
      <x:c r="A1527" s="43" t="str">
        <x:v>UK independent</x:v>
      </x:c>
      <x:c r="B1527" s="43" t="str">
        <x:v>137892</x:v>
      </x:c>
      <x:c r="C1527" s="43" t="n">
        <x:f>IF(K1527="Boarding school",30,0)+IF(J1527&gt;=18,20,0)+IF(I1527&lt;=11,10,0)+IF(L1527="Has a sixth form",15,0)+IF(M1527&gt;=200,10,0)+IF(N1527&lt;&gt;"",10,0)</x:f>
        <x:v>10</x:v>
      </x:c>
      <x:c r="D1527" s="43" t="str">
        <x:f>IF(C1527&gt;=85,"A",IF(C1527&gt;=65,"B","C"))</x:f>
        <x:v>C</x:v>
      </x:c>
      <x:c r="E1527" s="43" t="str">
        <x:v>Phoenix Independent School</x:v>
      </x:c>
      <x:c r="F1527" s="43" t="str">
        <x:v>Stoke-on-Trent</x:v>
      </x:c>
      <x:c r="G1527" s="43" t="str">
        <x:v>Staffordshire</x:v>
      </x:c>
      <x:c r="H1527" s="43" t="str">
        <x:v>ST1 4AF</x:v>
      </x:c>
      <x:c r="I1527" s="43" t="n">
        <x:v>14</x:v>
      </x:c>
      <x:c r="J1527" s="43" t="n">
        <x:v>16</x:v>
      </x:c>
      <x:c r="K1527" s="43" t="str">
        <x:v>No boarders</x:v>
      </x:c>
      <x:c r="L1527" s="43" t="str">
        <x:v>Does not have a sixth form</x:v>
      </x:c>
      <x:c r="M1527" s="43" t="n">
        <x:v>32</x:v>
      </x:c>
      <x:c r="N1527" s="43" t="str">
        <x:v>https://www.phoenixlearning.co.uk</x:v>
      </x:c>
      <x:c r="O1527" s="43" t="str">
        <x:v>01782922306</x:v>
      </x:c>
      <x:c r="P1527" s="43" t="str"/>
      <x:c r="Q1527" s="43" t="str"/>
      <x:c r="R1527" s="43" t="str">
        <x:v>Queued for contact research</x:v>
      </x:c>
      <x:c r="S1527" s="43" t="str">
        <x:v>Not reviewed</x:v>
      </x:c>
      <x:c r="T1527" s="43" t="str">
        <x:v>Hold</x:v>
      </x:c>
      <x:c r="U1527" s="43" t="str">
        <x:v>No</x:v>
      </x:c>
      <x:c r="V1527" s="44"/>
      <x:c r="W1527" s="43" t="str"/>
      <x:c r="X1527" s="43" t="str"/>
      <x:c r="Y1527" s="43" t="str"/>
      <x:c r="Z1527" s="43" t="str">
        <x:v>https://www.get-information-schools.service.gov.uk/Downloads</x:v>
      </x:c>
    </x:row>
    <x:row r="1528">
      <x:c r="A1528" s="43" t="str">
        <x:v>UK independent</x:v>
      </x:c>
      <x:c r="B1528" s="43" t="str">
        <x:v>143036</x:v>
      </x:c>
      <x:c r="C1528" s="43" t="n">
        <x:f>IF(K1528="Boarding school",30,0)+IF(J1528&gt;=18,20,0)+IF(I1528&lt;=11,10,0)+IF(L1528="Has a sixth form",15,0)+IF(M1528&gt;=200,10,0)+IF(N1528&lt;&gt;"",10,0)</x:f>
        <x:v>10</x:v>
      </x:c>
      <x:c r="D1528" s="43" t="str">
        <x:f>IF(C1528&gt;=85,"A",IF(C1528&gt;=65,"B","C"))</x:f>
        <x:v>C</x:v>
      </x:c>
      <x:c r="E1528" s="43" t="str">
        <x:v>Alternative Centre of Education</x:v>
      </x:c>
      <x:c r="F1528" s="43" t="str">
        <x:v>London</x:v>
      </x:c>
      <x:c r="G1528" s="43" t="str"/>
      <x:c r="H1528" s="43" t="str">
        <x:v>N9 0TZ</x:v>
      </x:c>
      <x:c r="I1528" s="43" t="n">
        <x:v>7</x:v>
      </x:c>
      <x:c r="J1528" s="43" t="n">
        <x:v>16</x:v>
      </x:c>
      <x:c r="K1528" s="43" t="str">
        <x:v>No boarders</x:v>
      </x:c>
      <x:c r="L1528" s="43" t="str">
        <x:v>Does not have a sixth form</x:v>
      </x:c>
      <x:c r="M1528" s="43" t="n">
        <x:v>31</x:v>
      </x:c>
      <x:c r="N1528" s="43" t="str"/>
      <x:c r="O1528" s="43" t="str">
        <x:v>02037935302</x:v>
      </x:c>
      <x:c r="P1528" s="43" t="str"/>
      <x:c r="Q1528" s="43" t="str"/>
      <x:c r="R1528" s="43" t="str">
        <x:v>Queued for contact research</x:v>
      </x:c>
      <x:c r="S1528" s="43" t="str">
        <x:v>Not reviewed</x:v>
      </x:c>
      <x:c r="T1528" s="43" t="str">
        <x:v>Hold</x:v>
      </x:c>
      <x:c r="U1528" s="43" t="str">
        <x:v>No</x:v>
      </x:c>
      <x:c r="V1528" s="44"/>
      <x:c r="W1528" s="43" t="str"/>
      <x:c r="X1528" s="43" t="str"/>
      <x:c r="Y1528" s="43" t="str"/>
      <x:c r="Z1528" s="43" t="str">
        <x:v>https://www.get-information-schools.service.gov.uk/Downloads</x:v>
      </x:c>
    </x:row>
    <x:row r="1529">
      <x:c r="A1529" s="43" t="str">
        <x:v>UK independent</x:v>
      </x:c>
      <x:c r="B1529" s="43" t="str">
        <x:v>145192</x:v>
      </x:c>
      <x:c r="C1529" s="43" t="n">
        <x:f>IF(K1529="Boarding school",30,0)+IF(J1529&gt;=18,20,0)+IF(I1529&lt;=11,10,0)+IF(L1529="Has a sixth form",15,0)+IF(M1529&gt;=200,10,0)+IF(N1529&lt;&gt;"",10,0)</x:f>
        <x:v>10</x:v>
      </x:c>
      <x:c r="D1529" s="43" t="str">
        <x:f>IF(C1529&gt;=85,"A",IF(C1529&gt;=65,"B","C"))</x:f>
        <x:v>C</x:v>
      </x:c>
      <x:c r="E1529" s="43" t="str">
        <x:v>Bep Academy</x:v>
      </x:c>
      <x:c r="F1529" s="43" t="str"/>
      <x:c r="G1529" s="43" t="str"/>
      <x:c r="H1529" s="43" t="str">
        <x:v>RM1 3LP</x:v>
      </x:c>
      <x:c r="I1529" s="43" t="n">
        <x:v>13</x:v>
      </x:c>
      <x:c r="J1529" s="43" t="n">
        <x:v>16</x:v>
      </x:c>
      <x:c r="K1529" s="43" t="str">
        <x:v>No boarders</x:v>
      </x:c>
      <x:c r="L1529" s="43" t="str">
        <x:v>Does not have a sixth form</x:v>
      </x:c>
      <x:c r="M1529" s="43" t="n">
        <x:v>31</x:v>
      </x:c>
      <x:c r="N1529" s="43" t="str">
        <x:v>https://www.bepgroup.net</x:v>
      </x:c>
      <x:c r="O1529" s="43" t="str">
        <x:v>01708436440</x:v>
      </x:c>
      <x:c r="P1529" s="43" t="str"/>
      <x:c r="Q1529" s="43" t="str"/>
      <x:c r="R1529" s="43" t="str">
        <x:v>Queued for contact research</x:v>
      </x:c>
      <x:c r="S1529" s="43" t="str">
        <x:v>Not reviewed</x:v>
      </x:c>
      <x:c r="T1529" s="43" t="str">
        <x:v>Hold</x:v>
      </x:c>
      <x:c r="U1529" s="43" t="str">
        <x:v>No</x:v>
      </x:c>
      <x:c r="V1529" s="44"/>
      <x:c r="W1529" s="43" t="str"/>
      <x:c r="X1529" s="43" t="str"/>
      <x:c r="Y1529" s="43" t="str"/>
      <x:c r="Z1529" s="43" t="str">
        <x:v>https://www.get-information-schools.service.gov.uk/Downloads</x:v>
      </x:c>
    </x:row>
    <x:row r="1530">
      <x:c r="A1530" s="43" t="str">
        <x:v>UK independent</x:v>
      </x:c>
      <x:c r="B1530" s="43" t="str">
        <x:v>142930</x:v>
      </x:c>
      <x:c r="C1530" s="43" t="n">
        <x:f>IF(K1530="Boarding school",30,0)+IF(J1530&gt;=18,20,0)+IF(I1530&lt;=11,10,0)+IF(L1530="Has a sixth form",15,0)+IF(M1530&gt;=200,10,0)+IF(N1530&lt;&gt;"",10,0)</x:f>
        <x:v>10</x:v>
      </x:c>
      <x:c r="D1530" s="43" t="str">
        <x:f>IF(C1530&gt;=85,"A",IF(C1530&gt;=65,"B","C"))</x:f>
        <x:v>C</x:v>
      </x:c>
      <x:c r="E1530" s="43" t="str">
        <x:v>FUEL</x:v>
      </x:c>
      <x:c r="F1530" s="43" t="str">
        <x:v>Nottingham</x:v>
      </x:c>
      <x:c r="G1530" s="43" t="str"/>
      <x:c r="H1530" s="43" t="str">
        <x:v>NG5 1DX</x:v>
      </x:c>
      <x:c r="I1530" s="43" t="n">
        <x:v>13</x:v>
      </x:c>
      <x:c r="J1530" s="43" t="n">
        <x:v>16</x:v>
      </x:c>
      <x:c r="K1530" s="43" t="str">
        <x:v>No boarders</x:v>
      </x:c>
      <x:c r="L1530" s="43" t="str">
        <x:v>Does not have a sixth form</x:v>
      </x:c>
      <x:c r="M1530" s="43" t="n">
        <x:v>30</x:v>
      </x:c>
      <x:c r="N1530" s="43" t="str">
        <x:v>https://www.fueltd.co.uk</x:v>
      </x:c>
      <x:c r="O1530" s="43" t="str">
        <x:v>441159609139</x:v>
      </x:c>
      <x:c r="P1530" s="43" t="str"/>
      <x:c r="Q1530" s="43" t="str"/>
      <x:c r="R1530" s="43" t="str">
        <x:v>Queued for contact research</x:v>
      </x:c>
      <x:c r="S1530" s="43" t="str">
        <x:v>Not reviewed</x:v>
      </x:c>
      <x:c r="T1530" s="43" t="str">
        <x:v>Hold</x:v>
      </x:c>
      <x:c r="U1530" s="43" t="str">
        <x:v>No</x:v>
      </x:c>
      <x:c r="V1530" s="44"/>
      <x:c r="W1530" s="43" t="str"/>
      <x:c r="X1530" s="43" t="str"/>
      <x:c r="Y1530" s="43" t="str"/>
      <x:c r="Z1530" s="43" t="str">
        <x:v>https://www.get-information-schools.service.gov.uk/Downloads</x:v>
      </x:c>
    </x:row>
    <x:row r="1531">
      <x:c r="A1531" s="43" t="str">
        <x:v>UK independent</x:v>
      </x:c>
      <x:c r="B1531" s="43" t="str">
        <x:v>121763</x:v>
      </x:c>
      <x:c r="C1531" s="43" t="n">
        <x:f>IF(K1531="Boarding school",30,0)+IF(J1531&gt;=18,20,0)+IF(I1531&lt;=11,10,0)+IF(L1531="Has a sixth form",15,0)+IF(M1531&gt;=200,10,0)+IF(N1531&lt;&gt;"",10,0)</x:f>
        <x:v>10</x:v>
      </x:c>
      <x:c r="D1531" s="43" t="str">
        <x:f>IF(C1531&gt;=85,"A",IF(C1531&gt;=65,"B","C"))</x:f>
        <x:v>C</x:v>
      </x:c>
      <x:c r="E1531" s="43" t="str">
        <x:v>Wharfedale Montessori School</x:v>
      </x:c>
      <x:c r="F1531" s="43" t="str">
        <x:v>Skipton</x:v>
      </x:c>
      <x:c r="G1531" s="43" t="str">
        <x:v>North Yorkshire</x:v>
      </x:c>
      <x:c r="H1531" s="43" t="str">
        <x:v>BD23 6AN</x:v>
      </x:c>
      <x:c r="I1531" s="43" t="n">
        <x:v>2</x:v>
      </x:c>
      <x:c r="J1531" s="43" t="n">
        <x:v>11</x:v>
      </x:c>
      <x:c r="K1531" s="43" t="str">
        <x:v>No boarders</x:v>
      </x:c>
      <x:c r="L1531" s="43" t="str">
        <x:v>Does not have a sixth form</x:v>
      </x:c>
      <x:c r="M1531" s="43" t="n">
        <x:v>28</x:v>
      </x:c>
      <x:c r="N1531" s="43" t="str"/>
      <x:c r="O1531" s="43" t="str">
        <x:v>01756710452</x:v>
      </x:c>
      <x:c r="P1531" s="43" t="str"/>
      <x:c r="Q1531" s="43" t="str"/>
      <x:c r="R1531" s="43" t="str">
        <x:v>Queued for contact research</x:v>
      </x:c>
      <x:c r="S1531" s="43" t="str">
        <x:v>Not reviewed</x:v>
      </x:c>
      <x:c r="T1531" s="43" t="str">
        <x:v>Hold</x:v>
      </x:c>
      <x:c r="U1531" s="43" t="str">
        <x:v>No</x:v>
      </x:c>
      <x:c r="V1531" s="44"/>
      <x:c r="W1531" s="43" t="str"/>
      <x:c r="X1531" s="43" t="str"/>
      <x:c r="Y1531" s="43" t="str"/>
      <x:c r="Z1531" s="43" t="str">
        <x:v>https://www.get-information-schools.service.gov.uk/Downloads</x:v>
      </x:c>
    </x:row>
    <x:row r="1532">
      <x:c r="A1532" s="43" t="str">
        <x:v>UK independent</x:v>
      </x:c>
      <x:c r="B1532" s="43" t="str">
        <x:v>152162</x:v>
      </x:c>
      <x:c r="C1532" s="43" t="n">
        <x:f>IF(K1532="Boarding school",30,0)+IF(J1532&gt;=18,20,0)+IF(I1532&lt;=11,10,0)+IF(L1532="Has a sixth form",15,0)+IF(M1532&gt;=200,10,0)+IF(N1532&lt;&gt;"",10,0)</x:f>
        <x:v>10</x:v>
      </x:c>
      <x:c r="D1532" s="43" t="str">
        <x:f>IF(C1532&gt;=85,"A",IF(C1532&gt;=65,"B","C"))</x:f>
        <x:v>C</x:v>
      </x:c>
      <x:c r="E1532" s="43" t="str">
        <x:v>Avicenna School</x:v>
      </x:c>
      <x:c r="F1532" s="43" t="str">
        <x:v>Leicester</x:v>
      </x:c>
      <x:c r="G1532" s="43" t="str"/>
      <x:c r="H1532" s="43" t="str">
        <x:v>LE1 7RA</x:v>
      </x:c>
      <x:c r="I1532" s="43" t="n">
        <x:v>11</x:v>
      </x:c>
      <x:c r="J1532" s="43" t="n">
        <x:v>16</x:v>
      </x:c>
      <x:c r="K1532" s="43" t="str">
        <x:v>No boarders</x:v>
      </x:c>
      <x:c r="L1532" s="43" t="str">
        <x:v>Not applicable</x:v>
      </x:c>
      <x:c r="M1532" s="43" t="n">
        <x:v>27</x:v>
      </x:c>
      <x:c r="N1532" s="43" t="str"/>
      <x:c r="O1532" s="43" t="str">
        <x:v>01163032644</x:v>
      </x:c>
      <x:c r="P1532" s="43" t="str"/>
      <x:c r="Q1532" s="43" t="str"/>
      <x:c r="R1532" s="43" t="str">
        <x:v>Queued for contact research</x:v>
      </x:c>
      <x:c r="S1532" s="43" t="str">
        <x:v>Not reviewed</x:v>
      </x:c>
      <x:c r="T1532" s="43" t="str">
        <x:v>Hold</x:v>
      </x:c>
      <x:c r="U1532" s="43" t="str">
        <x:v>No</x:v>
      </x:c>
      <x:c r="V1532" s="44"/>
      <x:c r="W1532" s="43" t="str"/>
      <x:c r="X1532" s="43" t="str"/>
      <x:c r="Y1532" s="43" t="str"/>
      <x:c r="Z1532" s="43" t="str">
        <x:v>https://www.get-information-schools.service.gov.uk/Downloads</x:v>
      </x:c>
    </x:row>
    <x:row r="1533">
      <x:c r="A1533" s="43" t="str">
        <x:v>UK independent</x:v>
      </x:c>
      <x:c r="B1533" s="43" t="str">
        <x:v>148646</x:v>
      </x:c>
      <x:c r="C1533" s="43" t="n">
        <x:f>IF(K1533="Boarding school",30,0)+IF(J1533&gt;=18,20,0)+IF(I1533&lt;=11,10,0)+IF(L1533="Has a sixth form",15,0)+IF(M1533&gt;=200,10,0)+IF(N1533&lt;&gt;"",10,0)</x:f>
        <x:v>10</x:v>
      </x:c>
      <x:c r="D1533" s="43" t="str">
        <x:f>IF(C1533&gt;=85,"A",IF(C1533&gt;=65,"B","C"))</x:f>
        <x:v>C</x:v>
      </x:c>
      <x:c r="E1533" s="43" t="str">
        <x:v>BFC School</x:v>
      </x:c>
      <x:c r="F1533" s="43" t="str">
        <x:v>Blackpool</x:v>
      </x:c>
      <x:c r="G1533" s="43" t="str">
        <x:v>Lancashire</x:v>
      </x:c>
      <x:c r="H1533" s="43" t="str">
        <x:v>FY1 6JJ</x:v>
      </x:c>
      <x:c r="I1533" s="43" t="n">
        <x:v>14</x:v>
      </x:c>
      <x:c r="J1533" s="43" t="n">
        <x:v>16</x:v>
      </x:c>
      <x:c r="K1533" s="43" t="str">
        <x:v>No boarders</x:v>
      </x:c>
      <x:c r="L1533" s="43" t="str">
        <x:v>Does not have a sixth form</x:v>
      </x:c>
      <x:c r="M1533" s="43" t="n">
        <x:v>24</x:v>
      </x:c>
      <x:c r="N1533" s="43" t="str">
        <x:v>https://BFCCT.CO.UK</x:v>
      </x:c>
      <x:c r="O1533" s="43" t="str">
        <x:v>01253348691</x:v>
      </x:c>
      <x:c r="P1533" s="43" t="str"/>
      <x:c r="Q1533" s="43" t="str"/>
      <x:c r="R1533" s="43" t="str">
        <x:v>Queued for contact research</x:v>
      </x:c>
      <x:c r="S1533" s="43" t="str">
        <x:v>Not reviewed</x:v>
      </x:c>
      <x:c r="T1533" s="43" t="str">
        <x:v>Hold</x:v>
      </x:c>
      <x:c r="U1533" s="43" t="str">
        <x:v>No</x:v>
      </x:c>
      <x:c r="V1533" s="44"/>
      <x:c r="W1533" s="43" t="str"/>
      <x:c r="X1533" s="43" t="str"/>
      <x:c r="Y1533" s="43" t="str"/>
      <x:c r="Z1533" s="43" t="str">
        <x:v>https://www.get-information-schools.service.gov.uk/Downloads</x:v>
      </x:c>
    </x:row>
    <x:row r="1534">
      <x:c r="A1534" s="43" t="str">
        <x:v>UK independent</x:v>
      </x:c>
      <x:c r="B1534" s="43" t="str">
        <x:v>148471</x:v>
      </x:c>
      <x:c r="C1534" s="43" t="n">
        <x:f>IF(K1534="Boarding school",30,0)+IF(J1534&gt;=18,20,0)+IF(I1534&lt;=11,10,0)+IF(L1534="Has a sixth form",15,0)+IF(M1534&gt;=200,10,0)+IF(N1534&lt;&gt;"",10,0)</x:f>
        <x:v>10</x:v>
      </x:c>
      <x:c r="D1534" s="43" t="str">
        <x:f>IF(C1534&gt;=85,"A",IF(C1534&gt;=65,"B","C"))</x:f>
        <x:v>C</x:v>
      </x:c>
      <x:c r="E1534" s="43" t="str">
        <x:v>Nazene Danielle School of Performing Arts</x:v>
      </x:c>
      <x:c r="F1534" s="43" t="str">
        <x:v>Liverpool</x:v>
      </x:c>
      <x:c r="G1534" s="43" t="str"/>
      <x:c r="H1534" s="43" t="str">
        <x:v>L3 1BY</x:v>
      </x:c>
      <x:c r="I1534" s="43" t="n">
        <x:v>6</x:v>
      </x:c>
      <x:c r="J1534" s="43" t="n">
        <x:v>16</x:v>
      </x:c>
      <x:c r="K1534" s="43" t="str">
        <x:v>No boarders</x:v>
      </x:c>
      <x:c r="L1534" s="43" t="str">
        <x:v>Does not have a sixth form</x:v>
      </x:c>
      <x:c r="M1534" s="43" t="n">
        <x:v>24</x:v>
      </x:c>
      <x:c r="N1534" s="43" t="str"/>
      <x:c r="O1534" s="43" t="str">
        <x:v>07701049837</x:v>
      </x:c>
      <x:c r="P1534" s="43" t="str"/>
      <x:c r="Q1534" s="43" t="str"/>
      <x:c r="R1534" s="43" t="str">
        <x:v>Queued for contact research</x:v>
      </x:c>
      <x:c r="S1534" s="43" t="str">
        <x:v>Not reviewed</x:v>
      </x:c>
      <x:c r="T1534" s="43" t="str">
        <x:v>Hold</x:v>
      </x:c>
      <x:c r="U1534" s="43" t="str">
        <x:v>No</x:v>
      </x:c>
      <x:c r="V1534" s="44"/>
      <x:c r="W1534" s="43" t="str"/>
      <x:c r="X1534" s="43" t="str"/>
      <x:c r="Y1534" s="43" t="str"/>
      <x:c r="Z1534" s="43" t="str">
        <x:v>https://www.get-information-schools.service.gov.uk/Downloads</x:v>
      </x:c>
    </x:row>
    <x:row r="1535">
      <x:c r="A1535" s="43" t="str">
        <x:v>UK independent</x:v>
      </x:c>
      <x:c r="B1535" s="43" t="str">
        <x:v>142115</x:v>
      </x:c>
      <x:c r="C1535" s="43" t="n">
        <x:f>IF(K1535="Boarding school",30,0)+IF(J1535&gt;=18,20,0)+IF(I1535&lt;=11,10,0)+IF(L1535="Has a sixth form",15,0)+IF(M1535&gt;=200,10,0)+IF(N1535&lt;&gt;"",10,0)</x:f>
        <x:v>10</x:v>
      </x:c>
      <x:c r="D1535" s="43" t="str">
        <x:f>IF(C1535&gt;=85,"A",IF(C1535&gt;=65,"B","C"))</x:f>
        <x:v>C</x:v>
      </x:c>
      <x:c r="E1535" s="43" t="str">
        <x:v>Oscott Academy</x:v>
      </x:c>
      <x:c r="F1535" s="43" t="str">
        <x:v>Birmingham</x:v>
      </x:c>
      <x:c r="G1535" s="43" t="str">
        <x:v>West Midlands</x:v>
      </x:c>
      <x:c r="H1535" s="43" t="str">
        <x:v>B23 5AP</x:v>
      </x:c>
      <x:c r="I1535" s="43" t="n">
        <x:v>14</x:v>
      </x:c>
      <x:c r="J1535" s="43" t="n">
        <x:v>16</x:v>
      </x:c>
      <x:c r="K1535" s="43" t="str">
        <x:v>No boarders</x:v>
      </x:c>
      <x:c r="L1535" s="43" t="str">
        <x:v>Does not have a sixth form</x:v>
      </x:c>
      <x:c r="M1535" s="43" t="n">
        <x:v>20</x:v>
      </x:c>
      <x:c r="N1535" s="43" t="str">
        <x:v>https://www.oscottacademy.co.uk</x:v>
      </x:c>
      <x:c r="O1535" s="43" t="str">
        <x:v>01214482565</x:v>
      </x:c>
      <x:c r="P1535" s="43" t="str"/>
      <x:c r="Q1535" s="43" t="str"/>
      <x:c r="R1535" s="43" t="str">
        <x:v>Queued for contact research</x:v>
      </x:c>
      <x:c r="S1535" s="43" t="str">
        <x:v>Not reviewed</x:v>
      </x:c>
      <x:c r="T1535" s="43" t="str">
        <x:v>Hold</x:v>
      </x:c>
      <x:c r="U1535" s="43" t="str">
        <x:v>No</x:v>
      </x:c>
      <x:c r="V1535" s="44"/>
      <x:c r="W1535" s="43" t="str"/>
      <x:c r="X1535" s="43" t="str"/>
      <x:c r="Y1535" s="43" t="str"/>
      <x:c r="Z1535" s="43" t="str">
        <x:v>https://www.get-information-schools.service.gov.uk/Downloads</x:v>
      </x:c>
    </x:row>
    <x:row r="1536">
      <x:c r="A1536" s="43" t="str">
        <x:v>UK independent</x:v>
      </x:c>
      <x:c r="B1536" s="43" t="str">
        <x:v>148568</x:v>
      </x:c>
      <x:c r="C1536" s="43" t="n">
        <x:f>IF(K1536="Boarding school",30,0)+IF(J1536&gt;=18,20,0)+IF(I1536&lt;=11,10,0)+IF(L1536="Has a sixth form",15,0)+IF(M1536&gt;=200,10,0)+IF(N1536&lt;&gt;"",10,0)</x:f>
        <x:v>10</x:v>
      </x:c>
      <x:c r="D1536" s="43" t="str">
        <x:f>IF(C1536&gt;=85,"A",IF(C1536&gt;=65,"B","C"))</x:f>
        <x:v>C</x:v>
      </x:c>
      <x:c r="E1536" s="43" t="str">
        <x:v>Tower Learning Centre Independent School</x:v>
      </x:c>
      <x:c r="F1536" s="43" t="str"/>
      <x:c r="G1536" s="43" t="str"/>
      <x:c r="H1536" s="43" t="str">
        <x:v>FY1 3QE</x:v>
      </x:c>
      <x:c r="I1536" s="43" t="n">
        <x:v>14</x:v>
      </x:c>
      <x:c r="J1536" s="43" t="n">
        <x:v>16</x:v>
      </x:c>
      <x:c r="K1536" s="43" t="str">
        <x:v>No boarders</x:v>
      </x:c>
      <x:c r="L1536" s="43" t="str">
        <x:v>Does not have a sixth form</x:v>
      </x:c>
      <x:c r="M1536" s="43" t="n">
        <x:v>19</x:v>
      </x:c>
      <x:c r="N1536" s="43" t="str">
        <x:v>https://www.tower-learning.co.uk</x:v>
      </x:c>
      <x:c r="O1536" s="43" t="str">
        <x:v>01253290949</x:v>
      </x:c>
      <x:c r="P1536" s="43" t="str"/>
      <x:c r="Q1536" s="43" t="str"/>
      <x:c r="R1536" s="43" t="str">
        <x:v>Queued for contact research</x:v>
      </x:c>
      <x:c r="S1536" s="43" t="str">
        <x:v>Not reviewed</x:v>
      </x:c>
      <x:c r="T1536" s="43" t="str">
        <x:v>Hold</x:v>
      </x:c>
      <x:c r="U1536" s="43" t="str">
        <x:v>No</x:v>
      </x:c>
      <x:c r="V1536" s="44"/>
      <x:c r="W1536" s="43" t="str"/>
      <x:c r="X1536" s="43" t="str"/>
      <x:c r="Y1536" s="43" t="str"/>
      <x:c r="Z1536" s="43" t="str">
        <x:v>https://www.get-information-schools.service.gov.uk/Downloads</x:v>
      </x:c>
    </x:row>
    <x:row r="1537">
      <x:c r="A1537" s="43" t="str">
        <x:v>UK independent</x:v>
      </x:c>
      <x:c r="B1537" s="43" t="str">
        <x:v>144818</x:v>
      </x:c>
      <x:c r="C1537" s="43" t="n">
        <x:f>IF(K1537="Boarding school",30,0)+IF(J1537&gt;=18,20,0)+IF(I1537&lt;=11,10,0)+IF(L1537="Has a sixth form",15,0)+IF(M1537&gt;=200,10,0)+IF(N1537&lt;&gt;"",10,0)</x:f>
        <x:v>10</x:v>
      </x:c>
      <x:c r="D1537" s="43" t="str">
        <x:f>IF(C1537&gt;=85,"A",IF(C1537&gt;=65,"B","C"))</x:f>
        <x:v>C</x:v>
      </x:c>
      <x:c r="E1537" s="43" t="str">
        <x:v>Open Box Education Centre</x:v>
      </x:c>
      <x:c r="F1537" s="43" t="str">
        <x:v>Essex</x:v>
      </x:c>
      <x:c r="G1537" s="43" t="str"/>
      <x:c r="H1537" s="43" t="str">
        <x:v>CM16 5DN</x:v>
      </x:c>
      <x:c r="I1537" s="43" t="n">
        <x:v>14</x:v>
      </x:c>
      <x:c r="J1537" s="43" t="n">
        <x:v>17</x:v>
      </x:c>
      <x:c r="K1537" s="43" t="str">
        <x:v>No boarders</x:v>
      </x:c>
      <x:c r="L1537" s="43" t="str">
        <x:v>Does not have a sixth form</x:v>
      </x:c>
      <x:c r="M1537" s="43" t="n">
        <x:v>16</x:v>
      </x:c>
      <x:c r="N1537" s="43" t="str">
        <x:v>https://www.openboxeducation.org.uk</x:v>
      </x:c>
      <x:c r="O1537" s="43" t="str">
        <x:v>01992577300</x:v>
      </x:c>
      <x:c r="P1537" s="43" t="str"/>
      <x:c r="Q1537" s="43" t="str"/>
      <x:c r="R1537" s="43" t="str">
        <x:v>Queued for contact research</x:v>
      </x:c>
      <x:c r="S1537" s="43" t="str">
        <x:v>Not reviewed</x:v>
      </x:c>
      <x:c r="T1537" s="43" t="str">
        <x:v>Hold</x:v>
      </x:c>
      <x:c r="U1537" s="43" t="str">
        <x:v>No</x:v>
      </x:c>
      <x:c r="V1537" s="44"/>
      <x:c r="W1537" s="43" t="str"/>
      <x:c r="X1537" s="43" t="str"/>
      <x:c r="Y1537" s="43" t="str"/>
      <x:c r="Z1537" s="43" t="str">
        <x:v>https://www.get-information-schools.service.gov.uk/Downloads</x:v>
      </x:c>
    </x:row>
    <x:row r="1538">
      <x:c r="A1538" s="43" t="str">
        <x:v>UK independent</x:v>
      </x:c>
      <x:c r="B1538" s="43" t="str">
        <x:v>106816</x:v>
      </x:c>
      <x:c r="C1538" s="43" t="n">
        <x:f>IF(K1538="Boarding school",30,0)+IF(J1538&gt;=18,20,0)+IF(I1538&lt;=11,10,0)+IF(L1538="Has a sixth form",15,0)+IF(M1538&gt;=200,10,0)+IF(N1538&lt;&gt;"",10,0)</x:f>
        <x:v>10</x:v>
      </x:c>
      <x:c r="D1538" s="43" t="str">
        <x:f>IF(C1538&gt;=85,"A",IF(C1538&gt;=65,"B","C"))</x:f>
        <x:v>C</x:v>
      </x:c>
      <x:c r="E1538" s="43" t="str">
        <x:v>Sycamore Hall Preparatory School</x:v>
      </x:c>
      <x:c r="F1538" s="43" t="str">
        <x:v>Doncaster</x:v>
      </x:c>
      <x:c r="G1538" s="43" t="str">
        <x:v>South Yorkshire</x:v>
      </x:c>
      <x:c r="H1538" s="43" t="str">
        <x:v>DN4 8PT</x:v>
      </x:c>
      <x:c r="I1538" s="43" t="n">
        <x:v>2</x:v>
      </x:c>
      <x:c r="J1538" s="43" t="n">
        <x:v>11</x:v>
      </x:c>
      <x:c r="K1538" s="43" t="str">
        <x:v>No boarders</x:v>
      </x:c>
      <x:c r="L1538" s="43" t="str">
        <x:v>Does not have a sixth form</x:v>
      </x:c>
      <x:c r="M1538" s="43" t="n">
        <x:v>16</x:v>
      </x:c>
      <x:c r="N1538" s="43" t="str"/>
      <x:c r="O1538" s="43" t="str">
        <x:v>01302856800</x:v>
      </x:c>
      <x:c r="P1538" s="43" t="str"/>
      <x:c r="Q1538" s="43" t="str"/>
      <x:c r="R1538" s="43" t="str">
        <x:v>Queued for contact research</x:v>
      </x:c>
      <x:c r="S1538" s="43" t="str">
        <x:v>Not reviewed</x:v>
      </x:c>
      <x:c r="T1538" s="43" t="str">
        <x:v>Hold</x:v>
      </x:c>
      <x:c r="U1538" s="43" t="str">
        <x:v>No</x:v>
      </x:c>
      <x:c r="V1538" s="44"/>
      <x:c r="W1538" s="43" t="str"/>
      <x:c r="X1538" s="43" t="str"/>
      <x:c r="Y1538" s="43" t="str"/>
      <x:c r="Z1538" s="43" t="str">
        <x:v>https://www.get-information-schools.service.gov.uk/Downloads</x:v>
      </x:c>
    </x:row>
    <x:row r="1539">
      <x:c r="A1539" s="43" t="str">
        <x:v>UK independent</x:v>
      </x:c>
      <x:c r="B1539" s="43" t="str">
        <x:v>145129</x:v>
      </x:c>
      <x:c r="C1539" s="43" t="n">
        <x:f>IF(K1539="Boarding school",30,0)+IF(J1539&gt;=18,20,0)+IF(I1539&lt;=11,10,0)+IF(L1539="Has a sixth form",15,0)+IF(M1539&gt;=200,10,0)+IF(N1539&lt;&gt;"",10,0)</x:f>
        <x:v>10</x:v>
      </x:c>
      <x:c r="D1539" s="43" t="str">
        <x:f>IF(C1539&gt;=85,"A",IF(C1539&gt;=65,"B","C"))</x:f>
        <x:v>C</x:v>
      </x:c>
      <x:c r="E1539" s="43" t="str">
        <x:v>Take 1 Learning Centre</x:v>
      </x:c>
      <x:c r="F1539" s="43" t="str"/>
      <x:c r="G1539" s="43" t="str"/>
      <x:c r="H1539" s="43" t="str">
        <x:v>NG7 6BE</x:v>
      </x:c>
      <x:c r="I1539" s="43" t="n">
        <x:v>14</x:v>
      </x:c>
      <x:c r="J1539" s="43" t="n">
        <x:v>16</x:v>
      </x:c>
      <x:c r="K1539" s="43" t="str">
        <x:v>No boarders</x:v>
      </x:c>
      <x:c r="L1539" s="43" t="str">
        <x:v>Does not have a sixth form</x:v>
      </x:c>
      <x:c r="M1539" s="43" t="n">
        <x:v>15</x:v>
      </x:c>
      <x:c r="N1539" s="43" t="str">
        <x:v>https://www.take1studios.co.uk</x:v>
      </x:c>
      <x:c r="O1539" s="43" t="str">
        <x:v>01159708982</x:v>
      </x:c>
      <x:c r="P1539" s="43" t="str"/>
      <x:c r="Q1539" s="43" t="str"/>
      <x:c r="R1539" s="43" t="str">
        <x:v>Queued for contact research</x:v>
      </x:c>
      <x:c r="S1539" s="43" t="str">
        <x:v>Not reviewed</x:v>
      </x:c>
      <x:c r="T1539" s="43" t="str">
        <x:v>Hold</x:v>
      </x:c>
      <x:c r="U1539" s="43" t="str">
        <x:v>No</x:v>
      </x:c>
      <x:c r="V1539" s="44"/>
      <x:c r="W1539" s="43" t="str"/>
      <x:c r="X1539" s="43" t="str"/>
      <x:c r="Y1539" s="43" t="str"/>
      <x:c r="Z1539" s="43" t="str">
        <x:v>https://www.get-information-schools.service.gov.uk/Downloads</x:v>
      </x:c>
    </x:row>
    <x:row r="1540">
      <x:c r="A1540" s="43" t="str">
        <x:v>UK independent</x:v>
      </x:c>
      <x:c r="B1540" s="43" t="str">
        <x:v>150182</x:v>
      </x:c>
      <x:c r="C1540" s="43" t="n">
        <x:f>IF(K1540="Boarding school",30,0)+IF(J1540&gt;=18,20,0)+IF(I1540&lt;=11,10,0)+IF(L1540="Has a sixth form",15,0)+IF(M1540&gt;=200,10,0)+IF(N1540&lt;&gt;"",10,0)</x:f>
        <x:v>10</x:v>
      </x:c>
      <x:c r="D1540" s="43" t="str">
        <x:f>IF(C1540&gt;=85,"A",IF(C1540&gt;=65,"B","C"))</x:f>
        <x:v>C</x:v>
      </x:c>
      <x:c r="E1540" s="43" t="str">
        <x:v>The Valiant School</x:v>
      </x:c>
      <x:c r="F1540" s="43" t="str">
        <x:v>Stoke-on-Trent</x:v>
      </x:c>
      <x:c r="G1540" s="43" t="str"/>
      <x:c r="H1540" s="43" t="str">
        <x:v>ST6 1EL</x:v>
      </x:c>
      <x:c r="I1540" s="43" t="n">
        <x:v>4</x:v>
      </x:c>
      <x:c r="J1540" s="43" t="n">
        <x:v>11</x:v>
      </x:c>
      <x:c r="K1540" s="43" t="str">
        <x:v>No boarders</x:v>
      </x:c>
      <x:c r="L1540" s="43" t="str">
        <x:v>Does not have a sixth form</x:v>
      </x:c>
      <x:c r="M1540" s="43" t="n">
        <x:v>15</x:v>
      </x:c>
      <x:c r="N1540" s="43" t="str"/>
      <x:c r="O1540" s="43" t="str">
        <x:v>01782234445</x:v>
      </x:c>
      <x:c r="P1540" s="43" t="str"/>
      <x:c r="Q1540" s="43" t="str"/>
      <x:c r="R1540" s="43" t="str">
        <x:v>Queued for contact research</x:v>
      </x:c>
      <x:c r="S1540" s="43" t="str">
        <x:v>Not reviewed</x:v>
      </x:c>
      <x:c r="T1540" s="43" t="str">
        <x:v>Hold</x:v>
      </x:c>
      <x:c r="U1540" s="43" t="str">
        <x:v>No</x:v>
      </x:c>
      <x:c r="V1540" s="44"/>
      <x:c r="W1540" s="43" t="str"/>
      <x:c r="X1540" s="43" t="str"/>
      <x:c r="Y1540" s="43" t="str"/>
      <x:c r="Z1540" s="43" t="str">
        <x:v>https://www.get-information-schools.service.gov.uk/Downloads</x:v>
      </x:c>
    </x:row>
    <x:row r="1541">
      <x:c r="A1541" s="43" t="str">
        <x:v>UK independent</x:v>
      </x:c>
      <x:c r="B1541" s="43" t="str">
        <x:v>152181</x:v>
      </x:c>
      <x:c r="C1541" s="43" t="n">
        <x:f>IF(K1541="Boarding school",30,0)+IF(J1541&gt;=18,20,0)+IF(I1541&lt;=11,10,0)+IF(L1541="Has a sixth form",15,0)+IF(M1541&gt;=200,10,0)+IF(N1541&lt;&gt;"",10,0)</x:f>
        <x:v>10</x:v>
      </x:c>
      <x:c r="D1541" s="43" t="str">
        <x:f>IF(C1541&gt;=85,"A",IF(C1541&gt;=65,"B","C"))</x:f>
        <x:v>C</x:v>
      </x:c>
      <x:c r="E1541" s="43" t="str">
        <x:v>Blackwater Academy Stourbridge</x:v>
      </x:c>
      <x:c r="F1541" s="43" t="str">
        <x:v>Stourbridge</x:v>
      </x:c>
      <x:c r="G1541" s="43" t="str">
        <x:v>West Midlands</x:v>
      </x:c>
      <x:c r="H1541" s="43" t="str">
        <x:v>DY8 1EB</x:v>
      </x:c>
      <x:c r="I1541" s="43" t="n">
        <x:v>11</x:v>
      </x:c>
      <x:c r="J1541" s="43" t="n">
        <x:v>16</x:v>
      </x:c>
      <x:c r="K1541" s="43" t="str">
        <x:v>No boarders</x:v>
      </x:c>
      <x:c r="L1541" s="43" t="str">
        <x:v>Not applicable</x:v>
      </x:c>
      <x:c r="M1541" s="43" t="n">
        <x:v>10</x:v>
      </x:c>
      <x:c r="N1541" s="43" t="str"/>
      <x:c r="O1541" s="43" t="str"/>
      <x:c r="P1541" s="43" t="str"/>
      <x:c r="Q1541" s="43" t="str"/>
      <x:c r="R1541" s="43" t="str">
        <x:v>Queued for contact research</x:v>
      </x:c>
      <x:c r="S1541" s="43" t="str">
        <x:v>Not reviewed</x:v>
      </x:c>
      <x:c r="T1541" s="43" t="str">
        <x:v>Hold</x:v>
      </x:c>
      <x:c r="U1541" s="43" t="str">
        <x:v>No</x:v>
      </x:c>
      <x:c r="V1541" s="44"/>
      <x:c r="W1541" s="43" t="str"/>
      <x:c r="X1541" s="43" t="str"/>
      <x:c r="Y1541" s="43" t="str"/>
      <x:c r="Z1541" s="43" t="str">
        <x:v>https://www.get-information-schools.service.gov.uk/Downloads</x:v>
      </x:c>
    </x:row>
    <x:row r="1542">
      <x:c r="A1542" s="43" t="str">
        <x:v>UK independent</x:v>
      </x:c>
      <x:c r="B1542" s="43" t="str">
        <x:v>143040</x:v>
      </x:c>
      <x:c r="C1542" s="43" t="n">
        <x:f>IF(K1542="Boarding school",30,0)+IF(J1542&gt;=18,20,0)+IF(I1542&lt;=11,10,0)+IF(L1542="Has a sixth form",15,0)+IF(M1542&gt;=200,10,0)+IF(N1542&lt;&gt;"",10,0)</x:f>
        <x:v>10</x:v>
      </x:c>
      <x:c r="D1542" s="43" t="str">
        <x:f>IF(C1542&gt;=85,"A",IF(C1542&gt;=65,"B","C"))</x:f>
        <x:v>C</x:v>
      </x:c>
      <x:c r="E1542" s="43" t="str">
        <x:v>Imedia School</x:v>
      </x:c>
      <x:c r="F1542" s="43" t="str"/>
      <x:c r="G1542" s="43" t="str"/>
      <x:c r="H1542" s="43" t="str">
        <x:v>B23 6UT</x:v>
      </x:c>
      <x:c r="I1542" s="43" t="n">
        <x:v>14</x:v>
      </x:c>
      <x:c r="J1542" s="43" t="n">
        <x:v>16</x:v>
      </x:c>
      <x:c r="K1542" s="43" t="str">
        <x:v>No boarders</x:v>
      </x:c>
      <x:c r="L1542" s="43" t="str">
        <x:v>Does not have a sixth form</x:v>
      </x:c>
      <x:c r="M1542" s="43" t="n">
        <x:v>10</x:v>
      </x:c>
      <x:c r="N1542" s="43" t="str">
        <x:v>https://www.imediaschool.co.uk</x:v>
      </x:c>
      <x:c r="O1542" s="43" t="str">
        <x:v>01214481727</x:v>
      </x:c>
      <x:c r="P1542" s="43" t="str"/>
      <x:c r="Q1542" s="43" t="str"/>
      <x:c r="R1542" s="43" t="str">
        <x:v>Queued for contact research</x:v>
      </x:c>
      <x:c r="S1542" s="43" t="str">
        <x:v>Not reviewed</x:v>
      </x:c>
      <x:c r="T1542" s="43" t="str">
        <x:v>Hold</x:v>
      </x:c>
      <x:c r="U1542" s="43" t="str">
        <x:v>No</x:v>
      </x:c>
      <x:c r="V1542" s="44"/>
      <x:c r="W1542" s="43" t="str"/>
      <x:c r="X1542" s="43" t="str"/>
      <x:c r="Y1542" s="43" t="str"/>
      <x:c r="Z1542" s="43" t="str">
        <x:v>https://www.get-information-schools.service.gov.uk/Downloads</x:v>
      </x:c>
    </x:row>
    <x:row r="1543">
      <x:c r="A1543" s="43" t="str">
        <x:v>UK independent</x:v>
      </x:c>
      <x:c r="B1543" s="43" t="str">
        <x:v>150439</x:v>
      </x:c>
      <x:c r="C1543" s="43" t="n">
        <x:f>IF(K1543="Boarding school",30,0)+IF(J1543&gt;=18,20,0)+IF(I1543&lt;=11,10,0)+IF(L1543="Has a sixth form",15,0)+IF(M1543&gt;=200,10,0)+IF(N1543&lt;&gt;"",10,0)</x:f>
        <x:v>10</x:v>
      </x:c>
      <x:c r="D1543" s="43" t="str">
        <x:f>IF(C1543&gt;=85,"A",IF(C1543&gt;=65,"B","C"))</x:f>
        <x:v>C</x:v>
      </x:c>
      <x:c r="E1543" s="43" t="str">
        <x:v>The London Mechina</x:v>
      </x:c>
      <x:c r="F1543" s="43" t="str">
        <x:v>London</x:v>
      </x:c>
      <x:c r="G1543" s="43" t="str"/>
      <x:c r="H1543" s="43" t="str">
        <x:v>N12 8RZ</x:v>
      </x:c>
      <x:c r="I1543" s="43" t="n">
        <x:v>11</x:v>
      </x:c>
      <x:c r="J1543" s="43" t="n">
        <x:v>13</x:v>
      </x:c>
      <x:c r="K1543" s="43" t="str">
        <x:v>No boarders</x:v>
      </x:c>
      <x:c r="L1543" s="43" t="str">
        <x:v>Does not have a sixth form</x:v>
      </x:c>
      <x:c r="M1543" s="43" t="n">
        <x:v>10</x:v>
      </x:c>
      <x:c r="N1543" s="43" t="str"/>
      <x:c r="O1543" s="43" t="str">
        <x:v>07921777246</x:v>
      </x:c>
      <x:c r="P1543" s="43" t="str"/>
      <x:c r="Q1543" s="43" t="str"/>
      <x:c r="R1543" s="43" t="str">
        <x:v>Queued for contact research</x:v>
      </x:c>
      <x:c r="S1543" s="43" t="str">
        <x:v>Not reviewed</x:v>
      </x:c>
      <x:c r="T1543" s="43" t="str">
        <x:v>Hold</x:v>
      </x:c>
      <x:c r="U1543" s="43" t="str">
        <x:v>No</x:v>
      </x:c>
      <x:c r="V1543" s="44"/>
      <x:c r="W1543" s="43" t="str"/>
      <x:c r="X1543" s="43" t="str"/>
      <x:c r="Y1543" s="43" t="str"/>
      <x:c r="Z1543" s="43" t="str">
        <x:v>https://www.get-information-schools.service.gov.uk/Downloads</x:v>
      </x:c>
    </x:row>
    <x:row r="1544">
      <x:c r="A1544" s="43" t="str">
        <x:v>UK independent</x:v>
      </x:c>
      <x:c r="B1544" s="43" t="str">
        <x:v>151496</x:v>
      </x:c>
      <x:c r="C1544" s="43" t="n">
        <x:f>IF(K1544="Boarding school",30,0)+IF(J1544&gt;=18,20,0)+IF(I1544&lt;=11,10,0)+IF(L1544="Has a sixth form",15,0)+IF(M1544&gt;=200,10,0)+IF(N1544&lt;&gt;"",10,0)</x:f>
        <x:v>10</x:v>
      </x:c>
      <x:c r="D1544" s="43" t="str">
        <x:f>IF(C1544&gt;=85,"A",IF(C1544&gt;=65,"B","C"))</x:f>
        <x:v>C</x:v>
      </x:c>
      <x:c r="E1544" s="43" t="str">
        <x:v>School of Coding AEP Limited</x:v>
      </x:c>
      <x:c r="F1544" s="43" t="str">
        <x:v>Wolverhampton</x:v>
      </x:c>
      <x:c r="G1544" s="43" t="str"/>
      <x:c r="H1544" s="43" t="str">
        <x:v>WV9 5HB</x:v>
      </x:c>
      <x:c r="I1544" s="43" t="n">
        <x:v>13</x:v>
      </x:c>
      <x:c r="J1544" s="43" t="n">
        <x:v>16</x:v>
      </x:c>
      <x:c r="K1544" s="43" t="str">
        <x:v>No boarders</x:v>
      </x:c>
      <x:c r="L1544" s="43" t="str">
        <x:v>Does not have a sixth form</x:v>
      </x:c>
      <x:c r="M1544" s="43" t="n">
        <x:v>5</x:v>
      </x:c>
      <x:c r="N1544" s="43" t="str">
        <x:v>https://socalternativeeducation.com</x:v>
      </x:c>
      <x:c r="O1544" s="43" t="str">
        <x:v>01902509209</x:v>
      </x:c>
      <x:c r="P1544" s="43" t="str"/>
      <x:c r="Q1544" s="43" t="str"/>
      <x:c r="R1544" s="43" t="str">
        <x:v>Queued for contact research</x:v>
      </x:c>
      <x:c r="S1544" s="43" t="str">
        <x:v>Not reviewed</x:v>
      </x:c>
      <x:c r="T1544" s="43" t="str">
        <x:v>Hold</x:v>
      </x:c>
      <x:c r="U1544" s="43" t="str">
        <x:v>No</x:v>
      </x:c>
      <x:c r="V1544" s="44"/>
      <x:c r="W1544" s="43" t="str"/>
      <x:c r="X1544" s="43" t="str"/>
      <x:c r="Y1544" s="43" t="str"/>
      <x:c r="Z1544" s="43" t="str">
        <x:v>https://www.get-information-schools.service.gov.uk/Downloads</x:v>
      </x:c>
    </x:row>
    <x:row r="1545">
      <x:c r="A1545" s="43" t="str">
        <x:v>UK independent</x:v>
      </x:c>
      <x:c r="B1545" s="43" t="str">
        <x:v>144377</x:v>
      </x:c>
      <x:c r="C1545" s="43" t="n">
        <x:f>IF(K1545="Boarding school",30,0)+IF(J1545&gt;=18,20,0)+IF(I1545&lt;=11,10,0)+IF(L1545="Has a sixth form",15,0)+IF(M1545&gt;=200,10,0)+IF(N1545&lt;&gt;"",10,0)</x:f>
        <x:v>10</x:v>
      </x:c>
      <x:c r="D1545" s="43" t="str">
        <x:f>IF(C1545&gt;=85,"A",IF(C1545&gt;=65,"B","C"))</x:f>
        <x:v>C</x:v>
      </x:c>
      <x:c r="E1545" s="43" t="str">
        <x:v>Youth Works Community College</x:v>
      </x:c>
      <x:c r="F1545" s="43" t="str">
        <x:v>Northamptonshire</x:v>
      </x:c>
      <x:c r="G1545" s="43" t="str"/>
      <x:c r="H1545" s="43" t="str">
        <x:v>NN16 9HX</x:v>
      </x:c>
      <x:c r="I1545" s="43" t="n">
        <x:v>13</x:v>
      </x:c>
      <x:c r="J1545" s="43" t="n">
        <x:v>16</x:v>
      </x:c>
      <x:c r="K1545" s="43" t="str">
        <x:v>No boarders</x:v>
      </x:c>
      <x:c r="L1545" s="43" t="str">
        <x:v>Does not have a sixth form</x:v>
      </x:c>
      <x:c r="M1545" s="43" t="n">
        <x:v>4</x:v>
      </x:c>
      <x:c r="N1545" s="43" t="str">
        <x:v>https://www.youthworksnorthamptonshire.org.uk/community-college/general-college-information/</x:v>
      </x:c>
      <x:c r="O1545" s="43" t="str">
        <x:v>01536518339</x:v>
      </x:c>
      <x:c r="P1545" s="43" t="str"/>
      <x:c r="Q1545" s="43" t="str"/>
      <x:c r="R1545" s="43" t="str">
        <x:v>Queued for contact research</x:v>
      </x:c>
      <x:c r="S1545" s="43" t="str">
        <x:v>Not reviewed</x:v>
      </x:c>
      <x:c r="T1545" s="43" t="str">
        <x:v>Hold</x:v>
      </x:c>
      <x:c r="U1545" s="43" t="str">
        <x:v>No</x:v>
      </x:c>
      <x:c r="V1545" s="44"/>
      <x:c r="W1545" s="43" t="str"/>
      <x:c r="X1545" s="43" t="str"/>
      <x:c r="Y1545" s="43" t="str"/>
      <x:c r="Z1545" s="43" t="str">
        <x:v>https://www.get-information-schools.service.gov.uk/Downloads</x:v>
      </x:c>
    </x:row>
    <x:row r="1546">
      <x:c r="A1546" s="43" t="str">
        <x:v>UK independent</x:v>
      </x:c>
      <x:c r="B1546" s="43" t="str">
        <x:v>150221</x:v>
      </x:c>
      <x:c r="C1546" s="43" t="n">
        <x:f>IF(K1546="Boarding school",30,0)+IF(J1546&gt;=18,20,0)+IF(I1546&lt;=11,10,0)+IF(L1546="Has a sixth form",15,0)+IF(M1546&gt;=200,10,0)+IF(N1546&lt;&gt;"",10,0)</x:f>
        <x:v>10</x:v>
      </x:c>
      <x:c r="D1546" s="43" t="str">
        <x:f>IF(C1546&gt;=85,"A",IF(C1546&gt;=65,"B","C"))</x:f>
        <x:v>C</x:v>
      </x:c>
      <x:c r="E1546" s="43" t="str">
        <x:v>Clockhouse Primary School</x:v>
      </x:c>
      <x:c r="F1546" s="43" t="str">
        <x:v>London</x:v>
      </x:c>
      <x:c r="G1546" s="43" t="str"/>
      <x:c r="H1546" s="43" t="str">
        <x:v>N16 5LG</x:v>
      </x:c>
      <x:c r="I1546" s="43" t="n">
        <x:v>3</x:v>
      </x:c>
      <x:c r="J1546" s="43" t="n">
        <x:v>11</x:v>
      </x:c>
      <x:c r="K1546" s="43" t="str">
        <x:v>No boarders</x:v>
      </x:c>
      <x:c r="L1546" s="43" t="str">
        <x:v>Not applicable</x:v>
      </x:c>
      <x:c r="M1546" s="43" t="n">
        <x:v>0</x:v>
      </x:c>
      <x:c r="N1546" s="43" t="str"/>
      <x:c r="O1546" s="43" t="str">
        <x:v>02036338042</x:v>
      </x:c>
      <x:c r="P1546" s="43" t="str"/>
      <x:c r="Q1546" s="43" t="str"/>
      <x:c r="R1546" s="43" t="str">
        <x:v>Queued for contact research</x:v>
      </x:c>
      <x:c r="S1546" s="43" t="str">
        <x:v>Not reviewed</x:v>
      </x:c>
      <x:c r="T1546" s="43" t="str">
        <x:v>Hold</x:v>
      </x:c>
      <x:c r="U1546" s="43" t="str">
        <x:v>No</x:v>
      </x:c>
      <x:c r="V1546" s="44"/>
      <x:c r="W1546" s="43" t="str"/>
      <x:c r="X1546" s="43" t="str"/>
      <x:c r="Y1546" s="43" t="str"/>
      <x:c r="Z1546" s="43" t="str">
        <x:v>https://www.get-information-schools.service.gov.uk/Downloads</x:v>
      </x:c>
    </x:row>
    <x:row r="1547">
      <x:c r="A1547" s="43" t="str">
        <x:v>UK independent</x:v>
      </x:c>
      <x:c r="B1547" s="43" t="str">
        <x:v>152489</x:v>
      </x:c>
      <x:c r="C1547" s="43" t="n">
        <x:f>IF(K1547="Boarding school",30,0)+IF(J1547&gt;=18,20,0)+IF(I1547&lt;=11,10,0)+IF(L1547="Has a sixth form",15,0)+IF(M1547&gt;=200,10,0)+IF(N1547&lt;&gt;"",10,0)</x:f>
        <x:v>10</x:v>
      </x:c>
      <x:c r="D1547" s="43" t="str">
        <x:f>IF(C1547&gt;=85,"A",IF(C1547&gt;=65,"B","C"))</x:f>
        <x:v>C</x:v>
      </x:c>
      <x:c r="E1547" s="43" t="str">
        <x:v>Thrive Independent School</x:v>
      </x:c>
      <x:c r="F1547" s="43" t="str">
        <x:v>London</x:v>
      </x:c>
      <x:c r="G1547" s="43" t="str"/>
      <x:c r="H1547" s="43" t="str">
        <x:v>SE18 1JL</x:v>
      </x:c>
      <x:c r="I1547" s="43" t="n">
        <x:v>11</x:v>
      </x:c>
      <x:c r="J1547" s="43" t="n">
        <x:v>16</x:v>
      </x:c>
      <x:c r="K1547" s="43" t="str">
        <x:v>No boarders</x:v>
      </x:c>
      <x:c r="L1547" s="43" t="str">
        <x:v>Not applicable</x:v>
      </x:c>
      <x:c r="M1547" s="43" t="n">
        <x:v>0</x:v>
      </x:c>
      <x:c r="N1547" s="43" t="str"/>
      <x:c r="O1547" s="43" t="str">
        <x:v>07960994671</x:v>
      </x:c>
      <x:c r="P1547" s="43" t="str"/>
      <x:c r="Q1547" s="43" t="str"/>
      <x:c r="R1547" s="43" t="str">
        <x:v>Queued for contact research</x:v>
      </x:c>
      <x:c r="S1547" s="43" t="str">
        <x:v>Not reviewed</x:v>
      </x:c>
      <x:c r="T1547" s="43" t="str">
        <x:v>Hold</x:v>
      </x:c>
      <x:c r="U1547" s="43" t="str">
        <x:v>No</x:v>
      </x:c>
      <x:c r="V1547" s="44"/>
      <x:c r="W1547" s="43" t="str"/>
      <x:c r="X1547" s="43" t="str"/>
      <x:c r="Y1547" s="43" t="str"/>
      <x:c r="Z1547" s="43" t="str">
        <x:v>https://www.get-information-schools.service.gov.uk/Downloads</x:v>
      </x:c>
    </x:row>
    <x:row r="1548">
      <x:c r="A1548" s="43" t="str">
        <x:v>UK independent</x:v>
      </x:c>
      <x:c r="B1548" s="43" t="str">
        <x:v>152421</x:v>
      </x:c>
      <x:c r="C1548" s="43" t="n">
        <x:f>IF(K1548="Boarding school",30,0)+IF(J1548&gt;=18,20,0)+IF(I1548&lt;=11,10,0)+IF(L1548="Has a sixth form",15,0)+IF(M1548&gt;=200,10,0)+IF(N1548&lt;&gt;"",10,0)</x:f>
        <x:v>10</x:v>
      </x:c>
      <x:c r="D1548" s="43" t="str">
        <x:f>IF(C1548&gt;=85,"A",IF(C1548&gt;=65,"B","C"))</x:f>
        <x:v>C</x:v>
      </x:c>
      <x:c r="E1548" s="43" t="str">
        <x:v>Yeshuos Moshe School</x:v>
      </x:c>
      <x:c r="F1548" s="43" t="str">
        <x:v>London</x:v>
      </x:c>
      <x:c r="G1548" s="43" t="str"/>
      <x:c r="H1548" s="43" t="str">
        <x:v>N16 5UA</x:v>
      </x:c>
      <x:c r="I1548" s="43" t="n">
        <x:v>2</x:v>
      </x:c>
      <x:c r="J1548" s="43" t="n">
        <x:v>11</x:v>
      </x:c>
      <x:c r="K1548" s="43" t="str">
        <x:v>No boarders</x:v>
      </x:c>
      <x:c r="L1548" s="43" t="str">
        <x:v>Not applicable</x:v>
      </x:c>
      <x:c r="M1548" s="43" t="n">
        <x:v>0</x:v>
      </x:c>
      <x:c r="N1548" s="43" t="str"/>
      <x:c r="O1548" s="43" t="str">
        <x:v>07825879582</x:v>
      </x:c>
      <x:c r="P1548" s="43" t="str"/>
      <x:c r="Q1548" s="43" t="str"/>
      <x:c r="R1548" s="43" t="str">
        <x:v>Queued for contact research</x:v>
      </x:c>
      <x:c r="S1548" s="43" t="str">
        <x:v>Not reviewed</x:v>
      </x:c>
      <x:c r="T1548" s="43" t="str">
        <x:v>Hold</x:v>
      </x:c>
      <x:c r="U1548" s="43" t="str">
        <x:v>No</x:v>
      </x:c>
      <x:c r="V1548" s="44"/>
      <x:c r="W1548" s="43" t="str"/>
      <x:c r="X1548" s="43" t="str"/>
      <x:c r="Y1548" s="43" t="str"/>
      <x:c r="Z1548" s="43" t="str">
        <x:v>https://www.get-information-schools.service.gov.uk/Downloads</x:v>
      </x:c>
    </x:row>
    <x:row r="1549">
      <x:c r="A1549" s="43" t="str">
        <x:v>UK independent</x:v>
      </x:c>
      <x:c r="B1549" s="43" t="str">
        <x:v>142474</x:v>
      </x:c>
      <x:c r="C1549" s="43" t="n">
        <x:f>IF(K1549="Boarding school",30,0)+IF(J1549&gt;=18,20,0)+IF(I1549&lt;=11,10,0)+IF(L1549="Has a sixth form",15,0)+IF(M1549&gt;=200,10,0)+IF(N1549&lt;&gt;"",10,0)</x:f>
        <x:v>0</x:v>
      </x:c>
      <x:c r="D1549" s="43" t="str">
        <x:f>IF(C1549&gt;=85,"A",IF(C1549&gt;=65,"B","C"))</x:f>
        <x:v>C</x:v>
      </x:c>
      <x:c r="E1549" s="43" t="str">
        <x:v>Delta Independent School</x:v>
      </x:c>
      <x:c r="F1549" s="43" t="str">
        <x:v>Consett</x:v>
      </x:c>
      <x:c r="G1549" s="43" t="str">
        <x:v>County Durham</x:v>
      </x:c>
      <x:c r="H1549" s="43" t="str">
        <x:v>DH8 5DH</x:v>
      </x:c>
      <x:c r="I1549" s="43" t="n">
        <x:v>13</x:v>
      </x:c>
      <x:c r="J1549" s="43" t="n">
        <x:v>16</x:v>
      </x:c>
      <x:c r="K1549" s="43" t="str">
        <x:v>No boarders</x:v>
      </x:c>
      <x:c r="L1549" s="43" t="str">
        <x:v>Does not have a sixth form</x:v>
      </x:c>
      <x:c r="M1549" s="43" t="n">
        <x:v>46</x:v>
      </x:c>
      <x:c r="N1549" s="43" t="str"/>
      <x:c r="O1549" s="43" t="str">
        <x:v>01207502680</x:v>
      </x:c>
      <x:c r="P1549" s="43" t="str"/>
      <x:c r="Q1549" s="43" t="str"/>
      <x:c r="R1549" s="43" t="str">
        <x:v>Queued for contact research</x:v>
      </x:c>
      <x:c r="S1549" s="43" t="str">
        <x:v>Not reviewed</x:v>
      </x:c>
      <x:c r="T1549" s="43" t="str">
        <x:v>Hold</x:v>
      </x:c>
      <x:c r="U1549" s="43" t="str">
        <x:v>No</x:v>
      </x:c>
      <x:c r="V1549" s="44"/>
      <x:c r="W1549" s="43" t="str"/>
      <x:c r="X1549" s="43" t="str"/>
      <x:c r="Y1549" s="43" t="str"/>
      <x:c r="Z1549" s="43" t="str">
        <x:v>https://www.get-information-schools.service.gov.uk/Downloads</x:v>
      </x:c>
    </x:row>
    <x:row r="1550">
      <x:c r="A1550" s="43" t="str">
        <x:v>UK independent</x:v>
      </x:c>
      <x:c r="B1550" s="43" t="str">
        <x:v>147234</x:v>
      </x:c>
      <x:c r="C1550" s="43" t="n">
        <x:f>IF(K1550="Boarding school",30,0)+IF(J1550&gt;=18,20,0)+IF(I1550&lt;=11,10,0)+IF(L1550="Has a sixth form",15,0)+IF(M1550&gt;=200,10,0)+IF(N1550&lt;&gt;"",10,0)</x:f>
        <x:v>0</x:v>
      </x:c>
      <x:c r="D1550" s="43" t="str">
        <x:f>IF(C1550&gt;=85,"A",IF(C1550&gt;=65,"B","C"))</x:f>
        <x:v>C</x:v>
      </x:c>
      <x:c r="E1550" s="43" t="str">
        <x:v>Orion School</x:v>
      </x:c>
      <x:c r="F1550" s="43" t="str">
        <x:v>Birmingham</x:v>
      </x:c>
      <x:c r="G1550" s="43" t="str"/>
      <x:c r="H1550" s="43" t="str">
        <x:v>B18 7QD</x:v>
      </x:c>
      <x:c r="I1550" s="43" t="n">
        <x:v>13</x:v>
      </x:c>
      <x:c r="J1550" s="43" t="n">
        <x:v>16</x:v>
      </x:c>
      <x:c r="K1550" s="43" t="str">
        <x:v>No boarders</x:v>
      </x:c>
      <x:c r="L1550" s="43" t="str">
        <x:v>Does not have a sixth form</x:v>
      </x:c>
      <x:c r="M1550" s="43" t="n">
        <x:v>20</x:v>
      </x:c>
      <x:c r="N1550" s="43" t="str"/>
      <x:c r="O1550" s="43" t="str">
        <x:v>01212457200</x:v>
      </x:c>
      <x:c r="P1550" s="43" t="str"/>
      <x:c r="Q1550" s="43" t="str"/>
      <x:c r="R1550" s="43" t="str">
        <x:v>Queued for contact research</x:v>
      </x:c>
      <x:c r="S1550" s="43" t="str">
        <x:v>Not reviewed</x:v>
      </x:c>
      <x:c r="T1550" s="43" t="str">
        <x:v>Hold</x:v>
      </x:c>
      <x:c r="U1550" s="43" t="str">
        <x:v>No</x:v>
      </x:c>
      <x:c r="V1550" s="44"/>
      <x:c r="W1550" s="43" t="str"/>
      <x:c r="X1550" s="43" t="str"/>
      <x:c r="Y1550" s="43" t="str"/>
      <x:c r="Z1550" s="43" t="str">
        <x:v>https://www.get-information-schools.service.gov.uk/Downloads</x:v>
      </x:c>
    </x:row>
    <x:row r="1551">
      <x:c r="A1551" s="43" t="str">
        <x:v>UK independent</x:v>
      </x:c>
      <x:c r="B1551" s="43" t="str">
        <x:v>141411</x:v>
      </x:c>
      <x:c r="C1551" s="43" t="n">
        <x:f>IF(K1551="Boarding school",30,0)+IF(J1551&gt;=18,20,0)+IF(I1551&lt;=11,10,0)+IF(L1551="Has a sixth form",15,0)+IF(M1551&gt;=200,10,0)+IF(N1551&lt;&gt;"",10,0)</x:f>
        <x:v>0</x:v>
      </x:c>
      <x:c r="D1551" s="43" t="str">
        <x:f>IF(C1551&gt;=85,"A",IF(C1551&gt;=65,"B","C"))</x:f>
        <x:v>C</x:v>
      </x:c>
      <x:c r="E1551" s="43" t="str">
        <x:v>Big Creative Independent School</x:v>
      </x:c>
      <x:c r="F1551" s="43" t="str">
        <x:v>Walthamstow</x:v>
      </x:c>
      <x:c r="G1551" s="43" t="str"/>
      <x:c r="H1551" s="43" t="str">
        <x:v>E17 5QJ</x:v>
      </x:c>
      <x:c r="I1551" s="43" t="n">
        <x:v>14</x:v>
      </x:c>
      <x:c r="J1551" s="43" t="n">
        <x:v>16</x:v>
      </x:c>
      <x:c r="K1551" s="43" t="str">
        <x:v>No boarders</x:v>
      </x:c>
      <x:c r="L1551" s="43" t="str">
        <x:v>Does not have a sixth form</x:v>
      </x:c>
      <x:c r="M1551" s="43" t="n">
        <x:v>9</x:v>
      </x:c>
      <x:c r="N1551" s="43" t="str"/>
      <x:c r="O1551" s="43" t="str">
        <x:v>02038735800</x:v>
      </x:c>
      <x:c r="P1551" s="43" t="str"/>
      <x:c r="Q1551" s="43" t="str"/>
      <x:c r="R1551" s="43" t="str">
        <x:v>Queued for contact research</x:v>
      </x:c>
      <x:c r="S1551" s="43" t="str">
        <x:v>Not reviewed</x:v>
      </x:c>
      <x:c r="T1551" s="43" t="str">
        <x:v>Hold</x:v>
      </x:c>
      <x:c r="U1551" s="43" t="str">
        <x:v>No</x:v>
      </x:c>
      <x:c r="V1551" s="44"/>
      <x:c r="W1551" s="43" t="str"/>
      <x:c r="X1551" s="43" t="str"/>
      <x:c r="Y1551" s="43" t="str"/>
      <x:c r="Z1551" s="43" t="str">
        <x:v>https://www.get-information-schools.service.gov.uk/Downloads</x:v>
      </x:c>
    </x:row>
  </x:sheetData>
  <x:mergeCells>
    <x:mergeCell ref="A1:Z1"/>
    <x:mergeCell ref="A2:Z2"/>
  </x:mergeCells>
  <x:conditionalFormatting sqref="T4:T1551">
    <x:cfRule type="containsText" dxfId="2" priority="1" operator="containsText" text="Send"/>
  </x:conditionalFormatting>
  <x:conditionalFormatting sqref="U4:U1551">
    <x:cfRule type="containsText" dxfId="3" priority="2" operator="containsText" text="Yes"/>
  </x:conditionalFormatting>
  <x:dataValidations count="3">
    <x:dataValidation type="list" sqref="S4:S1551">
      <x:formula1>"Not reviewed,Needs human verification,Verified"</x:formula1>
    </x:dataValidation>
    <x:dataValidation type="list" sqref="T4:T1551">
      <x:formula1>"Hold,Send,Do not contact"</x:formula1>
    </x:dataValidation>
    <x:dataValidation type="list" sqref="U4:U1551">
      <x:formula1>"No,Yes"</x:formula1>
    </x:dataValidation>
  </x:dataValidations>
  <x:pageMargins left="0.7" right="0.7" top="0.75" bottom="0.75" header="0.3" footer="0.3"/>
  <x:tableParts count="1">
    <x:tablePart xmlns:r="http://schemas.openxmlformats.org/officeDocument/2006/relationships" r:id="R677e0e936c104dd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17" hidden="0" customWidth="1"/>
    <x:col min="3" max="3" width="20" hidden="0" customWidth="1"/>
    <x:col min="4" max="4" width="38" hidden="0" customWidth="1"/>
    <x:col min="5" max="5" width="36" hidden="0" customWidth="1"/>
    <x:col min="6" max="6" width="34" hidden="0" customWidth="1"/>
    <x:col min="7" max="7" width="34" hidden="0" customWidth="1"/>
    <x:col min="8" max="8" width="44" hidden="0" customWidth="1"/>
    <x:col min="9" max="9" width="30" hidden="0" customWidth="1"/>
    <x:col min="10" max="10" width="24" hidden="0" customWidth="1"/>
    <x:col min="11" max="11" width="24" hidden="0" customWidth="1"/>
    <x:col min="12" max="12" width="12" hidden="0" customWidth="1"/>
    <x:col min="13" max="13" width="28" hidden="0" customWidth="1"/>
    <x:col min="14" max="14" width="15" hidden="0" customWidth="1"/>
    <x:col min="15" max="15" width="14" hidden="0" customWidth="1"/>
    <x:col min="16" max="16" width="18" hidden="0" customWidth="1"/>
    <x:col min="17" max="17" width="24" hidden="0" customWidth="1"/>
  </x:cols>
  <x:sheetData>
    <x:row r="1" ht="36" customHeight="1">
      <x:c r="A1" s="3" t="str">
        <x:v>European international-school research register</x:v>
      </x:c>
      <x:c r="B1" s="3"/>
      <x:c r="C1" s="3"/>
      <x:c r="D1" s="3"/>
      <x:c r="E1" s="3"/>
      <x:c r="F1" s="3"/>
      <x:c r="G1" s="3"/>
      <x:c r="H1" s="3"/>
      <x:c r="I1" s="3"/>
      <x:c r="J1" s="3"/>
      <x:c r="K1" s="3"/>
      <x:c r="L1" s="3"/>
      <x:c r="M1" s="3"/>
      <x:c r="N1" s="3"/>
      <x:c r="O1" s="3"/>
      <x:c r="P1" s="3"/>
      <x:c r="Q1" s="3"/>
    </x:row>
    <x:row r="2" ht="32" customHeight="1">
      <x:c r="A2" s="6" t="str">
        <x:v>Initial continental-Europe COBIS-derived universe; official contact details must be verified before Send is selected.</x:v>
      </x:c>
      <x:c r="B2" s="6"/>
      <x:c r="C2" s="6"/>
      <x:c r="D2" s="6"/>
      <x:c r="E2" s="6"/>
      <x:c r="F2" s="6"/>
      <x:c r="G2" s="6"/>
      <x:c r="H2" s="6"/>
      <x:c r="I2" s="6"/>
      <x:c r="J2" s="6"/>
      <x:c r="K2" s="6"/>
      <x:c r="L2" s="6"/>
      <x:c r="M2" s="6"/>
      <x:c r="N2" s="6"/>
      <x:c r="O2" s="6"/>
      <x:c r="P2" s="6"/>
      <x:c r="Q2" s="6"/>
    </x:row>
    <x:row r="3" ht="34" customHeight="1">
      <x:c r="A3" s="12" t="str">
        <x:v>Market</x:v>
      </x:c>
      <x:c r="B3" s="20" t="str">
        <x:v>Country</x:v>
      </x:c>
      <x:c r="C3" s="20" t="str">
        <x:v>City</x:v>
      </x:c>
      <x:c r="D3" s="20" t="str">
        <x:v>School</x:v>
      </x:c>
      <x:c r="E3" s="20" t="str">
        <x:v>Fit note</x:v>
      </x:c>
      <x:c r="F3" s="20" t="str">
        <x:v>Website</x:v>
      </x:c>
      <x:c r="G3" s="20" t="str">
        <x:v>Public role email</x:v>
      </x:c>
      <x:c r="H3" s="20" t="str">
        <x:v>Contact/source URL</x:v>
      </x:c>
      <x:c r="I3" s="20" t="str">
        <x:v>Source status</x:v>
      </x:c>
      <x:c r="J3" s="20" t="str">
        <x:v>Research status</x:v>
      </x:c>
      <x:c r="K3" s="20" t="str">
        <x:v>Human review</x:v>
      </x:c>
      <x:c r="L3" s="20" t="str">
        <x:v>Suppressed</x:v>
      </x:c>
      <x:c r="M3" s="20" t="str">
        <x:v>Copy version</x:v>
      </x:c>
      <x:c r="N3" s="20" t="str">
        <x:v>Send decision</x:v>
      </x:c>
      <x:c r="O3" s="20" t="str">
        <x:v>Sent date</x:v>
      </x:c>
      <x:c r="P3" s="20" t="str">
        <x:v>Response</x:v>
      </x:c>
      <x:c r="Q3" s="13" t="str">
        <x:v>Next action</x:v>
      </x:c>
    </x:row>
    <x:row r="4">
      <x:c r="A4" t="str">
        <x:v>European international</x:v>
      </x:c>
      <x:c r="B4" t="str">
        <x:v>Switzerland</x:v>
      </x:c>
      <x:c r="C4" t="str">
        <x:v>Chesières</x:v>
      </x:c>
      <x:c r="D4" t="str">
        <x:v>Aiglon College</x:v>
      </x:c>
      <x:c r="E4" t="str">
        <x:v>Boarding, ages 6–18, strong expedition fit</x:v>
      </x:c>
      <x:c r="F4" t="str">
        <x:v>https://www.aiglon.ch/</x:v>
      </x:c>
      <x:c r="G4" t="str">
        <x:v>info@aiglon.ch</x:v>
      </x:c>
      <x:c r="H4" t="str">
        <x:v>https://www.aiglon.ch/admissions/begin-the-journey</x:v>
      </x:c>
      <x:c r="I4" t="str">
        <x:v>Official school page</x:v>
      </x:c>
      <x:c r="J4" t="str">
        <x:v>Needs human verification</x:v>
      </x:c>
      <x:c r="K4" t="str">
        <x:v>Needs human verification</x:v>
      </x:c>
      <x:c r="L4" t="str">
        <x:v>No</x:v>
      </x:c>
      <x:c r="M4" t="str">
        <x:v>EWI-SCHOOLS-2026-09-03-A</x:v>
      </x:c>
      <x:c r="N4" t="str">
        <x:v>Hold</x:v>
      </x:c>
      <x:c r="O4"/>
      <x:c r="P4" t="str"/>
      <x:c r="Q4" t="str"/>
    </x:row>
    <x:row r="5">
      <x:c r="A5" t="str">
        <x:v>European international</x:v>
      </x:c>
      <x:c r="B5" t="str">
        <x:v>Netherlands</x:v>
      </x:c>
      <x:c r="C5" t="str">
        <x:v>Amsterdam</x:v>
      </x:c>
      <x:c r="D5" t="str">
        <x:v>The British School of Amsterdam</x:v>
      </x:c>
      <x:c r="E5" t="str">
        <x:v>Senior school ages 11–18</x:v>
      </x:c>
      <x:c r="F5" t="str">
        <x:v>https://www.britams.nl/</x:v>
      </x:c>
      <x:c r="G5" t="str">
        <x:v>info@britams.nl</x:v>
      </x:c>
      <x:c r="H5" t="str">
        <x:v>https://www.britams.nl/</x:v>
      </x:c>
      <x:c r="I5" t="str">
        <x:v>Official school page</x:v>
      </x:c>
      <x:c r="J5" t="str">
        <x:v>Needs human verification</x:v>
      </x:c>
      <x:c r="K5" t="str">
        <x:v>Needs human verification</x:v>
      </x:c>
      <x:c r="L5" t="str">
        <x:v>No</x:v>
      </x:c>
      <x:c r="M5" t="str">
        <x:v>EWI-SCHOOLS-2026-09-03-A</x:v>
      </x:c>
      <x:c r="N5" t="str">
        <x:v>Hold</x:v>
      </x:c>
      <x:c r="O5"/>
      <x:c r="P5" t="str"/>
      <x:c r="Q5" t="str"/>
    </x:row>
    <x:row r="6">
      <x:c r="A6" t="str">
        <x:v>European international</x:v>
      </x:c>
      <x:c r="B6" t="str">
        <x:v>Netherlands</x:v>
      </x:c>
      <x:c r="C6" t="str">
        <x:v>The Hague / Voorschoten</x:v>
      </x:c>
      <x:c r="D6" t="str">
        <x:v>The British School in the Netherlands</x:v>
      </x:c>
      <x:c r="E6" t="str">
        <x:v>Four campuses; senior provision</x:v>
      </x:c>
      <x:c r="F6" t="str">
        <x:v>https://www.britishschool.nl/</x:v>
      </x:c>
      <x:c r="G6" t="str">
        <x:v>admissions@britishschool.nl</x:v>
      </x:c>
      <x:c r="H6" t="str">
        <x:v>https://www.britishschool.nl/enquiry-form</x:v>
      </x:c>
      <x:c r="I6" t="str">
        <x:v>Official school page</x:v>
      </x:c>
      <x:c r="J6" t="str">
        <x:v>Needs human verification</x:v>
      </x:c>
      <x:c r="K6" t="str">
        <x:v>Needs human verification</x:v>
      </x:c>
      <x:c r="L6" t="str">
        <x:v>No</x:v>
      </x:c>
      <x:c r="M6" t="str">
        <x:v>EWI-SCHOOLS-2026-09-03-A</x:v>
      </x:c>
      <x:c r="N6" t="str">
        <x:v>Hold</x:v>
      </x:c>
      <x:c r="O6"/>
      <x:c r="P6" t="str"/>
      <x:c r="Q6" t="str"/>
    </x:row>
    <x:row r="7">
      <x:c r="A7" t="str">
        <x:v>European international</x:v>
      </x:c>
      <x:c r="B7" t="str">
        <x:v>Belgium</x:v>
      </x:c>
      <x:c r="C7" t="str">
        <x:v>Tervuren</x:v>
      </x:c>
      <x:c r="D7" t="str">
        <x:v>The British School of Brussels</x:v>
      </x:c>
      <x:c r="E7" t="str">
        <x:v>International secondary and IB provision</x:v>
      </x:c>
      <x:c r="F7" t="str">
        <x:v>https://www.britishschool.be/</x:v>
      </x:c>
      <x:c r="G7" t="str"/>
      <x:c r="H7" t="str">
        <x:v>https://www.britishschool.be/contact/</x:v>
      </x:c>
      <x:c r="I7" t="str">
        <x:v>Official contact form; manual routing needed</x:v>
      </x:c>
      <x:c r="J7" t="str">
        <x:v>Not reviewed</x:v>
      </x:c>
      <x:c r="K7" t="str">
        <x:v>Not reviewed</x:v>
      </x:c>
      <x:c r="L7" t="str">
        <x:v>No</x:v>
      </x:c>
      <x:c r="M7" t="str">
        <x:v>EWI-SCHOOLS-2026-09-03-A</x:v>
      </x:c>
      <x:c r="N7" t="str">
        <x:v>Hold</x:v>
      </x:c>
      <x:c r="O7"/>
      <x:c r="P7" t="str"/>
      <x:c r="Q7" t="str"/>
    </x:row>
    <x:row r="8">
      <x:c r="A8" t="str">
        <x:v>European international</x:v>
      </x:c>
      <x:c r="B8" t="str">
        <x:v>Belgium</x:v>
      </x:c>
      <x:c r="C8" t="str">
        <x:v>Brussels</x:v>
      </x:c>
      <x:c r="D8" t="str">
        <x:v>British International School of Brussels</x:v>
      </x:c>
      <x:c r="E8" t="str">
        <x:v>COBIS member</x:v>
      </x:c>
      <x:c r="F8" t="str"/>
      <x:c r="G8" t="str"/>
      <x:c r="H8" t="str">
        <x:v>https://www.cobis.org.uk/our-network/search-for-cobis-members/cobis-school-search/</x:v>
      </x:c>
      <x:c r="I8" t="str">
        <x:v>COBIS directory</x:v>
      </x:c>
      <x:c r="J8" t="str">
        <x:v>Not reviewed</x:v>
      </x:c>
      <x:c r="K8" t="str">
        <x:v>Not reviewed</x:v>
      </x:c>
      <x:c r="L8" t="str">
        <x:v>No</x:v>
      </x:c>
      <x:c r="M8" t="str">
        <x:v>EWI-SCHOOLS-2026-09-03-A</x:v>
      </x:c>
      <x:c r="N8" t="str">
        <x:v>Hold</x:v>
      </x:c>
      <x:c r="O8"/>
      <x:c r="P8" t="str"/>
      <x:c r="Q8" t="str"/>
    </x:row>
    <x:row r="9">
      <x:c r="A9" t="str">
        <x:v>European international</x:v>
      </x:c>
      <x:c r="B9" t="str">
        <x:v>Belgium</x:v>
      </x:c>
      <x:c r="C9" t="str">
        <x:v>Brussels</x:v>
      </x:c>
      <x:c r="D9" t="str">
        <x:v>International School of Flanders</x:v>
      </x:c>
      <x:c r="E9" t="str">
        <x:v>COBIS member</x:v>
      </x:c>
      <x:c r="F9" t="str"/>
      <x:c r="G9" t="str"/>
      <x:c r="H9" t="str">
        <x:v>https://www.cobis.org.uk/our-network/search-for-cobis-members/cobis-school-search/</x:v>
      </x:c>
      <x:c r="I9" t="str">
        <x:v>COBIS directory</x:v>
      </x:c>
      <x:c r="J9" t="str">
        <x:v>Not reviewed</x:v>
      </x:c>
      <x:c r="K9" t="str">
        <x:v>Not reviewed</x:v>
      </x:c>
      <x:c r="L9" t="str">
        <x:v>No</x:v>
      </x:c>
      <x:c r="M9" t="str">
        <x:v>EWI-SCHOOLS-2026-09-03-A</x:v>
      </x:c>
      <x:c r="N9" t="str">
        <x:v>Hold</x:v>
      </x:c>
      <x:c r="O9"/>
      <x:c r="P9" t="str"/>
      <x:c r="Q9" t="str"/>
    </x:row>
    <x:row r="10">
      <x:c r="A10" t="str">
        <x:v>European international</x:v>
      </x:c>
      <x:c r="B10" t="str">
        <x:v>Belgium</x:v>
      </x:c>
      <x:c r="C10" t="str">
        <x:v>Antwerp</x:v>
      </x:c>
      <x:c r="D10" t="str">
        <x:v>International School of Belgium</x:v>
      </x:c>
      <x:c r="E10" t="str">
        <x:v>COBIS member</x:v>
      </x:c>
      <x:c r="F10" t="str"/>
      <x:c r="G10" t="str"/>
      <x:c r="H10" t="str">
        <x:v>https://www.cobis.org.uk/our-network/search-for-cobis-members/cobis-school-search/</x:v>
      </x:c>
      <x:c r="I10" t="str">
        <x:v>COBIS directory</x:v>
      </x:c>
      <x:c r="J10" t="str">
        <x:v>Not reviewed</x:v>
      </x:c>
      <x:c r="K10" t="str">
        <x:v>Not reviewed</x:v>
      </x:c>
      <x:c r="L10" t="str">
        <x:v>No</x:v>
      </x:c>
      <x:c r="M10" t="str">
        <x:v>EWI-SCHOOLS-2026-09-03-A</x:v>
      </x:c>
      <x:c r="N10" t="str">
        <x:v>Hold</x:v>
      </x:c>
      <x:c r="O10"/>
      <x:c r="P10" t="str"/>
      <x:c r="Q10" t="str"/>
    </x:row>
    <x:row r="11">
      <x:c r="A11" t="str">
        <x:v>European international</x:v>
      </x:c>
      <x:c r="B11" t="str">
        <x:v>Poland</x:v>
      </x:c>
      <x:c r="C11" t="str">
        <x:v>Krakow</x:v>
      </x:c>
      <x:c r="D11" t="str">
        <x:v>British International School of Krakow</x:v>
      </x:c>
      <x:c r="E11" t="str">
        <x:v>COBIS member</x:v>
      </x:c>
      <x:c r="F11" t="str"/>
      <x:c r="G11" t="str"/>
      <x:c r="H11" t="str">
        <x:v>https://www.cobis.org.uk/our-network/search-for-cobis-members/cobis-school-search/</x:v>
      </x:c>
      <x:c r="I11" t="str">
        <x:v>COBIS directory</x:v>
      </x:c>
      <x:c r="J11" t="str">
        <x:v>Not reviewed</x:v>
      </x:c>
      <x:c r="K11" t="str">
        <x:v>Not reviewed</x:v>
      </x:c>
      <x:c r="L11" t="str">
        <x:v>No</x:v>
      </x:c>
      <x:c r="M11" t="str">
        <x:v>EWI-SCHOOLS-2026-09-03-A</x:v>
      </x:c>
      <x:c r="N11" t="str">
        <x:v>Hold</x:v>
      </x:c>
      <x:c r="O11"/>
      <x:c r="P11" t="str"/>
      <x:c r="Q11" t="str"/>
    </x:row>
    <x:row r="12">
      <x:c r="A12" t="str">
        <x:v>European international</x:v>
      </x:c>
      <x:c r="B12" t="str">
        <x:v>Poland</x:v>
      </x:c>
      <x:c r="C12" t="str">
        <x:v>Warsaw</x:v>
      </x:c>
      <x:c r="D12" t="str">
        <x:v>The British School, Warsaw</x:v>
      </x:c>
      <x:c r="E12" t="str">
        <x:v>COBIS accredited member</x:v>
      </x:c>
      <x:c r="F12" t="str"/>
      <x:c r="G12" t="str"/>
      <x:c r="H12" t="str">
        <x:v>https://www.cobis.org.uk/our-network/search-for-cobis-members/cobis-school-search/</x:v>
      </x:c>
      <x:c r="I12" t="str">
        <x:v>COBIS directory</x:v>
      </x:c>
      <x:c r="J12" t="str">
        <x:v>Not reviewed</x:v>
      </x:c>
      <x:c r="K12" t="str">
        <x:v>Not reviewed</x:v>
      </x:c>
      <x:c r="L12" t="str">
        <x:v>No</x:v>
      </x:c>
      <x:c r="M12" t="str">
        <x:v>EWI-SCHOOLS-2026-09-03-A</x:v>
      </x:c>
      <x:c r="N12" t="str">
        <x:v>Hold</x:v>
      </x:c>
      <x:c r="O12"/>
      <x:c r="P12" t="str"/>
      <x:c r="Q12" t="str"/>
    </x:row>
    <x:row r="13">
      <x:c r="A13" t="str">
        <x:v>European international</x:v>
      </x:c>
      <x:c r="B13" t="str">
        <x:v>Poland</x:v>
      </x:c>
      <x:c r="C13" t="str">
        <x:v>Warsaw</x:v>
      </x:c>
      <x:c r="D13" t="str">
        <x:v>Polish British Academy</x:v>
      </x:c>
      <x:c r="E13" t="str">
        <x:v>COBIS member</x:v>
      </x:c>
      <x:c r="F13" t="str"/>
      <x:c r="G13" t="str"/>
      <x:c r="H13" t="str">
        <x:v>https://www.cobis.org.uk/our-network/search-for-cobis-members/cobis-school-search/</x:v>
      </x:c>
      <x:c r="I13" t="str">
        <x:v>COBIS directory</x:v>
      </x:c>
      <x:c r="J13" t="str">
        <x:v>Not reviewed</x:v>
      </x:c>
      <x:c r="K13" t="str">
        <x:v>Not reviewed</x:v>
      </x:c>
      <x:c r="L13" t="str">
        <x:v>No</x:v>
      </x:c>
      <x:c r="M13" t="str">
        <x:v>EWI-SCHOOLS-2026-09-03-A</x:v>
      </x:c>
      <x:c r="N13" t="str">
        <x:v>Hold</x:v>
      </x:c>
      <x:c r="O13"/>
      <x:c r="P13" t="str"/>
      <x:c r="Q13" t="str"/>
    </x:row>
    <x:row r="14">
      <x:c r="A14" t="str">
        <x:v>European international</x:v>
      </x:c>
      <x:c r="B14" t="str">
        <x:v>Poland</x:v>
      </x:c>
      <x:c r="C14" t="str">
        <x:v>Łódź</x:v>
      </x:c>
      <x:c r="D14" t="str">
        <x:v>British International School of the University of Łódź</x:v>
      </x:c>
      <x:c r="E14" t="str">
        <x:v>COBIS member</x:v>
      </x:c>
      <x:c r="F14" t="str"/>
      <x:c r="G14" t="str"/>
      <x:c r="H14" t="str">
        <x:v>https://www.cobis.org.uk/our-network/search-for-cobis-members/cobis-school-search/</x:v>
      </x:c>
      <x:c r="I14" t="str">
        <x:v>COBIS directory</x:v>
      </x:c>
      <x:c r="J14" t="str">
        <x:v>Not reviewed</x:v>
      </x:c>
      <x:c r="K14" t="str">
        <x:v>Not reviewed</x:v>
      </x:c>
      <x:c r="L14" t="str">
        <x:v>No</x:v>
      </x:c>
      <x:c r="M14" t="str">
        <x:v>EWI-SCHOOLS-2026-09-03-A</x:v>
      </x:c>
      <x:c r="N14" t="str">
        <x:v>Hold</x:v>
      </x:c>
      <x:c r="O14"/>
      <x:c r="P14" t="str"/>
      <x:c r="Q14" t="str"/>
    </x:row>
    <x:row r="15">
      <x:c r="A15" t="str">
        <x:v>European international</x:v>
      </x:c>
      <x:c r="B15" t="str">
        <x:v>Slovenia</x:v>
      </x:c>
      <x:c r="C15" t="str">
        <x:v>Ljubljana</x:v>
      </x:c>
      <x:c r="D15" t="str">
        <x:v>British International School of Ljubljana</x:v>
      </x:c>
      <x:c r="E15" t="str">
        <x:v>COBIS accredited member</x:v>
      </x:c>
      <x:c r="F15" t="str"/>
      <x:c r="G15" t="str"/>
      <x:c r="H15" t="str">
        <x:v>https://www.cobis.org.uk/our-network/search-for-cobis-members/cobis-school-search/</x:v>
      </x:c>
      <x:c r="I15" t="str">
        <x:v>COBIS directory</x:v>
      </x:c>
      <x:c r="J15" t="str">
        <x:v>Not reviewed</x:v>
      </x:c>
      <x:c r="K15" t="str">
        <x:v>Not reviewed</x:v>
      </x:c>
      <x:c r="L15" t="str">
        <x:v>No</x:v>
      </x:c>
      <x:c r="M15" t="str">
        <x:v>EWI-SCHOOLS-2026-09-03-A</x:v>
      </x:c>
      <x:c r="N15" t="str">
        <x:v>Hold</x:v>
      </x:c>
      <x:c r="O15"/>
      <x:c r="P15" t="str"/>
      <x:c r="Q15" t="str"/>
    </x:row>
    <x:row r="16">
      <x:c r="A16" t="str">
        <x:v>European international</x:v>
      </x:c>
      <x:c r="B16" t="str">
        <x:v>Romania</x:v>
      </x:c>
      <x:c r="C16" t="str">
        <x:v>Bucharest</x:v>
      </x:c>
      <x:c r="D16" t="str">
        <x:v>Cambridge School of Bucharest</x:v>
      </x:c>
      <x:c r="E16" t="str">
        <x:v>COBIS accredited member</x:v>
      </x:c>
      <x:c r="F16" t="str"/>
      <x:c r="G16" t="str"/>
      <x:c r="H16" t="str">
        <x:v>https://www.cobis.org.uk/our-network/search-for-cobis-members/cobis-school-search/</x:v>
      </x:c>
      <x:c r="I16" t="str">
        <x:v>COBIS directory</x:v>
      </x:c>
      <x:c r="J16" t="str">
        <x:v>Not reviewed</x:v>
      </x:c>
      <x:c r="K16" t="str">
        <x:v>Not reviewed</x:v>
      </x:c>
      <x:c r="L16" t="str">
        <x:v>No</x:v>
      </x:c>
      <x:c r="M16" t="str">
        <x:v>EWI-SCHOOLS-2026-09-03-A</x:v>
      </x:c>
      <x:c r="N16" t="str">
        <x:v>Hold</x:v>
      </x:c>
      <x:c r="O16"/>
      <x:c r="P16" t="str"/>
      <x:c r="Q16" t="str"/>
    </x:row>
    <x:row r="17">
      <x:c r="A17" t="str">
        <x:v>European international</x:v>
      </x:c>
      <x:c r="B17" t="str">
        <x:v>Romania</x:v>
      </x:c>
      <x:c r="C17" t="str">
        <x:v>Bucharest</x:v>
      </x:c>
      <x:c r="D17" t="str">
        <x:v>International School of Bucharest</x:v>
      </x:c>
      <x:c r="E17" t="str">
        <x:v>COBIS accredited member</x:v>
      </x:c>
      <x:c r="F17" t="str"/>
      <x:c r="G17" t="str"/>
      <x:c r="H17" t="str">
        <x:v>https://www.cobis.org.uk/our-network/search-for-cobis-members/cobis-school-search/</x:v>
      </x:c>
      <x:c r="I17" t="str">
        <x:v>COBIS directory</x:v>
      </x:c>
      <x:c r="J17" t="str">
        <x:v>Not reviewed</x:v>
      </x:c>
      <x:c r="K17" t="str">
        <x:v>Not reviewed</x:v>
      </x:c>
      <x:c r="L17" t="str">
        <x:v>No</x:v>
      </x:c>
      <x:c r="M17" t="str">
        <x:v>EWI-SCHOOLS-2026-09-03-A</x:v>
      </x:c>
      <x:c r="N17" t="str">
        <x:v>Hold</x:v>
      </x:c>
      <x:c r="O17"/>
      <x:c r="P17" t="str"/>
      <x:c r="Q17" t="str"/>
    </x:row>
    <x:row r="18">
      <x:c r="A18" t="str">
        <x:v>European international</x:v>
      </x:c>
      <x:c r="B18" t="str">
        <x:v>Romania</x:v>
      </x:c>
      <x:c r="C18" t="str">
        <x:v>Bucharest</x:v>
      </x:c>
      <x:c r="D18" t="str">
        <x:v>King’s Oak British International School</x:v>
      </x:c>
      <x:c r="E18" t="str">
        <x:v>COBIS member</x:v>
      </x:c>
      <x:c r="F18" t="str"/>
      <x:c r="G18" t="str"/>
      <x:c r="H18" t="str">
        <x:v>https://www.cobis.org.uk/our-network/search-for-cobis-members/cobis-school-search/</x:v>
      </x:c>
      <x:c r="I18" t="str">
        <x:v>COBIS directory</x:v>
      </x:c>
      <x:c r="J18" t="str">
        <x:v>Not reviewed</x:v>
      </x:c>
      <x:c r="K18" t="str">
        <x:v>Not reviewed</x:v>
      </x:c>
      <x:c r="L18" t="str">
        <x:v>No</x:v>
      </x:c>
      <x:c r="M18" t="str">
        <x:v>EWI-SCHOOLS-2026-09-03-A</x:v>
      </x:c>
      <x:c r="N18" t="str">
        <x:v>Hold</x:v>
      </x:c>
      <x:c r="O18"/>
      <x:c r="P18" t="str"/>
      <x:c r="Q18" t="str"/>
    </x:row>
    <x:row r="19">
      <x:c r="A19" t="str">
        <x:v>European international</x:v>
      </x:c>
      <x:c r="B19" t="str">
        <x:v>Romania</x:v>
      </x:c>
      <x:c r="C19" t="str">
        <x:v>Bucharest</x:v>
      </x:c>
      <x:c r="D19" t="str">
        <x:v>Acorns Nursery</x:v>
      </x:c>
      <x:c r="E19" t="str">
        <x:v>Early years; low immediate fit</x:v>
      </x:c>
      <x:c r="F19" t="str"/>
      <x:c r="G19" t="str"/>
      <x:c r="H19" t="str">
        <x:v>https://www.cobis.org.uk/our-network/search-for-cobis-members/cobis-school-search/</x:v>
      </x:c>
      <x:c r="I19" t="str">
        <x:v>COBIS directory</x:v>
      </x:c>
      <x:c r="J19" t="str">
        <x:v>Not reviewed</x:v>
      </x:c>
      <x:c r="K19" t="str">
        <x:v>Not reviewed</x:v>
      </x:c>
      <x:c r="L19" t="str">
        <x:v>No</x:v>
      </x:c>
      <x:c r="M19" t="str">
        <x:v>EWI-SCHOOLS-2026-09-03-A</x:v>
      </x:c>
      <x:c r="N19" t="str">
        <x:v>Hold</x:v>
      </x:c>
      <x:c r="O19"/>
      <x:c r="P19" t="str"/>
      <x:c r="Q19" t="str"/>
    </x:row>
    <x:row r="20">
      <x:c r="A20" t="str">
        <x:v>European international</x:v>
      </x:c>
      <x:c r="B20" t="str">
        <x:v>Romania</x:v>
      </x:c>
      <x:c r="C20" t="str">
        <x:v>Timișoara</x:v>
      </x:c>
      <x:c r="D20" t="str">
        <x:v>British International School of Timișoara</x:v>
      </x:c>
      <x:c r="E20" t="str">
        <x:v>COBIS accredited member</x:v>
      </x:c>
      <x:c r="F20" t="str"/>
      <x:c r="G20" t="str"/>
      <x:c r="H20" t="str">
        <x:v>https://www.cobis.org.uk/our-network/search-for-cobis-members/cobis-school-search/</x:v>
      </x:c>
      <x:c r="I20" t="str">
        <x:v>COBIS directory</x:v>
      </x:c>
      <x:c r="J20" t="str">
        <x:v>Not reviewed</x:v>
      </x:c>
      <x:c r="K20" t="str">
        <x:v>Not reviewed</x:v>
      </x:c>
      <x:c r="L20" t="str">
        <x:v>No</x:v>
      </x:c>
      <x:c r="M20" t="str">
        <x:v>EWI-SCHOOLS-2026-09-03-A</x:v>
      </x:c>
      <x:c r="N20" t="str">
        <x:v>Hold</x:v>
      </x:c>
      <x:c r="O20"/>
      <x:c r="P20" t="str"/>
      <x:c r="Q20" t="str"/>
    </x:row>
    <x:row r="21">
      <x:c r="A21" t="str">
        <x:v>European international</x:v>
      </x:c>
      <x:c r="B21" t="str">
        <x:v>Romania</x:v>
      </x:c>
      <x:c r="C21" t="str">
        <x:v>Cluj-Napoca</x:v>
      </x:c>
      <x:c r="D21" t="str">
        <x:v>Researchers Schoolhouse</x:v>
      </x:c>
      <x:c r="E21" t="str">
        <x:v>COBIS member</x:v>
      </x:c>
      <x:c r="F21" t="str"/>
      <x:c r="G21" t="str"/>
      <x:c r="H21" t="str">
        <x:v>https://www.cobis.org.uk/our-network/search-for-cobis-members/cobis-school-search/</x:v>
      </x:c>
      <x:c r="I21" t="str">
        <x:v>COBIS directory</x:v>
      </x:c>
      <x:c r="J21" t="str">
        <x:v>Not reviewed</x:v>
      </x:c>
      <x:c r="K21" t="str">
        <x:v>Not reviewed</x:v>
      </x:c>
      <x:c r="L21" t="str">
        <x:v>No</x:v>
      </x:c>
      <x:c r="M21" t="str">
        <x:v>EWI-SCHOOLS-2026-09-03-A</x:v>
      </x:c>
      <x:c r="N21" t="str">
        <x:v>Hold</x:v>
      </x:c>
      <x:c r="O21"/>
      <x:c r="P21" t="str"/>
      <x:c r="Q21" t="str"/>
    </x:row>
    <x:row r="22">
      <x:c r="A22" t="str">
        <x:v>European international</x:v>
      </x:c>
      <x:c r="B22" t="str">
        <x:v>Greece</x:v>
      </x:c>
      <x:c r="C22" t="str">
        <x:v>Athens</x:v>
      </x:c>
      <x:c r="D22" t="str">
        <x:v>Byron College</x:v>
      </x:c>
      <x:c r="E22" t="str">
        <x:v>COBIS accredited member</x:v>
      </x:c>
      <x:c r="F22" t="str"/>
      <x:c r="G22" t="str"/>
      <x:c r="H22" t="str">
        <x:v>https://www.cobis.org.uk/our-network/search-for-cobis-members/cobis-school-search/</x:v>
      </x:c>
      <x:c r="I22" t="str">
        <x:v>COBIS directory</x:v>
      </x:c>
      <x:c r="J22" t="str">
        <x:v>Not reviewed</x:v>
      </x:c>
      <x:c r="K22" t="str">
        <x:v>Not reviewed</x:v>
      </x:c>
      <x:c r="L22" t="str">
        <x:v>No</x:v>
      </x:c>
      <x:c r="M22" t="str">
        <x:v>EWI-SCHOOLS-2026-09-03-A</x:v>
      </x:c>
      <x:c r="N22" t="str">
        <x:v>Hold</x:v>
      </x:c>
      <x:c r="O22"/>
      <x:c r="P22" t="str"/>
      <x:c r="Q22" t="str"/>
    </x:row>
    <x:row r="23">
      <x:c r="A23" t="str">
        <x:v>European international</x:v>
      </x:c>
      <x:c r="B23" t="str">
        <x:v>Greece</x:v>
      </x:c>
      <x:c r="C23" t="str">
        <x:v>Pallini</x:v>
      </x:c>
      <x:c r="D23" t="str">
        <x:v>Campion School</x:v>
      </x:c>
      <x:c r="E23" t="str">
        <x:v>COBIS accredited member</x:v>
      </x:c>
      <x:c r="F23" t="str"/>
      <x:c r="G23" t="str"/>
      <x:c r="H23" t="str">
        <x:v>https://www.cobis.org.uk/our-network/search-for-cobis-members/cobis-school-search/</x:v>
      </x:c>
      <x:c r="I23" t="str">
        <x:v>COBIS directory</x:v>
      </x:c>
      <x:c r="J23" t="str">
        <x:v>Not reviewed</x:v>
      </x:c>
      <x:c r="K23" t="str">
        <x:v>Not reviewed</x:v>
      </x:c>
      <x:c r="L23" t="str">
        <x:v>No</x:v>
      </x:c>
      <x:c r="M23" t="str">
        <x:v>EWI-SCHOOLS-2026-09-03-A</x:v>
      </x:c>
      <x:c r="N23" t="str">
        <x:v>Hold</x:v>
      </x:c>
      <x:c r="O23"/>
      <x:c r="P23" t="str"/>
      <x:c r="Q23" t="str"/>
    </x:row>
    <x:row r="24">
      <x:c r="A24" t="str">
        <x:v>European international</x:v>
      </x:c>
      <x:c r="B24" t="str">
        <x:v>Greece</x:v>
      </x:c>
      <x:c r="C24" t="str">
        <x:v>Athens</x:v>
      </x:c>
      <x:c r="D24" t="str">
        <x:v>Verita International School</x:v>
      </x:c>
      <x:c r="E24" t="str">
        <x:v>COBIS accredited member</x:v>
      </x:c>
      <x:c r="F24" t="str"/>
      <x:c r="G24" t="str"/>
      <x:c r="H24" t="str">
        <x:v>https://www.cobis.org.uk/our-network/search-for-cobis-members/cobis-school-search/</x:v>
      </x:c>
      <x:c r="I24" t="str">
        <x:v>COBIS directory</x:v>
      </x:c>
      <x:c r="J24" t="str">
        <x:v>Not reviewed</x:v>
      </x:c>
      <x:c r="K24" t="str">
        <x:v>Not reviewed</x:v>
      </x:c>
      <x:c r="L24" t="str">
        <x:v>No</x:v>
      </x:c>
      <x:c r="M24" t="str">
        <x:v>EWI-SCHOOLS-2026-09-03-A</x:v>
      </x:c>
      <x:c r="N24" t="str">
        <x:v>Hold</x:v>
      </x:c>
      <x:c r="O24"/>
      <x:c r="P24" t="str"/>
      <x:c r="Q24" t="str"/>
    </x:row>
    <x:row r="25">
      <x:c r="A25" t="str">
        <x:v>European international</x:v>
      </x:c>
      <x:c r="B25" t="str">
        <x:v>Greece</x:v>
      </x:c>
      <x:c r="C25" t="str">
        <x:v>Varkiza</x:v>
      </x:c>
      <x:c r="D25" t="str">
        <x:v>St Lawrence College</x:v>
      </x:c>
      <x:c r="E25" t="str">
        <x:v>COBIS member</x:v>
      </x:c>
      <x:c r="F25" t="str"/>
      <x:c r="G25" t="str"/>
      <x:c r="H25" t="str">
        <x:v>https://www.cobis.org.uk/our-network/search-for-cobis-members/cobis-school-search/</x:v>
      </x:c>
      <x:c r="I25" t="str">
        <x:v>COBIS directory</x:v>
      </x:c>
      <x:c r="J25" t="str">
        <x:v>Not reviewed</x:v>
      </x:c>
      <x:c r="K25" t="str">
        <x:v>Not reviewed</x:v>
      </x:c>
      <x:c r="L25" t="str">
        <x:v>No</x:v>
      </x:c>
      <x:c r="M25" t="str">
        <x:v>EWI-SCHOOLS-2026-09-03-A</x:v>
      </x:c>
      <x:c r="N25" t="str">
        <x:v>Hold</x:v>
      </x:c>
      <x:c r="O25"/>
      <x:c r="P25" t="str"/>
      <x:c r="Q25" t="str"/>
    </x:row>
    <x:row r="26">
      <x:c r="A26" t="str">
        <x:v>European international</x:v>
      </x:c>
      <x:c r="B26" t="str">
        <x:v>Serbia</x:v>
      </x:c>
      <x:c r="C26" t="str">
        <x:v>Belgrade</x:v>
      </x:c>
      <x:c r="D26" t="str">
        <x:v>Chartwell International School</x:v>
      </x:c>
      <x:c r="E26" t="str">
        <x:v>COBIS member</x:v>
      </x:c>
      <x:c r="F26" t="str"/>
      <x:c r="G26" t="str"/>
      <x:c r="H26" t="str">
        <x:v>https://www.cobis.org.uk/our-network/search-for-cobis-members/cobis-school-search/</x:v>
      </x:c>
      <x:c r="I26" t="str">
        <x:v>COBIS directory</x:v>
      </x:c>
      <x:c r="J26" t="str">
        <x:v>Not reviewed</x:v>
      </x:c>
      <x:c r="K26" t="str">
        <x:v>Not reviewed</x:v>
      </x:c>
      <x:c r="L26" t="str">
        <x:v>No</x:v>
      </x:c>
      <x:c r="M26" t="str">
        <x:v>EWI-SCHOOLS-2026-09-03-A</x:v>
      </x:c>
      <x:c r="N26" t="str">
        <x:v>Hold</x:v>
      </x:c>
      <x:c r="O26"/>
      <x:c r="P26" t="str"/>
      <x:c r="Q26" t="str"/>
    </x:row>
    <x:row r="27">
      <x:c r="A27" t="str">
        <x:v>European international</x:v>
      </x:c>
      <x:c r="B27" t="str">
        <x:v>Serbia</x:v>
      </x:c>
      <x:c r="C27" t="str">
        <x:v>Belgrade</x:v>
      </x:c>
      <x:c r="D27" t="str">
        <x:v>PRIMA International School</x:v>
      </x:c>
      <x:c r="E27" t="str">
        <x:v>COBIS member</x:v>
      </x:c>
      <x:c r="F27" t="str"/>
      <x:c r="G27" t="str"/>
      <x:c r="H27" t="str">
        <x:v>https://www.cobis.org.uk/our-network/search-for-cobis-members/cobis-school-search/</x:v>
      </x:c>
      <x:c r="I27" t="str">
        <x:v>COBIS directory</x:v>
      </x:c>
      <x:c r="J27" t="str">
        <x:v>Not reviewed</x:v>
      </x:c>
      <x:c r="K27" t="str">
        <x:v>Not reviewed</x:v>
      </x:c>
      <x:c r="L27" t="str">
        <x:v>No</x:v>
      </x:c>
      <x:c r="M27" t="str">
        <x:v>EWI-SCHOOLS-2026-09-03-A</x:v>
      </x:c>
      <x:c r="N27" t="str">
        <x:v>Hold</x:v>
      </x:c>
      <x:c r="O27"/>
      <x:c r="P27" t="str"/>
      <x:c r="Q27" t="str"/>
    </x:row>
    <x:row r="28">
      <x:c r="A28" t="str">
        <x:v>European international</x:v>
      </x:c>
      <x:c r="B28" t="str">
        <x:v>Hungary</x:v>
      </x:c>
      <x:c r="C28" t="str">
        <x:v>Budapest</x:v>
      </x:c>
      <x:c r="D28" t="str">
        <x:v>Budapest British International Academy</x:v>
      </x:c>
      <x:c r="E28" t="str">
        <x:v>COBIS member</x:v>
      </x:c>
      <x:c r="F28" t="str"/>
      <x:c r="G28" t="str"/>
      <x:c r="H28" t="str">
        <x:v>https://www.cobis.org.uk/our-network/search-for-cobis-members/cobis-school-search/</x:v>
      </x:c>
      <x:c r="I28" t="str">
        <x:v>COBIS directory</x:v>
      </x:c>
      <x:c r="J28" t="str">
        <x:v>Not reviewed</x:v>
      </x:c>
      <x:c r="K28" t="str">
        <x:v>Not reviewed</x:v>
      </x:c>
      <x:c r="L28" t="str">
        <x:v>No</x:v>
      </x:c>
      <x:c r="M28" t="str">
        <x:v>EWI-SCHOOLS-2026-09-03-A</x:v>
      </x:c>
      <x:c r="N28" t="str">
        <x:v>Hold</x:v>
      </x:c>
      <x:c r="O28"/>
      <x:c r="P28" t="str"/>
      <x:c r="Q28" t="str"/>
    </x:row>
    <x:row r="29">
      <x:c r="A29" t="str">
        <x:v>European international</x:v>
      </x:c>
      <x:c r="B29" t="str">
        <x:v>Hungary</x:v>
      </x:c>
      <x:c r="C29" t="str">
        <x:v>Budapest</x:v>
      </x:c>
      <x:c r="D29" t="str">
        <x:v>Budapest British International School</x:v>
      </x:c>
      <x:c r="E29" t="str">
        <x:v>COBIS accredited member</x:v>
      </x:c>
      <x:c r="F29" t="str"/>
      <x:c r="G29" t="str"/>
      <x:c r="H29" t="str">
        <x:v>https://www.cobis.org.uk/our-network/search-for-cobis-members/cobis-school-search/</x:v>
      </x:c>
      <x:c r="I29" t="str">
        <x:v>COBIS directory</x:v>
      </x:c>
      <x:c r="J29" t="str">
        <x:v>Not reviewed</x:v>
      </x:c>
      <x:c r="K29" t="str">
        <x:v>Not reviewed</x:v>
      </x:c>
      <x:c r="L29" t="str">
        <x:v>No</x:v>
      </x:c>
      <x:c r="M29" t="str">
        <x:v>EWI-SCHOOLS-2026-09-03-A</x:v>
      </x:c>
      <x:c r="N29" t="str">
        <x:v>Hold</x:v>
      </x:c>
      <x:c r="O29"/>
      <x:c r="P29" t="str"/>
      <x:c r="Q29" t="str"/>
    </x:row>
    <x:row r="30">
      <x:c r="A30" t="str">
        <x:v>European international</x:v>
      </x:c>
      <x:c r="B30" t="str">
        <x:v>Czech Republic</x:v>
      </x:c>
      <x:c r="C30" t="str">
        <x:v>Prague</x:v>
      </x:c>
      <x:c r="D30" t="str">
        <x:v>Park Lane International School</x:v>
      </x:c>
      <x:c r="E30" t="str">
        <x:v>COBIS member</x:v>
      </x:c>
      <x:c r="F30" t="str"/>
      <x:c r="G30" t="str"/>
      <x:c r="H30" t="str">
        <x:v>https://www.cobis.org.uk/our-network/search-for-cobis-members/cobis-school-search/</x:v>
      </x:c>
      <x:c r="I30" t="str">
        <x:v>COBIS directory</x:v>
      </x:c>
      <x:c r="J30" t="str">
        <x:v>Not reviewed</x:v>
      </x:c>
      <x:c r="K30" t="str">
        <x:v>Not reviewed</x:v>
      </x:c>
      <x:c r="L30" t="str">
        <x:v>No</x:v>
      </x:c>
      <x:c r="M30" t="str">
        <x:v>EWI-SCHOOLS-2026-09-03-A</x:v>
      </x:c>
      <x:c r="N30" t="str">
        <x:v>Hold</x:v>
      </x:c>
      <x:c r="O30"/>
      <x:c r="P30" t="str"/>
      <x:c r="Q30" t="str"/>
    </x:row>
    <x:row r="31">
      <x:c r="A31" t="str">
        <x:v>European international</x:v>
      </x:c>
      <x:c r="B31" t="str">
        <x:v>Czech Republic</x:v>
      </x:c>
      <x:c r="C31" t="str">
        <x:v>Prague</x:v>
      </x:c>
      <x:c r="D31" t="str">
        <x:v>Prague British International School</x:v>
      </x:c>
      <x:c r="E31" t="str">
        <x:v>COBIS accredited member</x:v>
      </x:c>
      <x:c r="F31" t="str"/>
      <x:c r="G31" t="str"/>
      <x:c r="H31" t="str">
        <x:v>https://www.cobis.org.uk/our-network/search-for-cobis-members/cobis-school-search/</x:v>
      </x:c>
      <x:c r="I31" t="str">
        <x:v>COBIS directory</x:v>
      </x:c>
      <x:c r="J31" t="str">
        <x:v>Not reviewed</x:v>
      </x:c>
      <x:c r="K31" t="str">
        <x:v>Not reviewed</x:v>
      </x:c>
      <x:c r="L31" t="str">
        <x:v>No</x:v>
      </x:c>
      <x:c r="M31" t="str">
        <x:v>EWI-SCHOOLS-2026-09-03-A</x:v>
      </x:c>
      <x:c r="N31" t="str">
        <x:v>Hold</x:v>
      </x:c>
      <x:c r="O31"/>
      <x:c r="P31" t="str"/>
      <x:c r="Q31" t="str"/>
    </x:row>
    <x:row r="32">
      <x:c r="A32" t="str">
        <x:v>European international</x:v>
      </x:c>
      <x:c r="B32" t="str">
        <x:v>Czech Republic</x:v>
      </x:c>
      <x:c r="C32" t="str">
        <x:v>Prague</x:v>
      </x:c>
      <x:c r="D32" t="str">
        <x:v>The English College in Prague</x:v>
      </x:c>
      <x:c r="E32" t="str">
        <x:v>COBIS member</x:v>
      </x:c>
      <x:c r="F32" t="str"/>
      <x:c r="G32" t="str"/>
      <x:c r="H32" t="str">
        <x:v>https://www.cobis.org.uk/our-network/search-for-cobis-members/cobis-school-search/</x:v>
      </x:c>
      <x:c r="I32" t="str">
        <x:v>COBIS directory</x:v>
      </x:c>
      <x:c r="J32" t="str">
        <x:v>Not reviewed</x:v>
      </x:c>
      <x:c r="K32" t="str">
        <x:v>Not reviewed</x:v>
      </x:c>
      <x:c r="L32" t="str">
        <x:v>No</x:v>
      </x:c>
      <x:c r="M32" t="str">
        <x:v>EWI-SCHOOLS-2026-09-03-A</x:v>
      </x:c>
      <x:c r="N32" t="str">
        <x:v>Hold</x:v>
      </x:c>
      <x:c r="O32"/>
      <x:c r="P32" t="str"/>
      <x:c r="Q32" t="str"/>
    </x:row>
    <x:row r="33">
      <x:c r="A33" t="str">
        <x:v>European international</x:v>
      </x:c>
      <x:c r="B33" t="str">
        <x:v>Czech Republic</x:v>
      </x:c>
      <x:c r="C33" t="str">
        <x:v>Olomouc</x:v>
      </x:c>
      <x:c r="D33" t="str">
        <x:v>International School Olomouc</x:v>
      </x:c>
      <x:c r="E33" t="str">
        <x:v>COBIS member</x:v>
      </x:c>
      <x:c r="F33" t="str"/>
      <x:c r="G33" t="str"/>
      <x:c r="H33" t="str">
        <x:v>https://www.cobis.org.uk/our-network/search-for-cobis-members/cobis-school-search/</x:v>
      </x:c>
      <x:c r="I33" t="str">
        <x:v>COBIS directory</x:v>
      </x:c>
      <x:c r="J33" t="str">
        <x:v>Not reviewed</x:v>
      </x:c>
      <x:c r="K33" t="str">
        <x:v>Not reviewed</x:v>
      </x:c>
      <x:c r="L33" t="str">
        <x:v>No</x:v>
      </x:c>
      <x:c r="M33" t="str">
        <x:v>EWI-SCHOOLS-2026-09-03-A</x:v>
      </x:c>
      <x:c r="N33" t="str">
        <x:v>Hold</x:v>
      </x:c>
      <x:c r="O33"/>
      <x:c r="P33" t="str"/>
      <x:c r="Q33" t="str"/>
    </x:row>
    <x:row r="34">
      <x:c r="A34" t="str">
        <x:v>European international</x:v>
      </x:c>
      <x:c r="B34" t="str">
        <x:v>Czech Republic</x:v>
      </x:c>
      <x:c r="C34" t="str">
        <x:v>Ostrava</x:v>
      </x:c>
      <x:c r="D34" t="str">
        <x:v>PORG International School</x:v>
      </x:c>
      <x:c r="E34" t="str">
        <x:v>COBIS accredited member</x:v>
      </x:c>
      <x:c r="F34" t="str"/>
      <x:c r="G34" t="str"/>
      <x:c r="H34" t="str">
        <x:v>https://www.cobis.org.uk/our-network/search-for-cobis-members/cobis-school-search/</x:v>
      </x:c>
      <x:c r="I34" t="str">
        <x:v>COBIS directory</x:v>
      </x:c>
      <x:c r="J34" t="str">
        <x:v>Not reviewed</x:v>
      </x:c>
      <x:c r="K34" t="str">
        <x:v>Not reviewed</x:v>
      </x:c>
      <x:c r="L34" t="str">
        <x:v>No</x:v>
      </x:c>
      <x:c r="M34" t="str">
        <x:v>EWI-SCHOOLS-2026-09-03-A</x:v>
      </x:c>
      <x:c r="N34" t="str">
        <x:v>Hold</x:v>
      </x:c>
      <x:c r="O34"/>
      <x:c r="P34" t="str"/>
      <x:c r="Q34" t="str"/>
    </x:row>
    <x:row r="35">
      <x:c r="A35" t="str">
        <x:v>European international</x:v>
      </x:c>
      <x:c r="B35" t="str">
        <x:v>Portugal</x:v>
      </x:c>
      <x:c r="C35" t="str">
        <x:v>Porto</x:v>
      </x:c>
      <x:c r="D35" t="str">
        <x:v>Oporto British School</x:v>
      </x:c>
      <x:c r="E35" t="str">
        <x:v>COBIS accredited member</x:v>
      </x:c>
      <x:c r="F35" t="str"/>
      <x:c r="G35" t="str"/>
      <x:c r="H35" t="str">
        <x:v>https://www.cobis.org.uk/our-network/search-for-cobis-members/cobis-school-search/</x:v>
      </x:c>
      <x:c r="I35" t="str">
        <x:v>COBIS directory</x:v>
      </x:c>
      <x:c r="J35" t="str">
        <x:v>Not reviewed</x:v>
      </x:c>
      <x:c r="K35" t="str">
        <x:v>Not reviewed</x:v>
      </x:c>
      <x:c r="L35" t="str">
        <x:v>No</x:v>
      </x:c>
      <x:c r="M35" t="str">
        <x:v>EWI-SCHOOLS-2026-09-03-A</x:v>
      </x:c>
      <x:c r="N35" t="str">
        <x:v>Hold</x:v>
      </x:c>
      <x:c r="O35"/>
      <x:c r="P35" t="str"/>
      <x:c r="Q35" t="str"/>
    </x:row>
    <x:row r="36">
      <x:c r="A36" t="str">
        <x:v>European international</x:v>
      </x:c>
      <x:c r="B36" t="str">
        <x:v>Portugal</x:v>
      </x:c>
      <x:c r="C36" t="str">
        <x:v>Lisbon</x:v>
      </x:c>
      <x:c r="D36" t="str">
        <x:v>St Julian’s School</x:v>
      </x:c>
      <x:c r="E36" t="str">
        <x:v>COBIS accredited member</x:v>
      </x:c>
      <x:c r="F36" t="str"/>
      <x:c r="G36" t="str"/>
      <x:c r="H36" t="str">
        <x:v>https://www.cobis.org.uk/our-network/search-for-cobis-members/cobis-school-search/</x:v>
      </x:c>
      <x:c r="I36" t="str">
        <x:v>COBIS directory</x:v>
      </x:c>
      <x:c r="J36" t="str">
        <x:v>Not reviewed</x:v>
      </x:c>
      <x:c r="K36" t="str">
        <x:v>Not reviewed</x:v>
      </x:c>
      <x:c r="L36" t="str">
        <x:v>No</x:v>
      </x:c>
      <x:c r="M36" t="str">
        <x:v>EWI-SCHOOLS-2026-09-03-A</x:v>
      </x:c>
      <x:c r="N36" t="str">
        <x:v>Hold</x:v>
      </x:c>
      <x:c r="O36"/>
      <x:c r="P36" t="str"/>
      <x:c r="Q36" t="str"/>
    </x:row>
    <x:row r="37">
      <x:c r="A37" t="str">
        <x:v>European international</x:v>
      </x:c>
      <x:c r="B37" t="str">
        <x:v>Portugal</x:v>
      </x:c>
      <x:c r="C37" t="str">
        <x:v>Lisbon</x:v>
      </x:c>
      <x:c r="D37" t="str">
        <x:v>British School of Lisbon</x:v>
      </x:c>
      <x:c r="E37" t="str">
        <x:v>COBIS member</x:v>
      </x:c>
      <x:c r="F37" t="str"/>
      <x:c r="G37" t="str"/>
      <x:c r="H37" t="str">
        <x:v>https://www.cobis.org.uk/our-network/search-for-cobis-members/cobis-school-search/</x:v>
      </x:c>
      <x:c r="I37" t="str">
        <x:v>COBIS directory</x:v>
      </x:c>
      <x:c r="J37" t="str">
        <x:v>Not reviewed</x:v>
      </x:c>
      <x:c r="K37" t="str">
        <x:v>Not reviewed</x:v>
      </x:c>
      <x:c r="L37" t="str">
        <x:v>No</x:v>
      </x:c>
      <x:c r="M37" t="str">
        <x:v>EWI-SCHOOLS-2026-09-03-A</x:v>
      </x:c>
      <x:c r="N37" t="str">
        <x:v>Hold</x:v>
      </x:c>
      <x:c r="O37"/>
      <x:c r="P37" t="str"/>
      <x:c r="Q37" t="str"/>
    </x:row>
    <x:row r="38">
      <x:c r="A38" t="str">
        <x:v>European international</x:v>
      </x:c>
      <x:c r="B38" t="str">
        <x:v>Portugal</x:v>
      </x:c>
      <x:c r="C38" t="str">
        <x:v>Cascais</x:v>
      </x:c>
      <x:c r="D38" t="str">
        <x:v>IPS Cascais</x:v>
      </x:c>
      <x:c r="E38" t="str">
        <x:v>COBIS member</x:v>
      </x:c>
      <x:c r="F38" t="str"/>
      <x:c r="G38" t="str"/>
      <x:c r="H38" t="str">
        <x:v>https://www.cobis.org.uk/our-network/search-for-cobis-members/cobis-school-search/</x:v>
      </x:c>
      <x:c r="I38" t="str">
        <x:v>COBIS directory</x:v>
      </x:c>
      <x:c r="J38" t="str">
        <x:v>Not reviewed</x:v>
      </x:c>
      <x:c r="K38" t="str">
        <x:v>Not reviewed</x:v>
      </x:c>
      <x:c r="L38" t="str">
        <x:v>No</x:v>
      </x:c>
      <x:c r="M38" t="str">
        <x:v>EWI-SCHOOLS-2026-09-03-A</x:v>
      </x:c>
      <x:c r="N38" t="str">
        <x:v>Hold</x:v>
      </x:c>
      <x:c r="O38"/>
      <x:c r="P38" t="str"/>
      <x:c r="Q38" t="str"/>
    </x:row>
    <x:row r="39">
      <x:c r="A39" t="str">
        <x:v>European international</x:v>
      </x:c>
      <x:c r="B39" t="str">
        <x:v>Italy</x:v>
      </x:c>
      <x:c r="C39" t="str">
        <x:v>Rome</x:v>
      </x:c>
      <x:c r="D39" t="str">
        <x:v>St George’s British International School</x:v>
      </x:c>
      <x:c r="E39" t="str">
        <x:v>COBIS member; close-to-market prospect</x:v>
      </x:c>
      <x:c r="F39" t="str"/>
      <x:c r="G39" t="str"/>
      <x:c r="H39" t="str">
        <x:v>https://www.cobis.org.uk/our-network/search-for-cobis-members/cobis-school-search/</x:v>
      </x:c>
      <x:c r="I39" t="str">
        <x:v>COBIS directory</x:v>
      </x:c>
      <x:c r="J39" t="str">
        <x:v>Not reviewed</x:v>
      </x:c>
      <x:c r="K39" t="str">
        <x:v>Not reviewed</x:v>
      </x:c>
      <x:c r="L39" t="str">
        <x:v>No</x:v>
      </x:c>
      <x:c r="M39" t="str">
        <x:v>EWI-SCHOOLS-2026-09-03-A</x:v>
      </x:c>
      <x:c r="N39" t="str">
        <x:v>Hold</x:v>
      </x:c>
      <x:c r="O39"/>
      <x:c r="P39" t="str"/>
      <x:c r="Q39" t="str"/>
    </x:row>
    <x:row r="40">
      <x:c r="A40" t="str">
        <x:v>European international</x:v>
      </x:c>
      <x:c r="B40" t="str">
        <x:v>Italy</x:v>
      </x:c>
      <x:c r="C40" t="str">
        <x:v>Milan</x:v>
      </x:c>
      <x:c r="D40" t="str">
        <x:v>The British School of Milan</x:v>
      </x:c>
      <x:c r="E40" t="str">
        <x:v>COBIS member; domestic international prospect</x:v>
      </x:c>
      <x:c r="F40" t="str"/>
      <x:c r="G40" t="str"/>
      <x:c r="H40" t="str">
        <x:v>https://www.cobis.org.uk/our-network/search-for-cobis-members/cobis-school-search/</x:v>
      </x:c>
      <x:c r="I40" t="str">
        <x:v>COBIS directory</x:v>
      </x:c>
      <x:c r="J40" t="str">
        <x:v>Not reviewed</x:v>
      </x:c>
      <x:c r="K40" t="str">
        <x:v>Not reviewed</x:v>
      </x:c>
      <x:c r="L40" t="str">
        <x:v>No</x:v>
      </x:c>
      <x:c r="M40" t="str">
        <x:v>EWI-SCHOOLS-2026-09-03-A</x:v>
      </x:c>
      <x:c r="N40" t="str">
        <x:v>Hold</x:v>
      </x:c>
      <x:c r="O40"/>
      <x:c r="P40" t="str"/>
      <x:c r="Q40" t="str"/>
    </x:row>
    <x:row r="41">
      <x:c r="A41" t="str">
        <x:v>European international</x:v>
      </x:c>
      <x:c r="B41" t="str">
        <x:v>Germany</x:v>
      </x:c>
      <x:c r="C41" t="str">
        <x:v>Munich</x:v>
      </x:c>
      <x:c r="D41" t="str">
        <x:v>St George’s British International School Munich</x:v>
      </x:c>
      <x:c r="E41" t="str">
        <x:v>COBIS member</x:v>
      </x:c>
      <x:c r="F41" t="str"/>
      <x:c r="G41" t="str"/>
      <x:c r="H41" t="str">
        <x:v>https://www.cobis.org.uk/our-network/search-for-cobis-members/cobis-school-search/</x:v>
      </x:c>
      <x:c r="I41" t="str">
        <x:v>COBIS directory</x:v>
      </x:c>
      <x:c r="J41" t="str">
        <x:v>Not reviewed</x:v>
      </x:c>
      <x:c r="K41" t="str">
        <x:v>Not reviewed</x:v>
      </x:c>
      <x:c r="L41" t="str">
        <x:v>No</x:v>
      </x:c>
      <x:c r="M41" t="str">
        <x:v>EWI-SCHOOLS-2026-09-03-A</x:v>
      </x:c>
      <x:c r="N41" t="str">
        <x:v>Hold</x:v>
      </x:c>
      <x:c r="O41"/>
      <x:c r="P41" t="str"/>
      <x:c r="Q41" t="str"/>
    </x:row>
    <x:row r="42">
      <x:c r="A42" t="str">
        <x:v>European international</x:v>
      </x:c>
      <x:c r="B42" t="str">
        <x:v>Luxembourg</x:v>
      </x:c>
      <x:c r="C42" t="str">
        <x:v>Luxembourg</x:v>
      </x:c>
      <x:c r="D42" t="str">
        <x:v>St George’s International School</x:v>
      </x:c>
      <x:c r="E42" t="str">
        <x:v>COBIS accredited member</x:v>
      </x:c>
      <x:c r="F42" t="str"/>
      <x:c r="G42" t="str"/>
      <x:c r="H42" t="str">
        <x:v>https://www.cobis.org.uk/our-network/search-for-cobis-members/cobis-school-search/</x:v>
      </x:c>
      <x:c r="I42" t="str">
        <x:v>COBIS directory</x:v>
      </x:c>
      <x:c r="J42" t="str">
        <x:v>Not reviewed</x:v>
      </x:c>
      <x:c r="K42" t="str">
        <x:v>Not reviewed</x:v>
      </x:c>
      <x:c r="L42" t="str">
        <x:v>No</x:v>
      </x:c>
      <x:c r="M42" t="str">
        <x:v>EWI-SCHOOLS-2026-09-03-A</x:v>
      </x:c>
      <x:c r="N42" t="str">
        <x:v>Hold</x:v>
      </x:c>
      <x:c r="O42"/>
      <x:c r="P42" t="str"/>
      <x:c r="Q42" t="str"/>
    </x:row>
  </x:sheetData>
  <x:mergeCells>
    <x:mergeCell ref="A1:Q1"/>
    <x:mergeCell ref="A2:Q2"/>
  </x:mergeCells>
  <x:dataValidations count="3">
    <x:dataValidation type="list" sqref="K4:K42">
      <x:formula1>"Not reviewed,Needs human verification,Verified"</x:formula1>
    </x:dataValidation>
    <x:dataValidation type="list" sqref="L4:L42">
      <x:formula1>"No,Yes"</x:formula1>
    </x:dataValidation>
    <x:dataValidation type="list" sqref="N4:N42">
      <x:formula1>"Hold,Send,Do not contact"</x:formula1>
    </x:dataValidation>
  </x:dataValidations>
  <x:pageMargins left="0.7" right="0.7" top="0.75" bottom="0.75" header="0.3" footer="0.3"/>
  <x:tableParts count="1">
    <x:tablePart xmlns:r="http://schemas.openxmlformats.org/officeDocument/2006/relationships" r:id="R5295e673b5a0465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9" hidden="0" customWidth="1"/>
    <x:col min="3" max="3" width="20" hidden="0" customWidth="1"/>
    <x:col min="4" max="4" width="34" hidden="0" customWidth="1"/>
    <x:col min="5" max="5" width="34" hidden="0" customWidth="1"/>
    <x:col min="6" max="6" width="24" hidden="0" customWidth="1"/>
    <x:col min="7" max="7" width="28" hidden="0" customWidth="1"/>
    <x:col min="8" max="8" width="40" hidden="0" customWidth="1"/>
    <x:col min="9" max="9" width="30" hidden="0" customWidth="1"/>
    <x:col min="10" max="10" width="15" hidden="0" customWidth="1"/>
    <x:col min="11" max="11" width="16" hidden="0" customWidth="1"/>
    <x:col min="12" max="12" width="15" hidden="0" customWidth="1"/>
    <x:col min="13" max="13" width="28" hidden="0" customWidth="1"/>
    <x:col min="14" max="14" width="34" hidden="0" customWidth="1"/>
  </x:cols>
  <x:sheetData>
    <x:row r="1" ht="36" customHeight="1">
      <x:c r="A1" s="3" t="str">
        <x:v>Send log</x:v>
      </x:c>
      <x:c r="B1" s="3"/>
      <x:c r="C1" s="3"/>
      <x:c r="D1" s="3"/>
      <x:c r="E1" s="3"/>
      <x:c r="F1" s="3"/>
      <x:c r="G1" s="3"/>
      <x:c r="H1" s="3"/>
      <x:c r="I1" s="3"/>
      <x:c r="J1" s="3"/>
      <x:c r="K1" s="3"/>
      <x:c r="L1" s="3"/>
      <x:c r="M1" s="3"/>
      <x:c r="N1" s="3"/>
    </x:row>
    <x:row r="2" ht="32" customHeight="1">
      <x:c r="A2" s="6" t="str">
        <x:v>One row per actual message. Nothing is considered sent unless it appears here.</x:v>
      </x:c>
      <x:c r="B2" s="6"/>
      <x:c r="C2" s="6"/>
      <x:c r="D2" s="6"/>
      <x:c r="E2" s="6"/>
      <x:c r="F2" s="6"/>
      <x:c r="G2" s="6"/>
      <x:c r="H2" s="6"/>
      <x:c r="I2" s="6"/>
      <x:c r="J2" s="6"/>
      <x:c r="K2" s="6"/>
      <x:c r="L2" s="6"/>
      <x:c r="M2" s="6"/>
      <x:c r="N2" s="6"/>
    </x:row>
    <x:row r="3" ht="34" customHeight="1">
      <x:c r="A3" s="12" t="str">
        <x:v>Send ID</x:v>
      </x:c>
      <x:c r="B3" s="20" t="str">
        <x:v>Date/time</x:v>
      </x:c>
      <x:c r="C3" s="20" t="str">
        <x:v>Market</x:v>
      </x:c>
      <x:c r="D3" s="20" t="str">
        <x:v>School</x:v>
      </x:c>
      <x:c r="E3" s="20" t="str">
        <x:v>Recipient email</x:v>
      </x:c>
      <x:c r="F3" s="20" t="str">
        <x:v>Recipient role</x:v>
      </x:c>
      <x:c r="G3" s="20" t="str">
        <x:v>Copy version</x:v>
      </x:c>
      <x:c r="H3" s="20" t="str">
        <x:v>Subject</x:v>
      </x:c>
      <x:c r="I3" s="20" t="str">
        <x:v>Sender mailbox</x:v>
      </x:c>
      <x:c r="J3" s="20" t="str">
        <x:v>Delivery</x:v>
      </x:c>
      <x:c r="K3" s="20" t="str">
        <x:v>Reply status</x:v>
      </x:c>
      <x:c r="L3" s="20" t="str">
        <x:v>Owner</x:v>
      </x:c>
      <x:c r="M3" s="20" t="str">
        <x:v>Next action</x:v>
      </x:c>
      <x:c r="N3" s="13" t="str">
        <x:v>Notes</x:v>
      </x:c>
    </x:row>
    <x:row r="4">
      <x:c r="A4"/>
      <x:c r="B4" s="45"/>
      <x:c r="C4"/>
      <x:c r="D4"/>
      <x:c r="E4"/>
      <x:c r="F4"/>
      <x:c r="G4"/>
      <x:c r="H4"/>
      <x:c r="I4"/>
      <x:c r="J4"/>
      <x:c r="K4"/>
      <x:c r="L4"/>
      <x:c r="M4"/>
      <x:c r="N4"/>
    </x:row>
    <x:row r="5">
      <x:c r="A5"/>
      <x:c r="B5" s="45"/>
      <x:c r="C5"/>
      <x:c r="D5"/>
      <x:c r="E5"/>
      <x:c r="F5"/>
      <x:c r="G5"/>
      <x:c r="H5"/>
      <x:c r="I5"/>
      <x:c r="J5"/>
      <x:c r="K5"/>
      <x:c r="L5"/>
      <x:c r="M5"/>
      <x:c r="N5"/>
    </x:row>
    <x:row r="6">
      <x:c r="A6"/>
      <x:c r="B6" s="45"/>
      <x:c r="C6"/>
      <x:c r="D6"/>
      <x:c r="E6"/>
      <x:c r="F6"/>
      <x:c r="G6"/>
      <x:c r="H6"/>
      <x:c r="I6"/>
      <x:c r="J6"/>
      <x:c r="K6"/>
      <x:c r="L6"/>
      <x:c r="M6"/>
      <x:c r="N6"/>
    </x:row>
    <x:row r="7">
      <x:c r="A7"/>
      <x:c r="B7" s="45"/>
      <x:c r="C7"/>
      <x:c r="D7"/>
      <x:c r="E7"/>
      <x:c r="F7"/>
      <x:c r="G7"/>
      <x:c r="H7"/>
      <x:c r="I7"/>
      <x:c r="J7"/>
      <x:c r="K7"/>
      <x:c r="L7"/>
      <x:c r="M7"/>
      <x:c r="N7"/>
    </x:row>
    <x:row r="8">
      <x:c r="A8"/>
      <x:c r="B8" s="45"/>
      <x:c r="C8"/>
      <x:c r="D8"/>
      <x:c r="E8"/>
      <x:c r="F8"/>
      <x:c r="G8"/>
      <x:c r="H8"/>
      <x:c r="I8"/>
      <x:c r="J8"/>
      <x:c r="K8"/>
      <x:c r="L8"/>
      <x:c r="M8"/>
      <x:c r="N8"/>
    </x:row>
    <x:row r="9">
      <x:c r="A9"/>
      <x:c r="B9" s="45"/>
      <x:c r="C9"/>
      <x:c r="D9"/>
      <x:c r="E9"/>
      <x:c r="F9"/>
      <x:c r="G9"/>
      <x:c r="H9"/>
      <x:c r="I9"/>
      <x:c r="J9"/>
      <x:c r="K9"/>
      <x:c r="L9"/>
      <x:c r="M9"/>
      <x:c r="N9"/>
    </x:row>
    <x:row r="10">
      <x:c r="A10"/>
      <x:c r="B10" s="45"/>
      <x:c r="C10"/>
      <x:c r="D10"/>
      <x:c r="E10"/>
      <x:c r="F10"/>
      <x:c r="G10"/>
      <x:c r="H10"/>
      <x:c r="I10"/>
      <x:c r="J10"/>
      <x:c r="K10"/>
      <x:c r="L10"/>
      <x:c r="M10"/>
      <x:c r="N10"/>
    </x:row>
    <x:row r="11">
      <x:c r="A11"/>
      <x:c r="B11" s="45"/>
      <x:c r="C11"/>
      <x:c r="D11"/>
      <x:c r="E11"/>
      <x:c r="F11"/>
      <x:c r="G11"/>
      <x:c r="H11"/>
      <x:c r="I11"/>
      <x:c r="J11"/>
      <x:c r="K11"/>
      <x:c r="L11"/>
      <x:c r="M11"/>
      <x:c r="N11"/>
    </x:row>
    <x:row r="12">
      <x:c r="A12"/>
      <x:c r="B12" s="45"/>
      <x:c r="C12"/>
      <x:c r="D12"/>
      <x:c r="E12"/>
      <x:c r="F12"/>
      <x:c r="G12"/>
      <x:c r="H12"/>
      <x:c r="I12"/>
      <x:c r="J12"/>
      <x:c r="K12"/>
      <x:c r="L12"/>
      <x:c r="M12"/>
      <x:c r="N12"/>
    </x:row>
    <x:row r="13">
      <x:c r="A13"/>
      <x:c r="B13" s="45"/>
      <x:c r="C13"/>
      <x:c r="D13"/>
      <x:c r="E13"/>
      <x:c r="F13"/>
      <x:c r="G13"/>
      <x:c r="H13"/>
      <x:c r="I13"/>
      <x:c r="J13"/>
      <x:c r="K13"/>
      <x:c r="L13"/>
      <x:c r="M13"/>
      <x:c r="N13"/>
    </x:row>
    <x:row r="14">
      <x:c r="A14"/>
      <x:c r="B14" s="45"/>
      <x:c r="C14"/>
      <x:c r="D14"/>
      <x:c r="E14"/>
      <x:c r="F14"/>
      <x:c r="G14"/>
      <x:c r="H14"/>
      <x:c r="I14"/>
      <x:c r="J14"/>
      <x:c r="K14"/>
      <x:c r="L14"/>
      <x:c r="M14"/>
      <x:c r="N14"/>
    </x:row>
    <x:row r="15">
      <x:c r="A15"/>
      <x:c r="B15" s="45"/>
      <x:c r="C15"/>
      <x:c r="D15"/>
      <x:c r="E15"/>
      <x:c r="F15"/>
      <x:c r="G15"/>
      <x:c r="H15"/>
      <x:c r="I15"/>
      <x:c r="J15"/>
      <x:c r="K15"/>
      <x:c r="L15"/>
      <x:c r="M15"/>
      <x:c r="N15"/>
    </x:row>
    <x:row r="16">
      <x:c r="A16"/>
      <x:c r="B16" s="45"/>
      <x:c r="C16"/>
      <x:c r="D16"/>
      <x:c r="E16"/>
      <x:c r="F16"/>
      <x:c r="G16"/>
      <x:c r="H16"/>
      <x:c r="I16"/>
      <x:c r="J16"/>
      <x:c r="K16"/>
      <x:c r="L16"/>
      <x:c r="M16"/>
      <x:c r="N16"/>
    </x:row>
    <x:row r="17">
      <x:c r="A17"/>
      <x:c r="B17" s="45"/>
      <x:c r="C17"/>
      <x:c r="D17"/>
      <x:c r="E17"/>
      <x:c r="F17"/>
      <x:c r="G17"/>
      <x:c r="H17"/>
      <x:c r="I17"/>
      <x:c r="J17"/>
      <x:c r="K17"/>
      <x:c r="L17"/>
      <x:c r="M17"/>
      <x:c r="N17"/>
    </x:row>
    <x:row r="18">
      <x:c r="A18"/>
      <x:c r="B18" s="45"/>
      <x:c r="C18"/>
      <x:c r="D18"/>
      <x:c r="E18"/>
      <x:c r="F18"/>
      <x:c r="G18"/>
      <x:c r="H18"/>
      <x:c r="I18"/>
      <x:c r="J18"/>
      <x:c r="K18"/>
      <x:c r="L18"/>
      <x:c r="M18"/>
      <x:c r="N18"/>
    </x:row>
    <x:row r="19">
      <x:c r="A19"/>
      <x:c r="B19" s="45"/>
      <x:c r="C19"/>
      <x:c r="D19"/>
      <x:c r="E19"/>
      <x:c r="F19"/>
      <x:c r="G19"/>
      <x:c r="H19"/>
      <x:c r="I19"/>
      <x:c r="J19"/>
      <x:c r="K19"/>
      <x:c r="L19"/>
      <x:c r="M19"/>
      <x:c r="N19"/>
    </x:row>
    <x:row r="20">
      <x:c r="A20"/>
      <x:c r="B20" s="45"/>
      <x:c r="C20"/>
      <x:c r="D20"/>
      <x:c r="E20"/>
      <x:c r="F20"/>
      <x:c r="G20"/>
      <x:c r="H20"/>
      <x:c r="I20"/>
      <x:c r="J20"/>
      <x:c r="K20"/>
      <x:c r="L20"/>
      <x:c r="M20"/>
      <x:c r="N20"/>
    </x:row>
    <x:row r="21">
      <x:c r="A21"/>
      <x:c r="B21" s="45"/>
      <x:c r="C21"/>
      <x:c r="D21"/>
      <x:c r="E21"/>
      <x:c r="F21"/>
      <x:c r="G21"/>
      <x:c r="H21"/>
      <x:c r="I21"/>
      <x:c r="J21"/>
      <x:c r="K21"/>
      <x:c r="L21"/>
      <x:c r="M21"/>
      <x:c r="N21"/>
    </x:row>
    <x:row r="22">
      <x:c r="A22"/>
      <x:c r="B22" s="45"/>
      <x:c r="C22"/>
      <x:c r="D22"/>
      <x:c r="E22"/>
      <x:c r="F22"/>
      <x:c r="G22"/>
      <x:c r="H22"/>
      <x:c r="I22"/>
      <x:c r="J22"/>
      <x:c r="K22"/>
      <x:c r="L22"/>
      <x:c r="M22"/>
      <x:c r="N22"/>
    </x:row>
    <x:row r="23">
      <x:c r="A23"/>
      <x:c r="B23" s="45"/>
      <x:c r="C23"/>
      <x:c r="D23"/>
      <x:c r="E23"/>
      <x:c r="F23"/>
      <x:c r="G23"/>
      <x:c r="H23"/>
      <x:c r="I23"/>
      <x:c r="J23"/>
      <x:c r="K23"/>
      <x:c r="L23"/>
      <x:c r="M23"/>
      <x:c r="N23"/>
    </x:row>
    <x:row r="24">
      <x:c r="A24"/>
      <x:c r="B24" s="45"/>
      <x:c r="C24"/>
      <x:c r="D24"/>
      <x:c r="E24"/>
      <x:c r="F24"/>
      <x:c r="G24"/>
      <x:c r="H24"/>
      <x:c r="I24"/>
      <x:c r="J24"/>
      <x:c r="K24"/>
      <x:c r="L24"/>
      <x:c r="M24"/>
      <x:c r="N24"/>
    </x:row>
    <x:row r="25">
      <x:c r="A25"/>
      <x:c r="B25" s="45"/>
      <x:c r="C25"/>
      <x:c r="D25"/>
      <x:c r="E25"/>
      <x:c r="F25"/>
      <x:c r="G25"/>
      <x:c r="H25"/>
      <x:c r="I25"/>
      <x:c r="J25"/>
      <x:c r="K25"/>
      <x:c r="L25"/>
      <x:c r="M25"/>
      <x:c r="N25"/>
    </x:row>
    <x:row r="26">
      <x:c r="A26"/>
      <x:c r="B26" s="45"/>
      <x:c r="C26"/>
      <x:c r="D26"/>
      <x:c r="E26"/>
      <x:c r="F26"/>
      <x:c r="G26"/>
      <x:c r="H26"/>
      <x:c r="I26"/>
      <x:c r="J26"/>
      <x:c r="K26"/>
      <x:c r="L26"/>
      <x:c r="M26"/>
      <x:c r="N26"/>
    </x:row>
    <x:row r="27">
      <x:c r="A27"/>
      <x:c r="B27" s="45"/>
      <x:c r="C27"/>
      <x:c r="D27"/>
      <x:c r="E27"/>
      <x:c r="F27"/>
      <x:c r="G27"/>
      <x:c r="H27"/>
      <x:c r="I27"/>
      <x:c r="J27"/>
      <x:c r="K27"/>
      <x:c r="L27"/>
      <x:c r="M27"/>
      <x:c r="N27"/>
    </x:row>
    <x:row r="28">
      <x:c r="A28"/>
      <x:c r="B28" s="45"/>
      <x:c r="C28"/>
      <x:c r="D28"/>
      <x:c r="E28"/>
      <x:c r="F28"/>
      <x:c r="G28"/>
      <x:c r="H28"/>
      <x:c r="I28"/>
      <x:c r="J28"/>
      <x:c r="K28"/>
      <x:c r="L28"/>
      <x:c r="M28"/>
      <x:c r="N28"/>
    </x:row>
    <x:row r="29">
      <x:c r="A29"/>
      <x:c r="B29" s="45"/>
      <x:c r="C29"/>
      <x:c r="D29"/>
      <x:c r="E29"/>
      <x:c r="F29"/>
      <x:c r="G29"/>
      <x:c r="H29"/>
      <x:c r="I29"/>
      <x:c r="J29"/>
      <x:c r="K29"/>
      <x:c r="L29"/>
      <x:c r="M29"/>
      <x:c r="N29"/>
    </x:row>
    <x:row r="30">
      <x:c r="A30"/>
      <x:c r="B30" s="45"/>
      <x:c r="C30"/>
      <x:c r="D30"/>
      <x:c r="E30"/>
      <x:c r="F30"/>
      <x:c r="G30"/>
      <x:c r="H30"/>
      <x:c r="I30"/>
      <x:c r="J30"/>
      <x:c r="K30"/>
      <x:c r="L30"/>
      <x:c r="M30"/>
      <x:c r="N30"/>
    </x:row>
    <x:row r="31">
      <x:c r="A31"/>
      <x:c r="B31" s="45"/>
      <x:c r="C31"/>
      <x:c r="D31"/>
      <x:c r="E31"/>
      <x:c r="F31"/>
      <x:c r="G31"/>
      <x:c r="H31"/>
      <x:c r="I31"/>
      <x:c r="J31"/>
      <x:c r="K31"/>
      <x:c r="L31"/>
      <x:c r="M31"/>
      <x:c r="N31"/>
    </x:row>
    <x:row r="32">
      <x:c r="A32"/>
      <x:c r="B32" s="45"/>
      <x:c r="C32"/>
      <x:c r="D32"/>
      <x:c r="E32"/>
      <x:c r="F32"/>
      <x:c r="G32"/>
      <x:c r="H32"/>
      <x:c r="I32"/>
      <x:c r="J32"/>
      <x:c r="K32"/>
      <x:c r="L32"/>
      <x:c r="M32"/>
      <x:c r="N32"/>
    </x:row>
    <x:row r="33">
      <x:c r="A33"/>
      <x:c r="B33" s="45"/>
      <x:c r="C33"/>
      <x:c r="D33"/>
      <x:c r="E33"/>
      <x:c r="F33"/>
      <x:c r="G33"/>
      <x:c r="H33"/>
      <x:c r="I33"/>
      <x:c r="J33"/>
      <x:c r="K33"/>
      <x:c r="L33"/>
      <x:c r="M33"/>
      <x:c r="N33"/>
    </x:row>
    <x:row r="34">
      <x:c r="A34"/>
      <x:c r="B34" s="45"/>
      <x:c r="C34"/>
      <x:c r="D34"/>
      <x:c r="E34"/>
      <x:c r="F34"/>
      <x:c r="G34"/>
      <x:c r="H34"/>
      <x:c r="I34"/>
      <x:c r="J34"/>
      <x:c r="K34"/>
      <x:c r="L34"/>
      <x:c r="M34"/>
      <x:c r="N34"/>
    </x:row>
    <x:row r="35">
      <x:c r="A35"/>
      <x:c r="B35" s="45"/>
      <x:c r="C35"/>
      <x:c r="D35"/>
      <x:c r="E35"/>
      <x:c r="F35"/>
      <x:c r="G35"/>
      <x:c r="H35"/>
      <x:c r="I35"/>
      <x:c r="J35"/>
      <x:c r="K35"/>
      <x:c r="L35"/>
      <x:c r="M35"/>
      <x:c r="N35"/>
    </x:row>
    <x:row r="36">
      <x:c r="A36"/>
      <x:c r="B36" s="45"/>
      <x:c r="C36"/>
      <x:c r="D36"/>
      <x:c r="E36"/>
      <x:c r="F36"/>
      <x:c r="G36"/>
      <x:c r="H36"/>
      <x:c r="I36"/>
      <x:c r="J36"/>
      <x:c r="K36"/>
      <x:c r="L36"/>
      <x:c r="M36"/>
      <x:c r="N36"/>
    </x:row>
    <x:row r="37">
      <x:c r="A37"/>
      <x:c r="B37" s="45"/>
      <x:c r="C37"/>
      <x:c r="D37"/>
      <x:c r="E37"/>
      <x:c r="F37"/>
      <x:c r="G37"/>
      <x:c r="H37"/>
      <x:c r="I37"/>
      <x:c r="J37"/>
      <x:c r="K37"/>
      <x:c r="L37"/>
      <x:c r="M37"/>
      <x:c r="N37"/>
    </x:row>
    <x:row r="38">
      <x:c r="A38"/>
      <x:c r="B38" s="45"/>
      <x:c r="C38"/>
      <x:c r="D38"/>
      <x:c r="E38"/>
      <x:c r="F38"/>
      <x:c r="G38"/>
      <x:c r="H38"/>
      <x:c r="I38"/>
      <x:c r="J38"/>
      <x:c r="K38"/>
      <x:c r="L38"/>
      <x:c r="M38"/>
      <x:c r="N38"/>
    </x:row>
    <x:row r="39">
      <x:c r="A39"/>
      <x:c r="B39" s="45"/>
      <x:c r="C39"/>
      <x:c r="D39"/>
      <x:c r="E39"/>
      <x:c r="F39"/>
      <x:c r="G39"/>
      <x:c r="H39"/>
      <x:c r="I39"/>
      <x:c r="J39"/>
      <x:c r="K39"/>
      <x:c r="L39"/>
      <x:c r="M39"/>
      <x:c r="N39"/>
    </x:row>
    <x:row r="40">
      <x:c r="A40"/>
      <x:c r="B40" s="45"/>
      <x:c r="C40"/>
      <x:c r="D40"/>
      <x:c r="E40"/>
      <x:c r="F40"/>
      <x:c r="G40"/>
      <x:c r="H40"/>
      <x:c r="I40"/>
      <x:c r="J40"/>
      <x:c r="K40"/>
      <x:c r="L40"/>
      <x:c r="M40"/>
      <x:c r="N40"/>
    </x:row>
    <x:row r="41">
      <x:c r="A41"/>
      <x:c r="B41" s="45"/>
      <x:c r="C41"/>
      <x:c r="D41"/>
      <x:c r="E41"/>
      <x:c r="F41"/>
      <x:c r="G41"/>
      <x:c r="H41"/>
      <x:c r="I41"/>
      <x:c r="J41"/>
      <x:c r="K41"/>
      <x:c r="L41"/>
      <x:c r="M41"/>
      <x:c r="N41"/>
    </x:row>
    <x:row r="42">
      <x:c r="A42"/>
      <x:c r="B42" s="45"/>
      <x:c r="C42"/>
      <x:c r="D42"/>
      <x:c r="E42"/>
      <x:c r="F42"/>
      <x:c r="G42"/>
      <x:c r="H42"/>
      <x:c r="I42"/>
      <x:c r="J42"/>
      <x:c r="K42"/>
      <x:c r="L42"/>
      <x:c r="M42"/>
      <x:c r="N42"/>
    </x:row>
    <x:row r="43">
      <x:c r="A43"/>
      <x:c r="B43" s="45"/>
      <x:c r="C43"/>
      <x:c r="D43"/>
      <x:c r="E43"/>
      <x:c r="F43"/>
      <x:c r="G43"/>
      <x:c r="H43"/>
      <x:c r="I43"/>
      <x:c r="J43"/>
      <x:c r="K43"/>
      <x:c r="L43"/>
      <x:c r="M43"/>
      <x:c r="N43"/>
    </x:row>
    <x:row r="44">
      <x:c r="A44"/>
      <x:c r="B44" s="45"/>
      <x:c r="C44"/>
      <x:c r="D44"/>
      <x:c r="E44"/>
      <x:c r="F44"/>
      <x:c r="G44"/>
      <x:c r="H44"/>
      <x:c r="I44"/>
      <x:c r="J44"/>
      <x:c r="K44"/>
      <x:c r="L44"/>
      <x:c r="M44"/>
      <x:c r="N44"/>
    </x:row>
    <x:row r="45">
      <x:c r="A45"/>
      <x:c r="B45" s="45"/>
      <x:c r="C45"/>
      <x:c r="D45"/>
      <x:c r="E45"/>
      <x:c r="F45"/>
      <x:c r="G45"/>
      <x:c r="H45"/>
      <x:c r="I45"/>
      <x:c r="J45"/>
      <x:c r="K45"/>
      <x:c r="L45"/>
      <x:c r="M45"/>
      <x:c r="N45"/>
    </x:row>
    <x:row r="46">
      <x:c r="A46"/>
      <x:c r="B46" s="45"/>
      <x:c r="C46"/>
      <x:c r="D46"/>
      <x:c r="E46"/>
      <x:c r="F46"/>
      <x:c r="G46"/>
      <x:c r="H46"/>
      <x:c r="I46"/>
      <x:c r="J46"/>
      <x:c r="K46"/>
      <x:c r="L46"/>
      <x:c r="M46"/>
      <x:c r="N46"/>
    </x:row>
    <x:row r="47">
      <x:c r="A47"/>
      <x:c r="B47" s="45"/>
      <x:c r="C47"/>
      <x:c r="D47"/>
      <x:c r="E47"/>
      <x:c r="F47"/>
      <x:c r="G47"/>
      <x:c r="H47"/>
      <x:c r="I47"/>
      <x:c r="J47"/>
      <x:c r="K47"/>
      <x:c r="L47"/>
      <x:c r="M47"/>
      <x:c r="N47"/>
    </x:row>
    <x:row r="48">
      <x:c r="A48"/>
      <x:c r="B48" s="45"/>
      <x:c r="C48"/>
      <x:c r="D48"/>
      <x:c r="E48"/>
      <x:c r="F48"/>
      <x:c r="G48"/>
      <x:c r="H48"/>
      <x:c r="I48"/>
      <x:c r="J48"/>
      <x:c r="K48"/>
      <x:c r="L48"/>
      <x:c r="M48"/>
      <x:c r="N48"/>
    </x:row>
    <x:row r="49">
      <x:c r="A49"/>
      <x:c r="B49" s="45"/>
      <x:c r="C49"/>
      <x:c r="D49"/>
      <x:c r="E49"/>
      <x:c r="F49"/>
      <x:c r="G49"/>
      <x:c r="H49"/>
      <x:c r="I49"/>
      <x:c r="J49"/>
      <x:c r="K49"/>
      <x:c r="L49"/>
      <x:c r="M49"/>
      <x:c r="N49"/>
    </x:row>
    <x:row r="50">
      <x:c r="A50"/>
      <x:c r="B50" s="45"/>
      <x:c r="C50"/>
      <x:c r="D50"/>
      <x:c r="E50"/>
      <x:c r="F50"/>
      <x:c r="G50"/>
      <x:c r="H50"/>
      <x:c r="I50"/>
      <x:c r="J50"/>
      <x:c r="K50"/>
      <x:c r="L50"/>
      <x:c r="M50"/>
      <x:c r="N50"/>
    </x:row>
    <x:row r="51">
      <x:c r="A51"/>
      <x:c r="B51" s="45"/>
      <x:c r="C51"/>
      <x:c r="D51"/>
      <x:c r="E51"/>
      <x:c r="F51"/>
      <x:c r="G51"/>
      <x:c r="H51"/>
      <x:c r="I51"/>
      <x:c r="J51"/>
      <x:c r="K51"/>
      <x:c r="L51"/>
      <x:c r="M51"/>
      <x:c r="N51"/>
    </x:row>
    <x:row r="52">
      <x:c r="A52"/>
      <x:c r="B52" s="45"/>
      <x:c r="C52"/>
      <x:c r="D52"/>
      <x:c r="E52"/>
      <x:c r="F52"/>
      <x:c r="G52"/>
      <x:c r="H52"/>
      <x:c r="I52"/>
      <x:c r="J52"/>
      <x:c r="K52"/>
      <x:c r="L52"/>
      <x:c r="M52"/>
      <x:c r="N52"/>
    </x:row>
    <x:row r="53">
      <x:c r="A53"/>
      <x:c r="B53" s="45"/>
      <x:c r="C53"/>
      <x:c r="D53"/>
      <x:c r="E53"/>
      <x:c r="F53"/>
      <x:c r="G53"/>
      <x:c r="H53"/>
      <x:c r="I53"/>
      <x:c r="J53"/>
      <x:c r="K53"/>
      <x:c r="L53"/>
      <x:c r="M53"/>
      <x:c r="N53"/>
    </x:row>
    <x:row r="54">
      <x:c r="A54"/>
      <x:c r="B54" s="45"/>
      <x:c r="C54"/>
      <x:c r="D54"/>
      <x:c r="E54"/>
      <x:c r="F54"/>
      <x:c r="G54"/>
      <x:c r="H54"/>
      <x:c r="I54"/>
      <x:c r="J54"/>
      <x:c r="K54"/>
      <x:c r="L54"/>
      <x:c r="M54"/>
      <x:c r="N54"/>
    </x:row>
    <x:row r="55">
      <x:c r="A55"/>
      <x:c r="B55" s="45"/>
      <x:c r="C55"/>
      <x:c r="D55"/>
      <x:c r="E55"/>
      <x:c r="F55"/>
      <x:c r="G55"/>
      <x:c r="H55"/>
      <x:c r="I55"/>
      <x:c r="J55"/>
      <x:c r="K55"/>
      <x:c r="L55"/>
      <x:c r="M55"/>
      <x:c r="N55"/>
    </x:row>
    <x:row r="56">
      <x:c r="A56"/>
      <x:c r="B56" s="45"/>
      <x:c r="C56"/>
      <x:c r="D56"/>
      <x:c r="E56"/>
      <x:c r="F56"/>
      <x:c r="G56"/>
      <x:c r="H56"/>
      <x:c r="I56"/>
      <x:c r="J56"/>
      <x:c r="K56"/>
      <x:c r="L56"/>
      <x:c r="M56"/>
      <x:c r="N56"/>
    </x:row>
    <x:row r="57">
      <x:c r="A57"/>
      <x:c r="B57" s="45"/>
      <x:c r="C57"/>
      <x:c r="D57"/>
      <x:c r="E57"/>
      <x:c r="F57"/>
      <x:c r="G57"/>
      <x:c r="H57"/>
      <x:c r="I57"/>
      <x:c r="J57"/>
      <x:c r="K57"/>
      <x:c r="L57"/>
      <x:c r="M57"/>
      <x:c r="N57"/>
    </x:row>
    <x:row r="58">
      <x:c r="A58"/>
      <x:c r="B58" s="45"/>
      <x:c r="C58"/>
      <x:c r="D58"/>
      <x:c r="E58"/>
      <x:c r="F58"/>
      <x:c r="G58"/>
      <x:c r="H58"/>
      <x:c r="I58"/>
      <x:c r="J58"/>
      <x:c r="K58"/>
      <x:c r="L58"/>
      <x:c r="M58"/>
      <x:c r="N58"/>
    </x:row>
    <x:row r="59">
      <x:c r="A59"/>
      <x:c r="B59" s="45"/>
      <x:c r="C59"/>
      <x:c r="D59"/>
      <x:c r="E59"/>
      <x:c r="F59"/>
      <x:c r="G59"/>
      <x:c r="H59"/>
      <x:c r="I59"/>
      <x:c r="J59"/>
      <x:c r="K59"/>
      <x:c r="L59"/>
      <x:c r="M59"/>
      <x:c r="N59"/>
    </x:row>
    <x:row r="60">
      <x:c r="A60"/>
      <x:c r="B60" s="45"/>
      <x:c r="C60"/>
      <x:c r="D60"/>
      <x:c r="E60"/>
      <x:c r="F60"/>
      <x:c r="G60"/>
      <x:c r="H60"/>
      <x:c r="I60"/>
      <x:c r="J60"/>
      <x:c r="K60"/>
      <x:c r="L60"/>
      <x:c r="M60"/>
      <x:c r="N60"/>
    </x:row>
    <x:row r="61">
      <x:c r="A61"/>
      <x:c r="B61" s="45"/>
      <x:c r="C61"/>
      <x:c r="D61"/>
      <x:c r="E61"/>
      <x:c r="F61"/>
      <x:c r="G61"/>
      <x:c r="H61"/>
      <x:c r="I61"/>
      <x:c r="J61"/>
      <x:c r="K61"/>
      <x:c r="L61"/>
      <x:c r="M61"/>
      <x:c r="N61"/>
    </x:row>
    <x:row r="62">
      <x:c r="A62"/>
      <x:c r="B62" s="45"/>
      <x:c r="C62"/>
      <x:c r="D62"/>
      <x:c r="E62"/>
      <x:c r="F62"/>
      <x:c r="G62"/>
      <x:c r="H62"/>
      <x:c r="I62"/>
      <x:c r="J62"/>
      <x:c r="K62"/>
      <x:c r="L62"/>
      <x:c r="M62"/>
      <x:c r="N62"/>
    </x:row>
    <x:row r="63">
      <x:c r="A63"/>
      <x:c r="B63" s="45"/>
      <x:c r="C63"/>
      <x:c r="D63"/>
      <x:c r="E63"/>
      <x:c r="F63"/>
      <x:c r="G63"/>
      <x:c r="H63"/>
      <x:c r="I63"/>
      <x:c r="J63"/>
      <x:c r="K63"/>
      <x:c r="L63"/>
      <x:c r="M63"/>
      <x:c r="N63"/>
    </x:row>
    <x:row r="64">
      <x:c r="A64"/>
      <x:c r="B64" s="45"/>
      <x:c r="C64"/>
      <x:c r="D64"/>
      <x:c r="E64"/>
      <x:c r="F64"/>
      <x:c r="G64"/>
      <x:c r="H64"/>
      <x:c r="I64"/>
      <x:c r="J64"/>
      <x:c r="K64"/>
      <x:c r="L64"/>
      <x:c r="M64"/>
      <x:c r="N64"/>
    </x:row>
    <x:row r="65">
      <x:c r="A65"/>
      <x:c r="B65" s="45"/>
      <x:c r="C65"/>
      <x:c r="D65"/>
      <x:c r="E65"/>
      <x:c r="F65"/>
      <x:c r="G65"/>
      <x:c r="H65"/>
      <x:c r="I65"/>
      <x:c r="J65"/>
      <x:c r="K65"/>
      <x:c r="L65"/>
      <x:c r="M65"/>
      <x:c r="N65"/>
    </x:row>
    <x:row r="66">
      <x:c r="A66"/>
      <x:c r="B66" s="45"/>
      <x:c r="C66"/>
      <x:c r="D66"/>
      <x:c r="E66"/>
      <x:c r="F66"/>
      <x:c r="G66"/>
      <x:c r="H66"/>
      <x:c r="I66"/>
      <x:c r="J66"/>
      <x:c r="K66"/>
      <x:c r="L66"/>
      <x:c r="M66"/>
      <x:c r="N66"/>
    </x:row>
    <x:row r="67">
      <x:c r="A67"/>
      <x:c r="B67" s="45"/>
      <x:c r="C67"/>
      <x:c r="D67"/>
      <x:c r="E67"/>
      <x:c r="F67"/>
      <x:c r="G67"/>
      <x:c r="H67"/>
      <x:c r="I67"/>
      <x:c r="J67"/>
      <x:c r="K67"/>
      <x:c r="L67"/>
      <x:c r="M67"/>
      <x:c r="N67"/>
    </x:row>
    <x:row r="68">
      <x:c r="A68"/>
      <x:c r="B68" s="45"/>
      <x:c r="C68"/>
      <x:c r="D68"/>
      <x:c r="E68"/>
      <x:c r="F68"/>
      <x:c r="G68"/>
      <x:c r="H68"/>
      <x:c r="I68"/>
      <x:c r="J68"/>
      <x:c r="K68"/>
      <x:c r="L68"/>
      <x:c r="M68"/>
      <x:c r="N68"/>
    </x:row>
    <x:row r="69">
      <x:c r="A69"/>
      <x:c r="B69" s="45"/>
      <x:c r="C69"/>
      <x:c r="D69"/>
      <x:c r="E69"/>
      <x:c r="F69"/>
      <x:c r="G69"/>
      <x:c r="H69"/>
      <x:c r="I69"/>
      <x:c r="J69"/>
      <x:c r="K69"/>
      <x:c r="L69"/>
      <x:c r="M69"/>
      <x:c r="N69"/>
    </x:row>
    <x:row r="70">
      <x:c r="A70"/>
      <x:c r="B70" s="45"/>
      <x:c r="C70"/>
      <x:c r="D70"/>
      <x:c r="E70"/>
      <x:c r="F70"/>
      <x:c r="G70"/>
      <x:c r="H70"/>
      <x:c r="I70"/>
      <x:c r="J70"/>
      <x:c r="K70"/>
      <x:c r="L70"/>
      <x:c r="M70"/>
      <x:c r="N70"/>
    </x:row>
    <x:row r="71">
      <x:c r="A71"/>
      <x:c r="B71" s="45"/>
      <x:c r="C71"/>
      <x:c r="D71"/>
      <x:c r="E71"/>
      <x:c r="F71"/>
      <x:c r="G71"/>
      <x:c r="H71"/>
      <x:c r="I71"/>
      <x:c r="J71"/>
      <x:c r="K71"/>
      <x:c r="L71"/>
      <x:c r="M71"/>
      <x:c r="N71"/>
    </x:row>
    <x:row r="72">
      <x:c r="A72"/>
      <x:c r="B72" s="45"/>
      <x:c r="C72"/>
      <x:c r="D72"/>
      <x:c r="E72"/>
      <x:c r="F72"/>
      <x:c r="G72"/>
      <x:c r="H72"/>
      <x:c r="I72"/>
      <x:c r="J72"/>
      <x:c r="K72"/>
      <x:c r="L72"/>
      <x:c r="M72"/>
      <x:c r="N72"/>
    </x:row>
    <x:row r="73">
      <x:c r="A73"/>
      <x:c r="B73" s="45"/>
      <x:c r="C73"/>
      <x:c r="D73"/>
      <x:c r="E73"/>
      <x:c r="F73"/>
      <x:c r="G73"/>
      <x:c r="H73"/>
      <x:c r="I73"/>
      <x:c r="J73"/>
      <x:c r="K73"/>
      <x:c r="L73"/>
      <x:c r="M73"/>
      <x:c r="N73"/>
    </x:row>
    <x:row r="74">
      <x:c r="A74"/>
      <x:c r="B74" s="45"/>
      <x:c r="C74"/>
      <x:c r="D74"/>
      <x:c r="E74"/>
      <x:c r="F74"/>
      <x:c r="G74"/>
      <x:c r="H74"/>
      <x:c r="I74"/>
      <x:c r="J74"/>
      <x:c r="K74"/>
      <x:c r="L74"/>
      <x:c r="M74"/>
      <x:c r="N74"/>
    </x:row>
    <x:row r="75">
      <x:c r="A75"/>
      <x:c r="B75" s="45"/>
      <x:c r="C75"/>
      <x:c r="D75"/>
      <x:c r="E75"/>
      <x:c r="F75"/>
      <x:c r="G75"/>
      <x:c r="H75"/>
      <x:c r="I75"/>
      <x:c r="J75"/>
      <x:c r="K75"/>
      <x:c r="L75"/>
      <x:c r="M75"/>
      <x:c r="N75"/>
    </x:row>
    <x:row r="76">
      <x:c r="A76"/>
      <x:c r="B76" s="45"/>
      <x:c r="C76"/>
      <x:c r="D76"/>
      <x:c r="E76"/>
      <x:c r="F76"/>
      <x:c r="G76"/>
      <x:c r="H76"/>
      <x:c r="I76"/>
      <x:c r="J76"/>
      <x:c r="K76"/>
      <x:c r="L76"/>
      <x:c r="M76"/>
      <x:c r="N76"/>
    </x:row>
    <x:row r="77">
      <x:c r="A77"/>
      <x:c r="B77" s="45"/>
      <x:c r="C77"/>
      <x:c r="D77"/>
      <x:c r="E77"/>
      <x:c r="F77"/>
      <x:c r="G77"/>
      <x:c r="H77"/>
      <x:c r="I77"/>
      <x:c r="J77"/>
      <x:c r="K77"/>
      <x:c r="L77"/>
      <x:c r="M77"/>
      <x:c r="N77"/>
    </x:row>
    <x:row r="78">
      <x:c r="A78"/>
      <x:c r="B78" s="45"/>
      <x:c r="C78"/>
      <x:c r="D78"/>
      <x:c r="E78"/>
      <x:c r="F78"/>
      <x:c r="G78"/>
      <x:c r="H78"/>
      <x:c r="I78"/>
      <x:c r="J78"/>
      <x:c r="K78"/>
      <x:c r="L78"/>
      <x:c r="M78"/>
      <x:c r="N78"/>
    </x:row>
    <x:row r="79">
      <x:c r="A79"/>
      <x:c r="B79" s="45"/>
      <x:c r="C79"/>
      <x:c r="D79"/>
      <x:c r="E79"/>
      <x:c r="F79"/>
      <x:c r="G79"/>
      <x:c r="H79"/>
      <x:c r="I79"/>
      <x:c r="J79"/>
      <x:c r="K79"/>
      <x:c r="L79"/>
      <x:c r="M79"/>
      <x:c r="N79"/>
    </x:row>
    <x:row r="80">
      <x:c r="A80"/>
      <x:c r="B80" s="45"/>
      <x:c r="C80"/>
      <x:c r="D80"/>
      <x:c r="E80"/>
      <x:c r="F80"/>
      <x:c r="G80"/>
      <x:c r="H80"/>
      <x:c r="I80"/>
      <x:c r="J80"/>
      <x:c r="K80"/>
      <x:c r="L80"/>
      <x:c r="M80"/>
      <x:c r="N80"/>
    </x:row>
    <x:row r="81">
      <x:c r="A81"/>
      <x:c r="B81" s="45"/>
      <x:c r="C81"/>
      <x:c r="D81"/>
      <x:c r="E81"/>
      <x:c r="F81"/>
      <x:c r="G81"/>
      <x:c r="H81"/>
      <x:c r="I81"/>
      <x:c r="J81"/>
      <x:c r="K81"/>
      <x:c r="L81"/>
      <x:c r="M81"/>
      <x:c r="N81"/>
    </x:row>
    <x:row r="82">
      <x:c r="A82"/>
      <x:c r="B82" s="45"/>
      <x:c r="C82"/>
      <x:c r="D82"/>
      <x:c r="E82"/>
      <x:c r="F82"/>
      <x:c r="G82"/>
      <x:c r="H82"/>
      <x:c r="I82"/>
      <x:c r="J82"/>
      <x:c r="K82"/>
      <x:c r="L82"/>
      <x:c r="M82"/>
      <x:c r="N82"/>
    </x:row>
    <x:row r="83">
      <x:c r="A83"/>
      <x:c r="B83" s="45"/>
      <x:c r="C83"/>
      <x:c r="D83"/>
      <x:c r="E83"/>
      <x:c r="F83"/>
      <x:c r="G83"/>
      <x:c r="H83"/>
      <x:c r="I83"/>
      <x:c r="J83"/>
      <x:c r="K83"/>
      <x:c r="L83"/>
      <x:c r="M83"/>
      <x:c r="N83"/>
    </x:row>
    <x:row r="84">
      <x:c r="A84"/>
      <x:c r="B84" s="45"/>
      <x:c r="C84"/>
      <x:c r="D84"/>
      <x:c r="E84"/>
      <x:c r="F84"/>
      <x:c r="G84"/>
      <x:c r="H84"/>
      <x:c r="I84"/>
      <x:c r="J84"/>
      <x:c r="K84"/>
      <x:c r="L84"/>
      <x:c r="M84"/>
      <x:c r="N84"/>
    </x:row>
    <x:row r="85">
      <x:c r="A85"/>
      <x:c r="B85" s="45"/>
      <x:c r="C85"/>
      <x:c r="D85"/>
      <x:c r="E85"/>
      <x:c r="F85"/>
      <x:c r="G85"/>
      <x:c r="H85"/>
      <x:c r="I85"/>
      <x:c r="J85"/>
      <x:c r="K85"/>
      <x:c r="L85"/>
      <x:c r="M85"/>
      <x:c r="N85"/>
    </x:row>
    <x:row r="86">
      <x:c r="A86"/>
      <x:c r="B86" s="45"/>
      <x:c r="C86"/>
      <x:c r="D86"/>
      <x:c r="E86"/>
      <x:c r="F86"/>
      <x:c r="G86"/>
      <x:c r="H86"/>
      <x:c r="I86"/>
      <x:c r="J86"/>
      <x:c r="K86"/>
      <x:c r="L86"/>
      <x:c r="M86"/>
      <x:c r="N86"/>
    </x:row>
    <x:row r="87">
      <x:c r="A87"/>
      <x:c r="B87" s="45"/>
      <x:c r="C87"/>
      <x:c r="D87"/>
      <x:c r="E87"/>
      <x:c r="F87"/>
      <x:c r="G87"/>
      <x:c r="H87"/>
      <x:c r="I87"/>
      <x:c r="J87"/>
      <x:c r="K87"/>
      <x:c r="L87"/>
      <x:c r="M87"/>
      <x:c r="N87"/>
    </x:row>
    <x:row r="88">
      <x:c r="A88"/>
      <x:c r="B88" s="45"/>
      <x:c r="C88"/>
      <x:c r="D88"/>
      <x:c r="E88"/>
      <x:c r="F88"/>
      <x:c r="G88"/>
      <x:c r="H88"/>
      <x:c r="I88"/>
      <x:c r="J88"/>
      <x:c r="K88"/>
      <x:c r="L88"/>
      <x:c r="M88"/>
      <x:c r="N88"/>
    </x:row>
    <x:row r="89">
      <x:c r="A89"/>
      <x:c r="B89" s="45"/>
      <x:c r="C89"/>
      <x:c r="D89"/>
      <x:c r="E89"/>
      <x:c r="F89"/>
      <x:c r="G89"/>
      <x:c r="H89"/>
      <x:c r="I89"/>
      <x:c r="J89"/>
      <x:c r="K89"/>
      <x:c r="L89"/>
      <x:c r="M89"/>
      <x:c r="N89"/>
    </x:row>
    <x:row r="90">
      <x:c r="A90"/>
      <x:c r="B90" s="45"/>
      <x:c r="C90"/>
      <x:c r="D90"/>
      <x:c r="E90"/>
      <x:c r="F90"/>
      <x:c r="G90"/>
      <x:c r="H90"/>
      <x:c r="I90"/>
      <x:c r="J90"/>
      <x:c r="K90"/>
      <x:c r="L90"/>
      <x:c r="M90"/>
      <x:c r="N90"/>
    </x:row>
    <x:row r="91">
      <x:c r="A91"/>
      <x:c r="B91" s="45"/>
      <x:c r="C91"/>
      <x:c r="D91"/>
      <x:c r="E91"/>
      <x:c r="F91"/>
      <x:c r="G91"/>
      <x:c r="H91"/>
      <x:c r="I91"/>
      <x:c r="J91"/>
      <x:c r="K91"/>
      <x:c r="L91"/>
      <x:c r="M91"/>
      <x:c r="N91"/>
    </x:row>
    <x:row r="92">
      <x:c r="A92"/>
      <x:c r="B92" s="45"/>
      <x:c r="C92"/>
      <x:c r="D92"/>
      <x:c r="E92"/>
      <x:c r="F92"/>
      <x:c r="G92"/>
      <x:c r="H92"/>
      <x:c r="I92"/>
      <x:c r="J92"/>
      <x:c r="K92"/>
      <x:c r="L92"/>
      <x:c r="M92"/>
      <x:c r="N92"/>
    </x:row>
    <x:row r="93">
      <x:c r="A93"/>
      <x:c r="B93" s="45"/>
      <x:c r="C93"/>
      <x:c r="D93"/>
      <x:c r="E93"/>
      <x:c r="F93"/>
      <x:c r="G93"/>
      <x:c r="H93"/>
      <x:c r="I93"/>
      <x:c r="J93"/>
      <x:c r="K93"/>
      <x:c r="L93"/>
      <x:c r="M93"/>
      <x:c r="N93"/>
    </x:row>
    <x:row r="94">
      <x:c r="A94"/>
      <x:c r="B94" s="45"/>
      <x:c r="C94"/>
      <x:c r="D94"/>
      <x:c r="E94"/>
      <x:c r="F94"/>
      <x:c r="G94"/>
      <x:c r="H94"/>
      <x:c r="I94"/>
      <x:c r="J94"/>
      <x:c r="K94"/>
      <x:c r="L94"/>
      <x:c r="M94"/>
      <x:c r="N94"/>
    </x:row>
    <x:row r="95">
      <x:c r="A95"/>
      <x:c r="B95" s="45"/>
      <x:c r="C95"/>
      <x:c r="D95"/>
      <x:c r="E95"/>
      <x:c r="F95"/>
      <x:c r="G95"/>
      <x:c r="H95"/>
      <x:c r="I95"/>
      <x:c r="J95"/>
      <x:c r="K95"/>
      <x:c r="L95"/>
      <x:c r="M95"/>
      <x:c r="N95"/>
    </x:row>
    <x:row r="96">
      <x:c r="A96"/>
      <x:c r="B96" s="45"/>
      <x:c r="C96"/>
      <x:c r="D96"/>
      <x:c r="E96"/>
      <x:c r="F96"/>
      <x:c r="G96"/>
      <x:c r="H96"/>
      <x:c r="I96"/>
      <x:c r="J96"/>
      <x:c r="K96"/>
      <x:c r="L96"/>
      <x:c r="M96"/>
      <x:c r="N96"/>
    </x:row>
    <x:row r="97">
      <x:c r="A97"/>
      <x:c r="B97" s="45"/>
      <x:c r="C97"/>
      <x:c r="D97"/>
      <x:c r="E97"/>
      <x:c r="F97"/>
      <x:c r="G97"/>
      <x:c r="H97"/>
      <x:c r="I97"/>
      <x:c r="J97"/>
      <x:c r="K97"/>
      <x:c r="L97"/>
      <x:c r="M97"/>
      <x:c r="N97"/>
    </x:row>
    <x:row r="98">
      <x:c r="A98"/>
      <x:c r="B98" s="45"/>
      <x:c r="C98"/>
      <x:c r="D98"/>
      <x:c r="E98"/>
      <x:c r="F98"/>
      <x:c r="G98"/>
      <x:c r="H98"/>
      <x:c r="I98"/>
      <x:c r="J98"/>
      <x:c r="K98"/>
      <x:c r="L98"/>
      <x:c r="M98"/>
      <x:c r="N98"/>
    </x:row>
    <x:row r="99">
      <x:c r="A99"/>
      <x:c r="B99" s="45"/>
      <x:c r="C99"/>
      <x:c r="D99"/>
      <x:c r="E99"/>
      <x:c r="F99"/>
      <x:c r="G99"/>
      <x:c r="H99"/>
      <x:c r="I99"/>
      <x:c r="J99"/>
      <x:c r="K99"/>
      <x:c r="L99"/>
      <x:c r="M99"/>
      <x:c r="N99"/>
    </x:row>
    <x:row r="100">
      <x:c r="A100"/>
      <x:c r="B100" s="45"/>
      <x:c r="C100"/>
      <x:c r="D100"/>
      <x:c r="E100"/>
      <x:c r="F100"/>
      <x:c r="G100"/>
      <x:c r="H100"/>
      <x:c r="I100"/>
      <x:c r="J100"/>
      <x:c r="K100"/>
      <x:c r="L100"/>
      <x:c r="M100"/>
      <x:c r="N100"/>
    </x:row>
    <x:row r="101">
      <x:c r="A101"/>
      <x:c r="B101" s="45"/>
      <x:c r="C101"/>
      <x:c r="D101"/>
      <x:c r="E101"/>
      <x:c r="F101"/>
      <x:c r="G101"/>
      <x:c r="H101"/>
      <x:c r="I101"/>
      <x:c r="J101"/>
      <x:c r="K101"/>
      <x:c r="L101"/>
      <x:c r="M101"/>
      <x:c r="N101"/>
    </x:row>
    <x:row r="102">
      <x:c r="A102"/>
      <x:c r="B102" s="45"/>
      <x:c r="C102"/>
      <x:c r="D102"/>
      <x:c r="E102"/>
      <x:c r="F102"/>
      <x:c r="G102"/>
      <x:c r="H102"/>
      <x:c r="I102"/>
      <x:c r="J102"/>
      <x:c r="K102"/>
      <x:c r="L102"/>
      <x:c r="M102"/>
      <x:c r="N102"/>
    </x:row>
    <x:row r="103">
      <x:c r="A103"/>
      <x:c r="B103" s="45"/>
      <x:c r="C103"/>
      <x:c r="D103"/>
      <x:c r="E103"/>
      <x:c r="F103"/>
      <x:c r="G103"/>
      <x:c r="H103"/>
      <x:c r="I103"/>
      <x:c r="J103"/>
      <x:c r="K103"/>
      <x:c r="L103"/>
      <x:c r="M103"/>
      <x:c r="N103"/>
    </x:row>
    <x:row r="104">
      <x:c r="A104"/>
      <x:c r="B104" s="45"/>
      <x:c r="C104"/>
      <x:c r="D104"/>
      <x:c r="E104"/>
      <x:c r="F104"/>
      <x:c r="G104"/>
      <x:c r="H104"/>
      <x:c r="I104"/>
      <x:c r="J104"/>
      <x:c r="K104"/>
      <x:c r="L104"/>
      <x:c r="M104"/>
      <x:c r="N104"/>
    </x:row>
    <x:row r="105">
      <x:c r="A105"/>
      <x:c r="B105" s="45"/>
      <x:c r="C105"/>
      <x:c r="D105"/>
      <x:c r="E105"/>
      <x:c r="F105"/>
      <x:c r="G105"/>
      <x:c r="H105"/>
      <x:c r="I105"/>
      <x:c r="J105"/>
      <x:c r="K105"/>
      <x:c r="L105"/>
      <x:c r="M105"/>
      <x:c r="N105"/>
    </x:row>
    <x:row r="106">
      <x:c r="A106"/>
      <x:c r="B106" s="45"/>
      <x:c r="C106"/>
      <x:c r="D106"/>
      <x:c r="E106"/>
      <x:c r="F106"/>
      <x:c r="G106"/>
      <x:c r="H106"/>
      <x:c r="I106"/>
      <x:c r="J106"/>
      <x:c r="K106"/>
      <x:c r="L106"/>
      <x:c r="M106"/>
      <x:c r="N106"/>
    </x:row>
    <x:row r="107">
      <x:c r="A107"/>
      <x:c r="B107" s="45"/>
      <x:c r="C107"/>
      <x:c r="D107"/>
      <x:c r="E107"/>
      <x:c r="F107"/>
      <x:c r="G107"/>
      <x:c r="H107"/>
      <x:c r="I107"/>
      <x:c r="J107"/>
      <x:c r="K107"/>
      <x:c r="L107"/>
      <x:c r="M107"/>
      <x:c r="N107"/>
    </x:row>
    <x:row r="108">
      <x:c r="A108"/>
      <x:c r="B108" s="45"/>
      <x:c r="C108"/>
      <x:c r="D108"/>
      <x:c r="E108"/>
      <x:c r="F108"/>
      <x:c r="G108"/>
      <x:c r="H108"/>
      <x:c r="I108"/>
      <x:c r="J108"/>
      <x:c r="K108"/>
      <x:c r="L108"/>
      <x:c r="M108"/>
      <x:c r="N108"/>
    </x:row>
    <x:row r="109">
      <x:c r="A109"/>
      <x:c r="B109" s="45"/>
      <x:c r="C109"/>
      <x:c r="D109"/>
      <x:c r="E109"/>
      <x:c r="F109"/>
      <x:c r="G109"/>
      <x:c r="H109"/>
      <x:c r="I109"/>
      <x:c r="J109"/>
      <x:c r="K109"/>
      <x:c r="L109"/>
      <x:c r="M109"/>
      <x:c r="N109"/>
    </x:row>
    <x:row r="110">
      <x:c r="A110"/>
      <x:c r="B110" s="45"/>
      <x:c r="C110"/>
      <x:c r="D110"/>
      <x:c r="E110"/>
      <x:c r="F110"/>
      <x:c r="G110"/>
      <x:c r="H110"/>
      <x:c r="I110"/>
      <x:c r="J110"/>
      <x:c r="K110"/>
      <x:c r="L110"/>
      <x:c r="M110"/>
      <x:c r="N110"/>
    </x:row>
    <x:row r="111">
      <x:c r="A111"/>
      <x:c r="B111" s="45"/>
      <x:c r="C111"/>
      <x:c r="D111"/>
      <x:c r="E111"/>
      <x:c r="F111"/>
      <x:c r="G111"/>
      <x:c r="H111"/>
      <x:c r="I111"/>
      <x:c r="J111"/>
      <x:c r="K111"/>
      <x:c r="L111"/>
      <x:c r="M111"/>
      <x:c r="N111"/>
    </x:row>
    <x:row r="112">
      <x:c r="A112"/>
      <x:c r="B112" s="45"/>
      <x:c r="C112"/>
      <x:c r="D112"/>
      <x:c r="E112"/>
      <x:c r="F112"/>
      <x:c r="G112"/>
      <x:c r="H112"/>
      <x:c r="I112"/>
      <x:c r="J112"/>
      <x:c r="K112"/>
      <x:c r="L112"/>
      <x:c r="M112"/>
      <x:c r="N112"/>
    </x:row>
    <x:row r="113">
      <x:c r="A113"/>
      <x:c r="B113" s="45"/>
      <x:c r="C113"/>
      <x:c r="D113"/>
      <x:c r="E113"/>
      <x:c r="F113"/>
      <x:c r="G113"/>
      <x:c r="H113"/>
      <x:c r="I113"/>
      <x:c r="J113"/>
      <x:c r="K113"/>
      <x:c r="L113"/>
      <x:c r="M113"/>
      <x:c r="N113"/>
    </x:row>
    <x:row r="114">
      <x:c r="A114"/>
      <x:c r="B114" s="45"/>
      <x:c r="C114"/>
      <x:c r="D114"/>
      <x:c r="E114"/>
      <x:c r="F114"/>
      <x:c r="G114"/>
      <x:c r="H114"/>
      <x:c r="I114"/>
      <x:c r="J114"/>
      <x:c r="K114"/>
      <x:c r="L114"/>
      <x:c r="M114"/>
      <x:c r="N114"/>
    </x:row>
    <x:row r="115">
      <x:c r="A115"/>
      <x:c r="B115" s="45"/>
      <x:c r="C115"/>
      <x:c r="D115"/>
      <x:c r="E115"/>
      <x:c r="F115"/>
      <x:c r="G115"/>
      <x:c r="H115"/>
      <x:c r="I115"/>
      <x:c r="J115"/>
      <x:c r="K115"/>
      <x:c r="L115"/>
      <x:c r="M115"/>
      <x:c r="N115"/>
    </x:row>
    <x:row r="116">
      <x:c r="A116"/>
      <x:c r="B116" s="45"/>
      <x:c r="C116"/>
      <x:c r="D116"/>
      <x:c r="E116"/>
      <x:c r="F116"/>
      <x:c r="G116"/>
      <x:c r="H116"/>
      <x:c r="I116"/>
      <x:c r="J116"/>
      <x:c r="K116"/>
      <x:c r="L116"/>
      <x:c r="M116"/>
      <x:c r="N116"/>
    </x:row>
    <x:row r="117">
      <x:c r="A117"/>
      <x:c r="B117" s="45"/>
      <x:c r="C117"/>
      <x:c r="D117"/>
      <x:c r="E117"/>
      <x:c r="F117"/>
      <x:c r="G117"/>
      <x:c r="H117"/>
      <x:c r="I117"/>
      <x:c r="J117"/>
      <x:c r="K117"/>
      <x:c r="L117"/>
      <x:c r="M117"/>
      <x:c r="N117"/>
    </x:row>
    <x:row r="118">
      <x:c r="A118"/>
      <x:c r="B118" s="45"/>
      <x:c r="C118"/>
      <x:c r="D118"/>
      <x:c r="E118"/>
      <x:c r="F118"/>
      <x:c r="G118"/>
      <x:c r="H118"/>
      <x:c r="I118"/>
      <x:c r="J118"/>
      <x:c r="K118"/>
      <x:c r="L118"/>
      <x:c r="M118"/>
      <x:c r="N118"/>
    </x:row>
    <x:row r="119">
      <x:c r="A119"/>
      <x:c r="B119" s="45"/>
      <x:c r="C119"/>
      <x:c r="D119"/>
      <x:c r="E119"/>
      <x:c r="F119"/>
      <x:c r="G119"/>
      <x:c r="H119"/>
      <x:c r="I119"/>
      <x:c r="J119"/>
      <x:c r="K119"/>
      <x:c r="L119"/>
      <x:c r="M119"/>
      <x:c r="N119"/>
    </x:row>
    <x:row r="120">
      <x:c r="A120"/>
      <x:c r="B120" s="45"/>
      <x:c r="C120"/>
      <x:c r="D120"/>
      <x:c r="E120"/>
      <x:c r="F120"/>
      <x:c r="G120"/>
      <x:c r="H120"/>
      <x:c r="I120"/>
      <x:c r="J120"/>
      <x:c r="K120"/>
      <x:c r="L120"/>
      <x:c r="M120"/>
      <x:c r="N120"/>
    </x:row>
    <x:row r="121">
      <x:c r="A121"/>
      <x:c r="B121" s="45"/>
      <x:c r="C121"/>
      <x:c r="D121"/>
      <x:c r="E121"/>
      <x:c r="F121"/>
      <x:c r="G121"/>
      <x:c r="H121"/>
      <x:c r="I121"/>
      <x:c r="J121"/>
      <x:c r="K121"/>
      <x:c r="L121"/>
      <x:c r="M121"/>
      <x:c r="N121"/>
    </x:row>
    <x:row r="122">
      <x:c r="A122"/>
      <x:c r="B122" s="45"/>
      <x:c r="C122"/>
      <x:c r="D122"/>
      <x:c r="E122"/>
      <x:c r="F122"/>
      <x:c r="G122"/>
      <x:c r="H122"/>
      <x:c r="I122"/>
      <x:c r="J122"/>
      <x:c r="K122"/>
      <x:c r="L122"/>
      <x:c r="M122"/>
      <x:c r="N122"/>
    </x:row>
    <x:row r="123">
      <x:c r="A123"/>
      <x:c r="B123" s="45"/>
      <x:c r="C123"/>
      <x:c r="D123"/>
      <x:c r="E123"/>
      <x:c r="F123"/>
      <x:c r="G123"/>
      <x:c r="H123"/>
      <x:c r="I123"/>
      <x:c r="J123"/>
      <x:c r="K123"/>
      <x:c r="L123"/>
      <x:c r="M123"/>
      <x:c r="N123"/>
    </x:row>
    <x:row r="124">
      <x:c r="A124"/>
      <x:c r="B124" s="45"/>
      <x:c r="C124"/>
      <x:c r="D124"/>
      <x:c r="E124"/>
      <x:c r="F124"/>
      <x:c r="G124"/>
      <x:c r="H124"/>
      <x:c r="I124"/>
      <x:c r="J124"/>
      <x:c r="K124"/>
      <x:c r="L124"/>
      <x:c r="M124"/>
      <x:c r="N124"/>
    </x:row>
    <x:row r="125">
      <x:c r="A125"/>
      <x:c r="B125" s="45"/>
      <x:c r="C125"/>
      <x:c r="D125"/>
      <x:c r="E125"/>
      <x:c r="F125"/>
      <x:c r="G125"/>
      <x:c r="H125"/>
      <x:c r="I125"/>
      <x:c r="J125"/>
      <x:c r="K125"/>
      <x:c r="L125"/>
      <x:c r="M125"/>
      <x:c r="N125"/>
    </x:row>
    <x:row r="126">
      <x:c r="A126"/>
      <x:c r="B126" s="45"/>
      <x:c r="C126"/>
      <x:c r="D126"/>
      <x:c r="E126"/>
      <x:c r="F126"/>
      <x:c r="G126"/>
      <x:c r="H126"/>
      <x:c r="I126"/>
      <x:c r="J126"/>
      <x:c r="K126"/>
      <x:c r="L126"/>
      <x:c r="M126"/>
      <x:c r="N126"/>
    </x:row>
    <x:row r="127">
      <x:c r="A127"/>
      <x:c r="B127" s="45"/>
      <x:c r="C127"/>
      <x:c r="D127"/>
      <x:c r="E127"/>
      <x:c r="F127"/>
      <x:c r="G127"/>
      <x:c r="H127"/>
      <x:c r="I127"/>
      <x:c r="J127"/>
      <x:c r="K127"/>
      <x:c r="L127"/>
      <x:c r="M127"/>
      <x:c r="N127"/>
    </x:row>
    <x:row r="128">
      <x:c r="A128"/>
      <x:c r="B128" s="45"/>
      <x:c r="C128"/>
      <x:c r="D128"/>
      <x:c r="E128"/>
      <x:c r="F128"/>
      <x:c r="G128"/>
      <x:c r="H128"/>
      <x:c r="I128"/>
      <x:c r="J128"/>
      <x:c r="K128"/>
      <x:c r="L128"/>
      <x:c r="M128"/>
      <x:c r="N128"/>
    </x:row>
    <x:row r="129">
      <x:c r="A129"/>
      <x:c r="B129" s="45"/>
      <x:c r="C129"/>
      <x:c r="D129"/>
      <x:c r="E129"/>
      <x:c r="F129"/>
      <x:c r="G129"/>
      <x:c r="H129"/>
      <x:c r="I129"/>
      <x:c r="J129"/>
      <x:c r="K129"/>
      <x:c r="L129"/>
      <x:c r="M129"/>
      <x:c r="N129"/>
    </x:row>
    <x:row r="130">
      <x:c r="A130"/>
      <x:c r="B130" s="45"/>
      <x:c r="C130"/>
      <x:c r="D130"/>
      <x:c r="E130"/>
      <x:c r="F130"/>
      <x:c r="G130"/>
      <x:c r="H130"/>
      <x:c r="I130"/>
      <x:c r="J130"/>
      <x:c r="K130"/>
      <x:c r="L130"/>
      <x:c r="M130"/>
      <x:c r="N130"/>
    </x:row>
    <x:row r="131">
      <x:c r="A131"/>
      <x:c r="B131" s="45"/>
      <x:c r="C131"/>
      <x:c r="D131"/>
      <x:c r="E131"/>
      <x:c r="F131"/>
      <x:c r="G131"/>
      <x:c r="H131"/>
      <x:c r="I131"/>
      <x:c r="J131"/>
      <x:c r="K131"/>
      <x:c r="L131"/>
      <x:c r="M131"/>
      <x:c r="N131"/>
    </x:row>
    <x:row r="132">
      <x:c r="A132"/>
      <x:c r="B132" s="45"/>
      <x:c r="C132"/>
      <x:c r="D132"/>
      <x:c r="E132"/>
      <x:c r="F132"/>
      <x:c r="G132"/>
      <x:c r="H132"/>
      <x:c r="I132"/>
      <x:c r="J132"/>
      <x:c r="K132"/>
      <x:c r="L132"/>
      <x:c r="M132"/>
      <x:c r="N132"/>
    </x:row>
    <x:row r="133">
      <x:c r="A133"/>
      <x:c r="B133" s="45"/>
      <x:c r="C133"/>
      <x:c r="D133"/>
      <x:c r="E133"/>
      <x:c r="F133"/>
      <x:c r="G133"/>
      <x:c r="H133"/>
      <x:c r="I133"/>
      <x:c r="J133"/>
      <x:c r="K133"/>
      <x:c r="L133"/>
      <x:c r="M133"/>
      <x:c r="N133"/>
    </x:row>
    <x:row r="134">
      <x:c r="A134"/>
      <x:c r="B134" s="45"/>
      <x:c r="C134"/>
      <x:c r="D134"/>
      <x:c r="E134"/>
      <x:c r="F134"/>
      <x:c r="G134"/>
      <x:c r="H134"/>
      <x:c r="I134"/>
      <x:c r="J134"/>
      <x:c r="K134"/>
      <x:c r="L134"/>
      <x:c r="M134"/>
      <x:c r="N134"/>
    </x:row>
    <x:row r="135">
      <x:c r="A135"/>
      <x:c r="B135" s="45"/>
      <x:c r="C135"/>
      <x:c r="D135"/>
      <x:c r="E135"/>
      <x:c r="F135"/>
      <x:c r="G135"/>
      <x:c r="H135"/>
      <x:c r="I135"/>
      <x:c r="J135"/>
      <x:c r="K135"/>
      <x:c r="L135"/>
      <x:c r="M135"/>
      <x:c r="N135"/>
    </x:row>
    <x:row r="136">
      <x:c r="A136"/>
      <x:c r="B136" s="45"/>
      <x:c r="C136"/>
      <x:c r="D136"/>
      <x:c r="E136"/>
      <x:c r="F136"/>
      <x:c r="G136"/>
      <x:c r="H136"/>
      <x:c r="I136"/>
      <x:c r="J136"/>
      <x:c r="K136"/>
      <x:c r="L136"/>
      <x:c r="M136"/>
      <x:c r="N136"/>
    </x:row>
    <x:row r="137">
      <x:c r="A137"/>
      <x:c r="B137" s="45"/>
      <x:c r="C137"/>
      <x:c r="D137"/>
      <x:c r="E137"/>
      <x:c r="F137"/>
      <x:c r="G137"/>
      <x:c r="H137"/>
      <x:c r="I137"/>
      <x:c r="J137"/>
      <x:c r="K137"/>
      <x:c r="L137"/>
      <x:c r="M137"/>
      <x:c r="N137"/>
    </x:row>
    <x:row r="138">
      <x:c r="A138"/>
      <x:c r="B138" s="45"/>
      <x:c r="C138"/>
      <x:c r="D138"/>
      <x:c r="E138"/>
      <x:c r="F138"/>
      <x:c r="G138"/>
      <x:c r="H138"/>
      <x:c r="I138"/>
      <x:c r="J138"/>
      <x:c r="K138"/>
      <x:c r="L138"/>
      <x:c r="M138"/>
      <x:c r="N138"/>
    </x:row>
    <x:row r="139">
      <x:c r="A139"/>
      <x:c r="B139" s="45"/>
      <x:c r="C139"/>
      <x:c r="D139"/>
      <x:c r="E139"/>
      <x:c r="F139"/>
      <x:c r="G139"/>
      <x:c r="H139"/>
      <x:c r="I139"/>
      <x:c r="J139"/>
      <x:c r="K139"/>
      <x:c r="L139"/>
      <x:c r="M139"/>
      <x:c r="N139"/>
    </x:row>
    <x:row r="140">
      <x:c r="A140"/>
      <x:c r="B140" s="45"/>
      <x:c r="C140"/>
      <x:c r="D140"/>
      <x:c r="E140"/>
      <x:c r="F140"/>
      <x:c r="G140"/>
      <x:c r="H140"/>
      <x:c r="I140"/>
      <x:c r="J140"/>
      <x:c r="K140"/>
      <x:c r="L140"/>
      <x:c r="M140"/>
      <x:c r="N140"/>
    </x:row>
    <x:row r="141">
      <x:c r="A141"/>
      <x:c r="B141" s="45"/>
      <x:c r="C141"/>
      <x:c r="D141"/>
      <x:c r="E141"/>
      <x:c r="F141"/>
      <x:c r="G141"/>
      <x:c r="H141"/>
      <x:c r="I141"/>
      <x:c r="J141"/>
      <x:c r="K141"/>
      <x:c r="L141"/>
      <x:c r="M141"/>
      <x:c r="N141"/>
    </x:row>
    <x:row r="142">
      <x:c r="A142"/>
      <x:c r="B142" s="45"/>
      <x:c r="C142"/>
      <x:c r="D142"/>
      <x:c r="E142"/>
      <x:c r="F142"/>
      <x:c r="G142"/>
      <x:c r="H142"/>
      <x:c r="I142"/>
      <x:c r="J142"/>
      <x:c r="K142"/>
      <x:c r="L142"/>
      <x:c r="M142"/>
      <x:c r="N142"/>
    </x:row>
    <x:row r="143">
      <x:c r="A143"/>
      <x:c r="B143" s="45"/>
      <x:c r="C143"/>
      <x:c r="D143"/>
      <x:c r="E143"/>
      <x:c r="F143"/>
      <x:c r="G143"/>
      <x:c r="H143"/>
      <x:c r="I143"/>
      <x:c r="J143"/>
      <x:c r="K143"/>
      <x:c r="L143"/>
      <x:c r="M143"/>
      <x:c r="N143"/>
    </x:row>
    <x:row r="144">
      <x:c r="A144"/>
      <x:c r="B144" s="45"/>
      <x:c r="C144"/>
      <x:c r="D144"/>
      <x:c r="E144"/>
      <x:c r="F144"/>
      <x:c r="G144"/>
      <x:c r="H144"/>
      <x:c r="I144"/>
      <x:c r="J144"/>
      <x:c r="K144"/>
      <x:c r="L144"/>
      <x:c r="M144"/>
      <x:c r="N144"/>
    </x:row>
    <x:row r="145">
      <x:c r="A145"/>
      <x:c r="B145" s="45"/>
      <x:c r="C145"/>
      <x:c r="D145"/>
      <x:c r="E145"/>
      <x:c r="F145"/>
      <x:c r="G145"/>
      <x:c r="H145"/>
      <x:c r="I145"/>
      <x:c r="J145"/>
      <x:c r="K145"/>
      <x:c r="L145"/>
      <x:c r="M145"/>
      <x:c r="N145"/>
    </x:row>
    <x:row r="146">
      <x:c r="A146"/>
      <x:c r="B146" s="45"/>
      <x:c r="C146"/>
      <x:c r="D146"/>
      <x:c r="E146"/>
      <x:c r="F146"/>
      <x:c r="G146"/>
      <x:c r="H146"/>
      <x:c r="I146"/>
      <x:c r="J146"/>
      <x:c r="K146"/>
      <x:c r="L146"/>
      <x:c r="M146"/>
      <x:c r="N146"/>
    </x:row>
    <x:row r="147">
      <x:c r="A147"/>
      <x:c r="B147" s="45"/>
      <x:c r="C147"/>
      <x:c r="D147"/>
      <x:c r="E147"/>
      <x:c r="F147"/>
      <x:c r="G147"/>
      <x:c r="H147"/>
      <x:c r="I147"/>
      <x:c r="J147"/>
      <x:c r="K147"/>
      <x:c r="L147"/>
      <x:c r="M147"/>
      <x:c r="N147"/>
    </x:row>
    <x:row r="148">
      <x:c r="A148"/>
      <x:c r="B148" s="45"/>
      <x:c r="C148"/>
      <x:c r="D148"/>
      <x:c r="E148"/>
      <x:c r="F148"/>
      <x:c r="G148"/>
      <x:c r="H148"/>
      <x:c r="I148"/>
      <x:c r="J148"/>
      <x:c r="K148"/>
      <x:c r="L148"/>
      <x:c r="M148"/>
      <x:c r="N148"/>
    </x:row>
    <x:row r="149">
      <x:c r="A149"/>
      <x:c r="B149" s="45"/>
      <x:c r="C149"/>
      <x:c r="D149"/>
      <x:c r="E149"/>
      <x:c r="F149"/>
      <x:c r="G149"/>
      <x:c r="H149"/>
      <x:c r="I149"/>
      <x:c r="J149"/>
      <x:c r="K149"/>
      <x:c r="L149"/>
      <x:c r="M149"/>
      <x:c r="N149"/>
    </x:row>
    <x:row r="150">
      <x:c r="A150"/>
      <x:c r="B150" s="45"/>
      <x:c r="C150"/>
      <x:c r="D150"/>
      <x:c r="E150"/>
      <x:c r="F150"/>
      <x:c r="G150"/>
      <x:c r="H150"/>
      <x:c r="I150"/>
      <x:c r="J150"/>
      <x:c r="K150"/>
      <x:c r="L150"/>
      <x:c r="M150"/>
      <x:c r="N150"/>
    </x:row>
    <x:row r="151">
      <x:c r="A151"/>
      <x:c r="B151" s="45"/>
      <x:c r="C151"/>
      <x:c r="D151"/>
      <x:c r="E151"/>
      <x:c r="F151"/>
      <x:c r="G151"/>
      <x:c r="H151"/>
      <x:c r="I151"/>
      <x:c r="J151"/>
      <x:c r="K151"/>
      <x:c r="L151"/>
      <x:c r="M151"/>
      <x:c r="N151"/>
    </x:row>
    <x:row r="152">
      <x:c r="A152"/>
      <x:c r="B152" s="45"/>
      <x:c r="C152"/>
      <x:c r="D152"/>
      <x:c r="E152"/>
      <x:c r="F152"/>
      <x:c r="G152"/>
      <x:c r="H152"/>
      <x:c r="I152"/>
      <x:c r="J152"/>
      <x:c r="K152"/>
      <x:c r="L152"/>
      <x:c r="M152"/>
      <x:c r="N152"/>
    </x:row>
    <x:row r="153">
      <x:c r="A153"/>
      <x:c r="B153" s="45"/>
      <x:c r="C153"/>
      <x:c r="D153"/>
      <x:c r="E153"/>
      <x:c r="F153"/>
      <x:c r="G153"/>
      <x:c r="H153"/>
      <x:c r="I153"/>
      <x:c r="J153"/>
      <x:c r="K153"/>
      <x:c r="L153"/>
      <x:c r="M153"/>
      <x:c r="N153"/>
    </x:row>
    <x:row r="154">
      <x:c r="A154"/>
      <x:c r="B154" s="45"/>
      <x:c r="C154"/>
      <x:c r="D154"/>
      <x:c r="E154"/>
      <x:c r="F154"/>
      <x:c r="G154"/>
      <x:c r="H154"/>
      <x:c r="I154"/>
      <x:c r="J154"/>
      <x:c r="K154"/>
      <x:c r="L154"/>
      <x:c r="M154"/>
      <x:c r="N154"/>
    </x:row>
    <x:row r="155">
      <x:c r="A155"/>
      <x:c r="B155" s="45"/>
      <x:c r="C155"/>
      <x:c r="D155"/>
      <x:c r="E155"/>
      <x:c r="F155"/>
      <x:c r="G155"/>
      <x:c r="H155"/>
      <x:c r="I155"/>
      <x:c r="J155"/>
      <x:c r="K155"/>
      <x:c r="L155"/>
      <x:c r="M155"/>
      <x:c r="N155"/>
    </x:row>
    <x:row r="156">
      <x:c r="A156"/>
      <x:c r="B156" s="45"/>
      <x:c r="C156"/>
      <x:c r="D156"/>
      <x:c r="E156"/>
      <x:c r="F156"/>
      <x:c r="G156"/>
      <x:c r="H156"/>
      <x:c r="I156"/>
      <x:c r="J156"/>
      <x:c r="K156"/>
      <x:c r="L156"/>
      <x:c r="M156"/>
      <x:c r="N156"/>
    </x:row>
    <x:row r="157">
      <x:c r="A157"/>
      <x:c r="B157" s="45"/>
      <x:c r="C157"/>
      <x:c r="D157"/>
      <x:c r="E157"/>
      <x:c r="F157"/>
      <x:c r="G157"/>
      <x:c r="H157"/>
      <x:c r="I157"/>
      <x:c r="J157"/>
      <x:c r="K157"/>
      <x:c r="L157"/>
      <x:c r="M157"/>
      <x:c r="N157"/>
    </x:row>
    <x:row r="158">
      <x:c r="A158"/>
      <x:c r="B158" s="45"/>
      <x:c r="C158"/>
      <x:c r="D158"/>
      <x:c r="E158"/>
      <x:c r="F158"/>
      <x:c r="G158"/>
      <x:c r="H158"/>
      <x:c r="I158"/>
      <x:c r="J158"/>
      <x:c r="K158"/>
      <x:c r="L158"/>
      <x:c r="M158"/>
      <x:c r="N158"/>
    </x:row>
    <x:row r="159">
      <x:c r="A159"/>
      <x:c r="B159" s="45"/>
      <x:c r="C159"/>
      <x:c r="D159"/>
      <x:c r="E159"/>
      <x:c r="F159"/>
      <x:c r="G159"/>
      <x:c r="H159"/>
      <x:c r="I159"/>
      <x:c r="J159"/>
      <x:c r="K159"/>
      <x:c r="L159"/>
      <x:c r="M159"/>
      <x:c r="N159"/>
    </x:row>
    <x:row r="160">
      <x:c r="A160"/>
      <x:c r="B160" s="45"/>
      <x:c r="C160"/>
      <x:c r="D160"/>
      <x:c r="E160"/>
      <x:c r="F160"/>
      <x:c r="G160"/>
      <x:c r="H160"/>
      <x:c r="I160"/>
      <x:c r="J160"/>
      <x:c r="K160"/>
      <x:c r="L160"/>
      <x:c r="M160"/>
      <x:c r="N160"/>
    </x:row>
    <x:row r="161">
      <x:c r="A161"/>
      <x:c r="B161" s="45"/>
      <x:c r="C161"/>
      <x:c r="D161"/>
      <x:c r="E161"/>
      <x:c r="F161"/>
      <x:c r="G161"/>
      <x:c r="H161"/>
      <x:c r="I161"/>
      <x:c r="J161"/>
      <x:c r="K161"/>
      <x:c r="L161"/>
      <x:c r="M161"/>
      <x:c r="N161"/>
    </x:row>
    <x:row r="162">
      <x:c r="A162"/>
      <x:c r="B162" s="45"/>
      <x:c r="C162"/>
      <x:c r="D162"/>
      <x:c r="E162"/>
      <x:c r="F162"/>
      <x:c r="G162"/>
      <x:c r="H162"/>
      <x:c r="I162"/>
      <x:c r="J162"/>
      <x:c r="K162"/>
      <x:c r="L162"/>
      <x:c r="M162"/>
      <x:c r="N162"/>
    </x:row>
    <x:row r="163">
      <x:c r="A163"/>
      <x:c r="B163" s="45"/>
      <x:c r="C163"/>
      <x:c r="D163"/>
      <x:c r="E163"/>
      <x:c r="F163"/>
      <x:c r="G163"/>
      <x:c r="H163"/>
      <x:c r="I163"/>
      <x:c r="J163"/>
      <x:c r="K163"/>
      <x:c r="L163"/>
      <x:c r="M163"/>
      <x:c r="N163"/>
    </x:row>
    <x:row r="164">
      <x:c r="A164"/>
      <x:c r="B164" s="45"/>
      <x:c r="C164"/>
      <x:c r="D164"/>
      <x:c r="E164"/>
      <x:c r="F164"/>
      <x:c r="G164"/>
      <x:c r="H164"/>
      <x:c r="I164"/>
      <x:c r="J164"/>
      <x:c r="K164"/>
      <x:c r="L164"/>
      <x:c r="M164"/>
      <x:c r="N164"/>
    </x:row>
    <x:row r="165">
      <x:c r="A165"/>
      <x:c r="B165" s="45"/>
      <x:c r="C165"/>
      <x:c r="D165"/>
      <x:c r="E165"/>
      <x:c r="F165"/>
      <x:c r="G165"/>
      <x:c r="H165"/>
      <x:c r="I165"/>
      <x:c r="J165"/>
      <x:c r="K165"/>
      <x:c r="L165"/>
      <x:c r="M165"/>
      <x:c r="N165"/>
    </x:row>
    <x:row r="166">
      <x:c r="A166"/>
      <x:c r="B166" s="45"/>
      <x:c r="C166"/>
      <x:c r="D166"/>
      <x:c r="E166"/>
      <x:c r="F166"/>
      <x:c r="G166"/>
      <x:c r="H166"/>
      <x:c r="I166"/>
      <x:c r="J166"/>
      <x:c r="K166"/>
      <x:c r="L166"/>
      <x:c r="M166"/>
      <x:c r="N166"/>
    </x:row>
    <x:row r="167">
      <x:c r="A167"/>
      <x:c r="B167" s="45"/>
      <x:c r="C167"/>
      <x:c r="D167"/>
      <x:c r="E167"/>
      <x:c r="F167"/>
      <x:c r="G167"/>
      <x:c r="H167"/>
      <x:c r="I167"/>
      <x:c r="J167"/>
      <x:c r="K167"/>
      <x:c r="L167"/>
      <x:c r="M167"/>
      <x:c r="N167"/>
    </x:row>
    <x:row r="168">
      <x:c r="A168"/>
      <x:c r="B168" s="45"/>
      <x:c r="C168"/>
      <x:c r="D168"/>
      <x:c r="E168"/>
      <x:c r="F168"/>
      <x:c r="G168"/>
      <x:c r="H168"/>
      <x:c r="I168"/>
      <x:c r="J168"/>
      <x:c r="K168"/>
      <x:c r="L168"/>
      <x:c r="M168"/>
      <x:c r="N168"/>
    </x:row>
    <x:row r="169">
      <x:c r="A169"/>
      <x:c r="B169" s="45"/>
      <x:c r="C169"/>
      <x:c r="D169"/>
      <x:c r="E169"/>
      <x:c r="F169"/>
      <x:c r="G169"/>
      <x:c r="H169"/>
      <x:c r="I169"/>
      <x:c r="J169"/>
      <x:c r="K169"/>
      <x:c r="L169"/>
      <x:c r="M169"/>
      <x:c r="N169"/>
    </x:row>
    <x:row r="170">
      <x:c r="A170"/>
      <x:c r="B170" s="45"/>
      <x:c r="C170"/>
      <x:c r="D170"/>
      <x:c r="E170"/>
      <x:c r="F170"/>
      <x:c r="G170"/>
      <x:c r="H170"/>
      <x:c r="I170"/>
      <x:c r="J170"/>
      <x:c r="K170"/>
      <x:c r="L170"/>
      <x:c r="M170"/>
      <x:c r="N170"/>
    </x:row>
    <x:row r="171">
      <x:c r="A171"/>
      <x:c r="B171" s="45"/>
      <x:c r="C171"/>
      <x:c r="D171"/>
      <x:c r="E171"/>
      <x:c r="F171"/>
      <x:c r="G171"/>
      <x:c r="H171"/>
      <x:c r="I171"/>
      <x:c r="J171"/>
      <x:c r="K171"/>
      <x:c r="L171"/>
      <x:c r="M171"/>
      <x:c r="N171"/>
    </x:row>
    <x:row r="172">
      <x:c r="A172"/>
      <x:c r="B172" s="45"/>
      <x:c r="C172"/>
      <x:c r="D172"/>
      <x:c r="E172"/>
      <x:c r="F172"/>
      <x:c r="G172"/>
      <x:c r="H172"/>
      <x:c r="I172"/>
      <x:c r="J172"/>
      <x:c r="K172"/>
      <x:c r="L172"/>
      <x:c r="M172"/>
      <x:c r="N172"/>
    </x:row>
    <x:row r="173">
      <x:c r="A173"/>
      <x:c r="B173" s="45"/>
      <x:c r="C173"/>
      <x:c r="D173"/>
      <x:c r="E173"/>
      <x:c r="F173"/>
      <x:c r="G173"/>
      <x:c r="H173"/>
      <x:c r="I173"/>
      <x:c r="J173"/>
      <x:c r="K173"/>
      <x:c r="L173"/>
      <x:c r="M173"/>
      <x:c r="N173"/>
    </x:row>
    <x:row r="174">
      <x:c r="A174"/>
      <x:c r="B174" s="45"/>
      <x:c r="C174"/>
      <x:c r="D174"/>
      <x:c r="E174"/>
      <x:c r="F174"/>
      <x:c r="G174"/>
      <x:c r="H174"/>
      <x:c r="I174"/>
      <x:c r="J174"/>
      <x:c r="K174"/>
      <x:c r="L174"/>
      <x:c r="M174"/>
      <x:c r="N174"/>
    </x:row>
    <x:row r="175">
      <x:c r="A175"/>
      <x:c r="B175" s="45"/>
      <x:c r="C175"/>
      <x:c r="D175"/>
      <x:c r="E175"/>
      <x:c r="F175"/>
      <x:c r="G175"/>
      <x:c r="H175"/>
      <x:c r="I175"/>
      <x:c r="J175"/>
      <x:c r="K175"/>
      <x:c r="L175"/>
      <x:c r="M175"/>
      <x:c r="N175"/>
    </x:row>
    <x:row r="176">
      <x:c r="A176"/>
      <x:c r="B176" s="45"/>
      <x:c r="C176"/>
      <x:c r="D176"/>
      <x:c r="E176"/>
      <x:c r="F176"/>
      <x:c r="G176"/>
      <x:c r="H176"/>
      <x:c r="I176"/>
      <x:c r="J176"/>
      <x:c r="K176"/>
      <x:c r="L176"/>
      <x:c r="M176"/>
      <x:c r="N176"/>
    </x:row>
    <x:row r="177">
      <x:c r="A177"/>
      <x:c r="B177" s="45"/>
      <x:c r="C177"/>
      <x:c r="D177"/>
      <x:c r="E177"/>
      <x:c r="F177"/>
      <x:c r="G177"/>
      <x:c r="H177"/>
      <x:c r="I177"/>
      <x:c r="J177"/>
      <x:c r="K177"/>
      <x:c r="L177"/>
      <x:c r="M177"/>
      <x:c r="N177"/>
    </x:row>
    <x:row r="178">
      <x:c r="A178"/>
      <x:c r="B178" s="45"/>
      <x:c r="C178"/>
      <x:c r="D178"/>
      <x:c r="E178"/>
      <x:c r="F178"/>
      <x:c r="G178"/>
      <x:c r="H178"/>
      <x:c r="I178"/>
      <x:c r="J178"/>
      <x:c r="K178"/>
      <x:c r="L178"/>
      <x:c r="M178"/>
      <x:c r="N178"/>
    </x:row>
    <x:row r="179">
      <x:c r="A179"/>
      <x:c r="B179" s="45"/>
      <x:c r="C179"/>
      <x:c r="D179"/>
      <x:c r="E179"/>
      <x:c r="F179"/>
      <x:c r="G179"/>
      <x:c r="H179"/>
      <x:c r="I179"/>
      <x:c r="J179"/>
      <x:c r="K179"/>
      <x:c r="L179"/>
      <x:c r="M179"/>
      <x:c r="N179"/>
    </x:row>
    <x:row r="180">
      <x:c r="A180"/>
      <x:c r="B180" s="45"/>
      <x:c r="C180"/>
      <x:c r="D180"/>
      <x:c r="E180"/>
      <x:c r="F180"/>
      <x:c r="G180"/>
      <x:c r="H180"/>
      <x:c r="I180"/>
      <x:c r="J180"/>
      <x:c r="K180"/>
      <x:c r="L180"/>
      <x:c r="M180"/>
      <x:c r="N180"/>
    </x:row>
    <x:row r="181">
      <x:c r="A181"/>
      <x:c r="B181" s="45"/>
      <x:c r="C181"/>
      <x:c r="D181"/>
      <x:c r="E181"/>
      <x:c r="F181"/>
      <x:c r="G181"/>
      <x:c r="H181"/>
      <x:c r="I181"/>
      <x:c r="J181"/>
      <x:c r="K181"/>
      <x:c r="L181"/>
      <x:c r="M181"/>
      <x:c r="N181"/>
    </x:row>
    <x:row r="182">
      <x:c r="A182"/>
      <x:c r="B182" s="45"/>
      <x:c r="C182"/>
      <x:c r="D182"/>
      <x:c r="E182"/>
      <x:c r="F182"/>
      <x:c r="G182"/>
      <x:c r="H182"/>
      <x:c r="I182"/>
      <x:c r="J182"/>
      <x:c r="K182"/>
      <x:c r="L182"/>
      <x:c r="M182"/>
      <x:c r="N182"/>
    </x:row>
    <x:row r="183">
      <x:c r="A183"/>
      <x:c r="B183" s="45"/>
      <x:c r="C183"/>
      <x:c r="D183"/>
      <x:c r="E183"/>
      <x:c r="F183"/>
      <x:c r="G183"/>
      <x:c r="H183"/>
      <x:c r="I183"/>
      <x:c r="J183"/>
      <x:c r="K183"/>
      <x:c r="L183"/>
      <x:c r="M183"/>
      <x:c r="N183"/>
    </x:row>
    <x:row r="184">
      <x:c r="A184"/>
      <x:c r="B184" s="45"/>
      <x:c r="C184"/>
      <x:c r="D184"/>
      <x:c r="E184"/>
      <x:c r="F184"/>
      <x:c r="G184"/>
      <x:c r="H184"/>
      <x:c r="I184"/>
      <x:c r="J184"/>
      <x:c r="K184"/>
      <x:c r="L184"/>
      <x:c r="M184"/>
      <x:c r="N184"/>
    </x:row>
    <x:row r="185">
      <x:c r="A185"/>
      <x:c r="B185" s="45"/>
      <x:c r="C185"/>
      <x:c r="D185"/>
      <x:c r="E185"/>
      <x:c r="F185"/>
      <x:c r="G185"/>
      <x:c r="H185"/>
      <x:c r="I185"/>
      <x:c r="J185"/>
      <x:c r="K185"/>
      <x:c r="L185"/>
      <x:c r="M185"/>
      <x:c r="N185"/>
    </x:row>
    <x:row r="186">
      <x:c r="A186"/>
      <x:c r="B186" s="45"/>
      <x:c r="C186"/>
      <x:c r="D186"/>
      <x:c r="E186"/>
      <x:c r="F186"/>
      <x:c r="G186"/>
      <x:c r="H186"/>
      <x:c r="I186"/>
      <x:c r="J186"/>
      <x:c r="K186"/>
      <x:c r="L186"/>
      <x:c r="M186"/>
      <x:c r="N186"/>
    </x:row>
    <x:row r="187">
      <x:c r="A187"/>
      <x:c r="B187" s="45"/>
      <x:c r="C187"/>
      <x:c r="D187"/>
      <x:c r="E187"/>
      <x:c r="F187"/>
      <x:c r="G187"/>
      <x:c r="H187"/>
      <x:c r="I187"/>
      <x:c r="J187"/>
      <x:c r="K187"/>
      <x:c r="L187"/>
      <x:c r="M187"/>
      <x:c r="N187"/>
    </x:row>
    <x:row r="188">
      <x:c r="A188"/>
      <x:c r="B188" s="45"/>
      <x:c r="C188"/>
      <x:c r="D188"/>
      <x:c r="E188"/>
      <x:c r="F188"/>
      <x:c r="G188"/>
      <x:c r="H188"/>
      <x:c r="I188"/>
      <x:c r="J188"/>
      <x:c r="K188"/>
      <x:c r="L188"/>
      <x:c r="M188"/>
      <x:c r="N188"/>
    </x:row>
    <x:row r="189">
      <x:c r="A189"/>
      <x:c r="B189" s="45"/>
      <x:c r="C189"/>
      <x:c r="D189"/>
      <x:c r="E189"/>
      <x:c r="F189"/>
      <x:c r="G189"/>
      <x:c r="H189"/>
      <x:c r="I189"/>
      <x:c r="J189"/>
      <x:c r="K189"/>
      <x:c r="L189"/>
      <x:c r="M189"/>
      <x:c r="N189"/>
    </x:row>
    <x:row r="190">
      <x:c r="A190"/>
      <x:c r="B190" s="45"/>
      <x:c r="C190"/>
      <x:c r="D190"/>
      <x:c r="E190"/>
      <x:c r="F190"/>
      <x:c r="G190"/>
      <x:c r="H190"/>
      <x:c r="I190"/>
      <x:c r="J190"/>
      <x:c r="K190"/>
      <x:c r="L190"/>
      <x:c r="M190"/>
      <x:c r="N190"/>
    </x:row>
    <x:row r="191">
      <x:c r="A191"/>
      <x:c r="B191" s="45"/>
      <x:c r="C191"/>
      <x:c r="D191"/>
      <x:c r="E191"/>
      <x:c r="F191"/>
      <x:c r="G191"/>
      <x:c r="H191"/>
      <x:c r="I191"/>
      <x:c r="J191"/>
      <x:c r="K191"/>
      <x:c r="L191"/>
      <x:c r="M191"/>
      <x:c r="N191"/>
    </x:row>
    <x:row r="192">
      <x:c r="A192"/>
      <x:c r="B192" s="45"/>
      <x:c r="C192"/>
      <x:c r="D192"/>
      <x:c r="E192"/>
      <x:c r="F192"/>
      <x:c r="G192"/>
      <x:c r="H192"/>
      <x:c r="I192"/>
      <x:c r="J192"/>
      <x:c r="K192"/>
      <x:c r="L192"/>
      <x:c r="M192"/>
      <x:c r="N192"/>
    </x:row>
    <x:row r="193">
      <x:c r="A193"/>
      <x:c r="B193" s="45"/>
      <x:c r="C193"/>
      <x:c r="D193"/>
      <x:c r="E193"/>
      <x:c r="F193"/>
      <x:c r="G193"/>
      <x:c r="H193"/>
      <x:c r="I193"/>
      <x:c r="J193"/>
      <x:c r="K193"/>
      <x:c r="L193"/>
      <x:c r="M193"/>
      <x:c r="N193"/>
    </x:row>
    <x:row r="194">
      <x:c r="A194"/>
      <x:c r="B194" s="45"/>
      <x:c r="C194"/>
      <x:c r="D194"/>
      <x:c r="E194"/>
      <x:c r="F194"/>
      <x:c r="G194"/>
      <x:c r="H194"/>
      <x:c r="I194"/>
      <x:c r="J194"/>
      <x:c r="K194"/>
      <x:c r="L194"/>
      <x:c r="M194"/>
      <x:c r="N194"/>
    </x:row>
    <x:row r="195">
      <x:c r="A195"/>
      <x:c r="B195" s="45"/>
      <x:c r="C195"/>
      <x:c r="D195"/>
      <x:c r="E195"/>
      <x:c r="F195"/>
      <x:c r="G195"/>
      <x:c r="H195"/>
      <x:c r="I195"/>
      <x:c r="J195"/>
      <x:c r="K195"/>
      <x:c r="L195"/>
      <x:c r="M195"/>
      <x:c r="N195"/>
    </x:row>
    <x:row r="196">
      <x:c r="A196"/>
      <x:c r="B196" s="45"/>
      <x:c r="C196"/>
      <x:c r="D196"/>
      <x:c r="E196"/>
      <x:c r="F196"/>
      <x:c r="G196"/>
      <x:c r="H196"/>
      <x:c r="I196"/>
      <x:c r="J196"/>
      <x:c r="K196"/>
      <x:c r="L196"/>
      <x:c r="M196"/>
      <x:c r="N196"/>
    </x:row>
    <x:row r="197">
      <x:c r="A197"/>
      <x:c r="B197" s="45"/>
      <x:c r="C197"/>
      <x:c r="D197"/>
      <x:c r="E197"/>
      <x:c r="F197"/>
      <x:c r="G197"/>
      <x:c r="H197"/>
      <x:c r="I197"/>
      <x:c r="J197"/>
      <x:c r="K197"/>
      <x:c r="L197"/>
      <x:c r="M197"/>
      <x:c r="N197"/>
    </x:row>
    <x:row r="198">
      <x:c r="A198"/>
      <x:c r="B198" s="45"/>
      <x:c r="C198"/>
      <x:c r="D198"/>
      <x:c r="E198"/>
      <x:c r="F198"/>
      <x:c r="G198"/>
      <x:c r="H198"/>
      <x:c r="I198"/>
      <x:c r="J198"/>
      <x:c r="K198"/>
      <x:c r="L198"/>
      <x:c r="M198"/>
      <x:c r="N198"/>
    </x:row>
    <x:row r="199">
      <x:c r="A199"/>
      <x:c r="B199" s="45"/>
      <x:c r="C199"/>
      <x:c r="D199"/>
      <x:c r="E199"/>
      <x:c r="F199"/>
      <x:c r="G199"/>
      <x:c r="H199"/>
      <x:c r="I199"/>
      <x:c r="J199"/>
      <x:c r="K199"/>
      <x:c r="L199"/>
      <x:c r="M199"/>
      <x:c r="N199"/>
    </x:row>
    <x:row r="200">
      <x:c r="A200"/>
      <x:c r="B200" s="45"/>
      <x:c r="C200"/>
      <x:c r="D200"/>
      <x:c r="E200"/>
      <x:c r="F200"/>
      <x:c r="G200"/>
      <x:c r="H200"/>
      <x:c r="I200"/>
      <x:c r="J200"/>
      <x:c r="K200"/>
      <x:c r="L200"/>
      <x:c r="M200"/>
      <x:c r="N200"/>
    </x:row>
    <x:row r="201">
      <x:c r="A201"/>
      <x:c r="B201" s="45"/>
      <x:c r="C201"/>
      <x:c r="D201"/>
      <x:c r="E201"/>
      <x:c r="F201"/>
      <x:c r="G201"/>
      <x:c r="H201"/>
      <x:c r="I201"/>
      <x:c r="J201"/>
      <x:c r="K201"/>
      <x:c r="L201"/>
      <x:c r="M201"/>
      <x:c r="N201"/>
    </x:row>
    <x:row r="202">
      <x:c r="A202"/>
      <x:c r="B202" s="45"/>
      <x:c r="C202"/>
      <x:c r="D202"/>
      <x:c r="E202"/>
      <x:c r="F202"/>
      <x:c r="G202"/>
      <x:c r="H202"/>
      <x:c r="I202"/>
      <x:c r="J202"/>
      <x:c r="K202"/>
      <x:c r="L202"/>
      <x:c r="M202"/>
      <x:c r="N202"/>
    </x:row>
    <x:row r="203">
      <x:c r="A203"/>
      <x:c r="B203" s="45"/>
      <x:c r="C203"/>
      <x:c r="D203"/>
      <x:c r="E203"/>
      <x:c r="F203"/>
      <x:c r="G203"/>
      <x:c r="H203"/>
      <x:c r="I203"/>
      <x:c r="J203"/>
      <x:c r="K203"/>
      <x:c r="L203"/>
      <x:c r="M203"/>
      <x:c r="N203"/>
    </x:row>
  </x:sheetData>
  <x:mergeCells>
    <x:mergeCell ref="A1:N1"/>
    <x:mergeCell ref="A2:N2"/>
  </x:mergeCells>
  <x:dataValidations count="2">
    <x:dataValidation type="list" sqref="J4:J203">
      <x:formula1>"Pending,Delivered,Bounced,Blocked,Complaint"</x:formula1>
    </x:dataValidation>
    <x:dataValidation type="list" sqref="K4:K203">
      <x:formula1>"No reply,Referred,Interested,Not now,Opted out"</x:formula1>
    </x:dataValidation>
  </x:dataValidations>
  <x:pageMargins left="0.7" right="0.7" top="0.75" bottom="0.75" header="0.3" footer="0.3"/>
  <x:tableParts count="1">
    <x:tablePart xmlns:r="http://schemas.openxmlformats.org/officeDocument/2006/relationships" r:id="R0512547942a14af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4" hidden="0" customWidth="1"/>
    <x:col min="4" max="4" width="24" hidden="0" customWidth="1"/>
    <x:col min="5" max="5" width="15" hidden="0" customWidth="1"/>
    <x:col min="6" max="6" width="18" hidden="0" customWidth="1"/>
    <x:col min="7" max="7" width="12" hidden="0" customWidth="1"/>
    <x:col min="8" max="8" width="40" hidden="0" customWidth="1"/>
  </x:cols>
  <x:sheetData>
    <x:row r="1" ht="36" customHeight="1">
      <x:c r="A1" s="3" t="str">
        <x:v>Suppression register</x:v>
      </x:c>
      <x:c r="B1" s="3"/>
      <x:c r="C1" s="3"/>
      <x:c r="D1" s="3"/>
      <x:c r="E1" s="3"/>
      <x:c r="F1" s="3"/>
      <x:c r="G1" s="3"/>
      <x:c r="H1" s="3"/>
    </x:row>
    <x:row r="2" ht="32" customHeight="1">
      <x:c r="A2" s="6" t="str">
        <x:v>Check before every send. Add opt-outs, complaints, invalid addresses and do-not-contact decisions immediately.</x:v>
      </x:c>
      <x:c r="B2" s="6"/>
      <x:c r="C2" s="6"/>
      <x:c r="D2" s="6"/>
      <x:c r="E2" s="6"/>
      <x:c r="F2" s="6"/>
      <x:c r="G2" s="6"/>
      <x:c r="H2" s="6"/>
    </x:row>
    <x:row r="3" ht="34" customHeight="1">
      <x:c r="A3" s="12" t="str">
        <x:v>Email/domain</x:v>
      </x:c>
      <x:c r="B3" s="20" t="str">
        <x:v>School/organisation</x:v>
      </x:c>
      <x:c r="C3" s="20" t="str">
        <x:v>Reason</x:v>
      </x:c>
      <x:c r="D3" s="20" t="str">
        <x:v>Source</x:v>
      </x:c>
      <x:c r="E3" s="20" t="str">
        <x:v>Date added</x:v>
      </x:c>
      <x:c r="F3" s="20" t="str">
        <x:v>Added by</x:v>
      </x:c>
      <x:c r="G3" s="20" t="str">
        <x:v>Permanent</x:v>
      </x:c>
      <x:c r="H3" s="13" t="str">
        <x:v>Notes</x:v>
      </x:c>
    </x:row>
    <x:row r="4">
      <x:c r="A4"/>
      <x:c r="B4"/>
      <x:c r="C4"/>
      <x:c r="D4"/>
      <x:c r="E4" s="46"/>
      <x:c r="F4"/>
      <x:c r="G4"/>
      <x:c r="H4"/>
    </x:row>
    <x:row r="5">
      <x:c r="A5"/>
      <x:c r="B5"/>
      <x:c r="C5"/>
      <x:c r="D5"/>
      <x:c r="E5" s="46"/>
      <x:c r="F5"/>
      <x:c r="G5"/>
      <x:c r="H5"/>
    </x:row>
    <x:row r="6">
      <x:c r="A6"/>
      <x:c r="B6"/>
      <x:c r="C6"/>
      <x:c r="D6"/>
      <x:c r="E6" s="46"/>
      <x:c r="F6"/>
      <x:c r="G6"/>
      <x:c r="H6"/>
    </x:row>
    <x:row r="7">
      <x:c r="A7"/>
      <x:c r="B7"/>
      <x:c r="C7"/>
      <x:c r="D7"/>
      <x:c r="E7" s="46"/>
      <x:c r="F7"/>
      <x:c r="G7"/>
      <x:c r="H7"/>
    </x:row>
    <x:row r="8">
      <x:c r="A8"/>
      <x:c r="B8"/>
      <x:c r="C8"/>
      <x:c r="D8"/>
      <x:c r="E8" s="46"/>
      <x:c r="F8"/>
      <x:c r="G8"/>
      <x:c r="H8"/>
    </x:row>
    <x:row r="9">
      <x:c r="A9"/>
      <x:c r="B9"/>
      <x:c r="C9"/>
      <x:c r="D9"/>
      <x:c r="E9" s="46"/>
      <x:c r="F9"/>
      <x:c r="G9"/>
      <x:c r="H9"/>
    </x:row>
    <x:row r="10">
      <x:c r="A10"/>
      <x:c r="B10"/>
      <x:c r="C10"/>
      <x:c r="D10"/>
      <x:c r="E10" s="46"/>
      <x:c r="F10"/>
      <x:c r="G10"/>
      <x:c r="H10"/>
    </x:row>
    <x:row r="11">
      <x:c r="A11"/>
      <x:c r="B11"/>
      <x:c r="C11"/>
      <x:c r="D11"/>
      <x:c r="E11" s="46"/>
      <x:c r="F11"/>
      <x:c r="G11"/>
      <x:c r="H11"/>
    </x:row>
    <x:row r="12">
      <x:c r="A12"/>
      <x:c r="B12"/>
      <x:c r="C12"/>
      <x:c r="D12"/>
      <x:c r="E12" s="46"/>
      <x:c r="F12"/>
      <x:c r="G12"/>
      <x:c r="H12"/>
    </x:row>
    <x:row r="13">
      <x:c r="A13"/>
      <x:c r="B13"/>
      <x:c r="C13"/>
      <x:c r="D13"/>
      <x:c r="E13" s="46"/>
      <x:c r="F13"/>
      <x:c r="G13"/>
      <x:c r="H13"/>
    </x:row>
    <x:row r="14">
      <x:c r="A14"/>
      <x:c r="B14"/>
      <x:c r="C14"/>
      <x:c r="D14"/>
      <x:c r="E14" s="46"/>
      <x:c r="F14"/>
      <x:c r="G14"/>
      <x:c r="H14"/>
    </x:row>
    <x:row r="15">
      <x:c r="A15"/>
      <x:c r="B15"/>
      <x:c r="C15"/>
      <x:c r="D15"/>
      <x:c r="E15" s="46"/>
      <x:c r="F15"/>
      <x:c r="G15"/>
      <x:c r="H15"/>
    </x:row>
    <x:row r="16">
      <x:c r="A16"/>
      <x:c r="B16"/>
      <x:c r="C16"/>
      <x:c r="D16"/>
      <x:c r="E16" s="46"/>
      <x:c r="F16"/>
      <x:c r="G16"/>
      <x:c r="H16"/>
    </x:row>
    <x:row r="17">
      <x:c r="A17"/>
      <x:c r="B17"/>
      <x:c r="C17"/>
      <x:c r="D17"/>
      <x:c r="E17" s="46"/>
      <x:c r="F17"/>
      <x:c r="G17"/>
      <x:c r="H17"/>
    </x:row>
    <x:row r="18">
      <x:c r="A18"/>
      <x:c r="B18"/>
      <x:c r="C18"/>
      <x:c r="D18"/>
      <x:c r="E18" s="46"/>
      <x:c r="F18"/>
      <x:c r="G18"/>
      <x:c r="H18"/>
    </x:row>
    <x:row r="19">
      <x:c r="A19"/>
      <x:c r="B19"/>
      <x:c r="C19"/>
      <x:c r="D19"/>
      <x:c r="E19" s="46"/>
      <x:c r="F19"/>
      <x:c r="G19"/>
      <x:c r="H19"/>
    </x:row>
    <x:row r="20">
      <x:c r="A20"/>
      <x:c r="B20"/>
      <x:c r="C20"/>
      <x:c r="D20"/>
      <x:c r="E20" s="46"/>
      <x:c r="F20"/>
      <x:c r="G20"/>
      <x:c r="H20"/>
    </x:row>
    <x:row r="21">
      <x:c r="A21"/>
      <x:c r="B21"/>
      <x:c r="C21"/>
      <x:c r="D21"/>
      <x:c r="E21" s="46"/>
      <x:c r="F21"/>
      <x:c r="G21"/>
      <x:c r="H21"/>
    </x:row>
    <x:row r="22">
      <x:c r="A22"/>
      <x:c r="B22"/>
      <x:c r="C22"/>
      <x:c r="D22"/>
      <x:c r="E22" s="46"/>
      <x:c r="F22"/>
      <x:c r="G22"/>
      <x:c r="H22"/>
    </x:row>
    <x:row r="23">
      <x:c r="A23"/>
      <x:c r="B23"/>
      <x:c r="C23"/>
      <x:c r="D23"/>
      <x:c r="E23" s="46"/>
      <x:c r="F23"/>
      <x:c r="G23"/>
      <x:c r="H23"/>
    </x:row>
    <x:row r="24">
      <x:c r="A24"/>
      <x:c r="B24"/>
      <x:c r="C24"/>
      <x:c r="D24"/>
      <x:c r="E24" s="46"/>
      <x:c r="F24"/>
      <x:c r="G24"/>
      <x:c r="H24"/>
    </x:row>
    <x:row r="25">
      <x:c r="A25"/>
      <x:c r="B25"/>
      <x:c r="C25"/>
      <x:c r="D25"/>
      <x:c r="E25" s="46"/>
      <x:c r="F25"/>
      <x:c r="G25"/>
      <x:c r="H25"/>
    </x:row>
    <x:row r="26">
      <x:c r="A26"/>
      <x:c r="B26"/>
      <x:c r="C26"/>
      <x:c r="D26"/>
      <x:c r="E26" s="46"/>
      <x:c r="F26"/>
      <x:c r="G26"/>
      <x:c r="H26"/>
    </x:row>
    <x:row r="27">
      <x:c r="A27"/>
      <x:c r="B27"/>
      <x:c r="C27"/>
      <x:c r="D27"/>
      <x:c r="E27" s="46"/>
      <x:c r="F27"/>
      <x:c r="G27"/>
      <x:c r="H27"/>
    </x:row>
    <x:row r="28">
      <x:c r="A28"/>
      <x:c r="B28"/>
      <x:c r="C28"/>
      <x:c r="D28"/>
      <x:c r="E28" s="46"/>
      <x:c r="F28"/>
      <x:c r="G28"/>
      <x:c r="H28"/>
    </x:row>
    <x:row r="29">
      <x:c r="A29"/>
      <x:c r="B29"/>
      <x:c r="C29"/>
      <x:c r="D29"/>
      <x:c r="E29" s="46"/>
      <x:c r="F29"/>
      <x:c r="G29"/>
      <x:c r="H29"/>
    </x:row>
    <x:row r="30">
      <x:c r="A30"/>
      <x:c r="B30"/>
      <x:c r="C30"/>
      <x:c r="D30"/>
      <x:c r="E30" s="46"/>
      <x:c r="F30"/>
      <x:c r="G30"/>
      <x:c r="H30"/>
    </x:row>
    <x:row r="31">
      <x:c r="A31"/>
      <x:c r="B31"/>
      <x:c r="C31"/>
      <x:c r="D31"/>
      <x:c r="E31" s="46"/>
      <x:c r="F31"/>
      <x:c r="G31"/>
      <x:c r="H31"/>
    </x:row>
    <x:row r="32">
      <x:c r="A32"/>
      <x:c r="B32"/>
      <x:c r="C32"/>
      <x:c r="D32"/>
      <x:c r="E32" s="46"/>
      <x:c r="F32"/>
      <x:c r="G32"/>
      <x:c r="H32"/>
    </x:row>
    <x:row r="33">
      <x:c r="A33"/>
      <x:c r="B33"/>
      <x:c r="C33"/>
      <x:c r="D33"/>
      <x:c r="E33" s="46"/>
      <x:c r="F33"/>
      <x:c r="G33"/>
      <x:c r="H33"/>
    </x:row>
    <x:row r="34">
      <x:c r="A34"/>
      <x:c r="B34"/>
      <x:c r="C34"/>
      <x:c r="D34"/>
      <x:c r="E34" s="46"/>
      <x:c r="F34"/>
      <x:c r="G34"/>
      <x:c r="H34"/>
    </x:row>
    <x:row r="35">
      <x:c r="A35"/>
      <x:c r="B35"/>
      <x:c r="C35"/>
      <x:c r="D35"/>
      <x:c r="E35" s="46"/>
      <x:c r="F35"/>
      <x:c r="G35"/>
      <x:c r="H35"/>
    </x:row>
    <x:row r="36">
      <x:c r="A36"/>
      <x:c r="B36"/>
      <x:c r="C36"/>
      <x:c r="D36"/>
      <x:c r="E36" s="46"/>
      <x:c r="F36"/>
      <x:c r="G36"/>
      <x:c r="H36"/>
    </x:row>
    <x:row r="37">
      <x:c r="A37"/>
      <x:c r="B37"/>
      <x:c r="C37"/>
      <x:c r="D37"/>
      <x:c r="E37" s="46"/>
      <x:c r="F37"/>
      <x:c r="G37"/>
      <x:c r="H37"/>
    </x:row>
    <x:row r="38">
      <x:c r="A38"/>
      <x:c r="B38"/>
      <x:c r="C38"/>
      <x:c r="D38"/>
      <x:c r="E38" s="46"/>
      <x:c r="F38"/>
      <x:c r="G38"/>
      <x:c r="H38"/>
    </x:row>
    <x:row r="39">
      <x:c r="A39"/>
      <x:c r="B39"/>
      <x:c r="C39"/>
      <x:c r="D39"/>
      <x:c r="E39" s="46"/>
      <x:c r="F39"/>
      <x:c r="G39"/>
      <x:c r="H39"/>
    </x:row>
    <x:row r="40">
      <x:c r="A40"/>
      <x:c r="B40"/>
      <x:c r="C40"/>
      <x:c r="D40"/>
      <x:c r="E40" s="46"/>
      <x:c r="F40"/>
      <x:c r="G40"/>
      <x:c r="H40"/>
    </x:row>
    <x:row r="41">
      <x:c r="A41"/>
      <x:c r="B41"/>
      <x:c r="C41"/>
      <x:c r="D41"/>
      <x:c r="E41" s="46"/>
      <x:c r="F41"/>
      <x:c r="G41"/>
      <x:c r="H41"/>
    </x:row>
    <x:row r="42">
      <x:c r="A42"/>
      <x:c r="B42"/>
      <x:c r="C42"/>
      <x:c r="D42"/>
      <x:c r="E42" s="46"/>
      <x:c r="F42"/>
      <x:c r="G42"/>
      <x:c r="H42"/>
    </x:row>
    <x:row r="43">
      <x:c r="A43"/>
      <x:c r="B43"/>
      <x:c r="C43"/>
      <x:c r="D43"/>
      <x:c r="E43" s="46"/>
      <x:c r="F43"/>
      <x:c r="G43"/>
      <x:c r="H43"/>
    </x:row>
    <x:row r="44">
      <x:c r="A44"/>
      <x:c r="B44"/>
      <x:c r="C44"/>
      <x:c r="D44"/>
      <x:c r="E44" s="46"/>
      <x:c r="F44"/>
      <x:c r="G44"/>
      <x:c r="H44"/>
    </x:row>
    <x:row r="45">
      <x:c r="A45"/>
      <x:c r="B45"/>
      <x:c r="C45"/>
      <x:c r="D45"/>
      <x:c r="E45" s="46"/>
      <x:c r="F45"/>
      <x:c r="G45"/>
      <x:c r="H45"/>
    </x:row>
    <x:row r="46">
      <x:c r="A46"/>
      <x:c r="B46"/>
      <x:c r="C46"/>
      <x:c r="D46"/>
      <x:c r="E46" s="46"/>
      <x:c r="F46"/>
      <x:c r="G46"/>
      <x:c r="H46"/>
    </x:row>
    <x:row r="47">
      <x:c r="A47"/>
      <x:c r="B47"/>
      <x:c r="C47"/>
      <x:c r="D47"/>
      <x:c r="E47" s="46"/>
      <x:c r="F47"/>
      <x:c r="G47"/>
      <x:c r="H47"/>
    </x:row>
    <x:row r="48">
      <x:c r="A48"/>
      <x:c r="B48"/>
      <x:c r="C48"/>
      <x:c r="D48"/>
      <x:c r="E48" s="46"/>
      <x:c r="F48"/>
      <x:c r="G48"/>
      <x:c r="H48"/>
    </x:row>
    <x:row r="49">
      <x:c r="A49"/>
      <x:c r="B49"/>
      <x:c r="C49"/>
      <x:c r="D49"/>
      <x:c r="E49" s="46"/>
      <x:c r="F49"/>
      <x:c r="G49"/>
      <x:c r="H49"/>
    </x:row>
    <x:row r="50">
      <x:c r="A50"/>
      <x:c r="B50"/>
      <x:c r="C50"/>
      <x:c r="D50"/>
      <x:c r="E50" s="46"/>
      <x:c r="F50"/>
      <x:c r="G50"/>
      <x:c r="H50"/>
    </x:row>
    <x:row r="51">
      <x:c r="A51"/>
      <x:c r="B51"/>
      <x:c r="C51"/>
      <x:c r="D51"/>
      <x:c r="E51" s="46"/>
      <x:c r="F51"/>
      <x:c r="G51"/>
      <x:c r="H51"/>
    </x:row>
    <x:row r="52">
      <x:c r="A52"/>
      <x:c r="B52"/>
      <x:c r="C52"/>
      <x:c r="D52"/>
      <x:c r="E52" s="46"/>
      <x:c r="F52"/>
      <x:c r="G52"/>
      <x:c r="H52"/>
    </x:row>
    <x:row r="53">
      <x:c r="A53"/>
      <x:c r="B53"/>
      <x:c r="C53"/>
      <x:c r="D53"/>
      <x:c r="E53" s="46"/>
      <x:c r="F53"/>
      <x:c r="G53"/>
      <x:c r="H53"/>
    </x:row>
    <x:row r="54">
      <x:c r="A54"/>
      <x:c r="B54"/>
      <x:c r="C54"/>
      <x:c r="D54"/>
      <x:c r="E54" s="46"/>
      <x:c r="F54"/>
      <x:c r="G54"/>
      <x:c r="H54"/>
    </x:row>
    <x:row r="55">
      <x:c r="A55"/>
      <x:c r="B55"/>
      <x:c r="C55"/>
      <x:c r="D55"/>
      <x:c r="E55" s="46"/>
      <x:c r="F55"/>
      <x:c r="G55"/>
      <x:c r="H55"/>
    </x:row>
    <x:row r="56">
      <x:c r="A56"/>
      <x:c r="B56"/>
      <x:c r="C56"/>
      <x:c r="D56"/>
      <x:c r="E56" s="46"/>
      <x:c r="F56"/>
      <x:c r="G56"/>
      <x:c r="H56"/>
    </x:row>
    <x:row r="57">
      <x:c r="A57"/>
      <x:c r="B57"/>
      <x:c r="C57"/>
      <x:c r="D57"/>
      <x:c r="E57" s="46"/>
      <x:c r="F57"/>
      <x:c r="G57"/>
      <x:c r="H57"/>
    </x:row>
    <x:row r="58">
      <x:c r="A58"/>
      <x:c r="B58"/>
      <x:c r="C58"/>
      <x:c r="D58"/>
      <x:c r="E58" s="46"/>
      <x:c r="F58"/>
      <x:c r="G58"/>
      <x:c r="H58"/>
    </x:row>
    <x:row r="59">
      <x:c r="A59"/>
      <x:c r="B59"/>
      <x:c r="C59"/>
      <x:c r="D59"/>
      <x:c r="E59" s="46"/>
      <x:c r="F59"/>
      <x:c r="G59"/>
      <x:c r="H59"/>
    </x:row>
    <x:row r="60">
      <x:c r="A60"/>
      <x:c r="B60"/>
      <x:c r="C60"/>
      <x:c r="D60"/>
      <x:c r="E60" s="46"/>
      <x:c r="F60"/>
      <x:c r="G60"/>
      <x:c r="H60"/>
    </x:row>
    <x:row r="61">
      <x:c r="A61"/>
      <x:c r="B61"/>
      <x:c r="C61"/>
      <x:c r="D61"/>
      <x:c r="E61" s="46"/>
      <x:c r="F61"/>
      <x:c r="G61"/>
      <x:c r="H61"/>
    </x:row>
    <x:row r="62">
      <x:c r="A62"/>
      <x:c r="B62"/>
      <x:c r="C62"/>
      <x:c r="D62"/>
      <x:c r="E62" s="46"/>
      <x:c r="F62"/>
      <x:c r="G62"/>
      <x:c r="H62"/>
    </x:row>
    <x:row r="63">
      <x:c r="A63"/>
      <x:c r="B63"/>
      <x:c r="C63"/>
      <x:c r="D63"/>
      <x:c r="E63" s="46"/>
      <x:c r="F63"/>
      <x:c r="G63"/>
      <x:c r="H63"/>
    </x:row>
    <x:row r="64">
      <x:c r="A64"/>
      <x:c r="B64"/>
      <x:c r="C64"/>
      <x:c r="D64"/>
      <x:c r="E64" s="46"/>
      <x:c r="F64"/>
      <x:c r="G64"/>
      <x:c r="H64"/>
    </x:row>
    <x:row r="65">
      <x:c r="A65"/>
      <x:c r="B65"/>
      <x:c r="C65"/>
      <x:c r="D65"/>
      <x:c r="E65" s="46"/>
      <x:c r="F65"/>
      <x:c r="G65"/>
      <x:c r="H65"/>
    </x:row>
    <x:row r="66">
      <x:c r="A66"/>
      <x:c r="B66"/>
      <x:c r="C66"/>
      <x:c r="D66"/>
      <x:c r="E66" s="46"/>
      <x:c r="F66"/>
      <x:c r="G66"/>
      <x:c r="H66"/>
    </x:row>
    <x:row r="67">
      <x:c r="A67"/>
      <x:c r="B67"/>
      <x:c r="C67"/>
      <x:c r="D67"/>
      <x:c r="E67" s="46"/>
      <x:c r="F67"/>
      <x:c r="G67"/>
      <x:c r="H67"/>
    </x:row>
    <x:row r="68">
      <x:c r="A68"/>
      <x:c r="B68"/>
      <x:c r="C68"/>
      <x:c r="D68"/>
      <x:c r="E68" s="46"/>
      <x:c r="F68"/>
      <x:c r="G68"/>
      <x:c r="H68"/>
    </x:row>
    <x:row r="69">
      <x:c r="A69"/>
      <x:c r="B69"/>
      <x:c r="C69"/>
      <x:c r="D69"/>
      <x:c r="E69" s="46"/>
      <x:c r="F69"/>
      <x:c r="G69"/>
      <x:c r="H69"/>
    </x:row>
    <x:row r="70">
      <x:c r="A70"/>
      <x:c r="B70"/>
      <x:c r="C70"/>
      <x:c r="D70"/>
      <x:c r="E70" s="46"/>
      <x:c r="F70"/>
      <x:c r="G70"/>
      <x:c r="H70"/>
    </x:row>
    <x:row r="71">
      <x:c r="A71"/>
      <x:c r="B71"/>
      <x:c r="C71"/>
      <x:c r="D71"/>
      <x:c r="E71" s="46"/>
      <x:c r="F71"/>
      <x:c r="G71"/>
      <x:c r="H71"/>
    </x:row>
    <x:row r="72">
      <x:c r="A72"/>
      <x:c r="B72"/>
      <x:c r="C72"/>
      <x:c r="D72"/>
      <x:c r="E72" s="46"/>
      <x:c r="F72"/>
      <x:c r="G72"/>
      <x:c r="H72"/>
    </x:row>
    <x:row r="73">
      <x:c r="A73"/>
      <x:c r="B73"/>
      <x:c r="C73"/>
      <x:c r="D73"/>
      <x:c r="E73" s="46"/>
      <x:c r="F73"/>
      <x:c r="G73"/>
      <x:c r="H73"/>
    </x:row>
    <x:row r="74">
      <x:c r="A74"/>
      <x:c r="B74"/>
      <x:c r="C74"/>
      <x:c r="D74"/>
      <x:c r="E74" s="46"/>
      <x:c r="F74"/>
      <x:c r="G74"/>
      <x:c r="H74"/>
    </x:row>
    <x:row r="75">
      <x:c r="A75"/>
      <x:c r="B75"/>
      <x:c r="C75"/>
      <x:c r="D75"/>
      <x:c r="E75" s="46"/>
      <x:c r="F75"/>
      <x:c r="G75"/>
      <x:c r="H75"/>
    </x:row>
    <x:row r="76">
      <x:c r="A76"/>
      <x:c r="B76"/>
      <x:c r="C76"/>
      <x:c r="D76"/>
      <x:c r="E76" s="46"/>
      <x:c r="F76"/>
      <x:c r="G76"/>
      <x:c r="H76"/>
    </x:row>
    <x:row r="77">
      <x:c r="A77"/>
      <x:c r="B77"/>
      <x:c r="C77"/>
      <x:c r="D77"/>
      <x:c r="E77" s="46"/>
      <x:c r="F77"/>
      <x:c r="G77"/>
      <x:c r="H77"/>
    </x:row>
    <x:row r="78">
      <x:c r="A78"/>
      <x:c r="B78"/>
      <x:c r="C78"/>
      <x:c r="D78"/>
      <x:c r="E78" s="46"/>
      <x:c r="F78"/>
      <x:c r="G78"/>
      <x:c r="H78"/>
    </x:row>
    <x:row r="79">
      <x:c r="A79"/>
      <x:c r="B79"/>
      <x:c r="C79"/>
      <x:c r="D79"/>
      <x:c r="E79" s="46"/>
      <x:c r="F79"/>
      <x:c r="G79"/>
      <x:c r="H79"/>
    </x:row>
    <x:row r="80">
      <x:c r="A80"/>
      <x:c r="B80"/>
      <x:c r="C80"/>
      <x:c r="D80"/>
      <x:c r="E80" s="46"/>
      <x:c r="F80"/>
      <x:c r="G80"/>
      <x:c r="H80"/>
    </x:row>
    <x:row r="81">
      <x:c r="A81"/>
      <x:c r="B81"/>
      <x:c r="C81"/>
      <x:c r="D81"/>
      <x:c r="E81" s="46"/>
      <x:c r="F81"/>
      <x:c r="G81"/>
      <x:c r="H81"/>
    </x:row>
    <x:row r="82">
      <x:c r="A82"/>
      <x:c r="B82"/>
      <x:c r="C82"/>
      <x:c r="D82"/>
      <x:c r="E82" s="46"/>
      <x:c r="F82"/>
      <x:c r="G82"/>
      <x:c r="H82"/>
    </x:row>
    <x:row r="83">
      <x:c r="A83"/>
      <x:c r="B83"/>
      <x:c r="C83"/>
      <x:c r="D83"/>
      <x:c r="E83" s="46"/>
      <x:c r="F83"/>
      <x:c r="G83"/>
      <x:c r="H83"/>
    </x:row>
    <x:row r="84">
      <x:c r="A84"/>
      <x:c r="B84"/>
      <x:c r="C84"/>
      <x:c r="D84"/>
      <x:c r="E84" s="46"/>
      <x:c r="F84"/>
      <x:c r="G84"/>
      <x:c r="H84"/>
    </x:row>
    <x:row r="85">
      <x:c r="A85"/>
      <x:c r="B85"/>
      <x:c r="C85"/>
      <x:c r="D85"/>
      <x:c r="E85" s="46"/>
      <x:c r="F85"/>
      <x:c r="G85"/>
      <x:c r="H85"/>
    </x:row>
    <x:row r="86">
      <x:c r="A86"/>
      <x:c r="B86"/>
      <x:c r="C86"/>
      <x:c r="D86"/>
      <x:c r="E86" s="46"/>
      <x:c r="F86"/>
      <x:c r="G86"/>
      <x:c r="H86"/>
    </x:row>
    <x:row r="87">
      <x:c r="A87"/>
      <x:c r="B87"/>
      <x:c r="C87"/>
      <x:c r="D87"/>
      <x:c r="E87" s="46"/>
      <x:c r="F87"/>
      <x:c r="G87"/>
      <x:c r="H87"/>
    </x:row>
    <x:row r="88">
      <x:c r="A88"/>
      <x:c r="B88"/>
      <x:c r="C88"/>
      <x:c r="D88"/>
      <x:c r="E88" s="46"/>
      <x:c r="F88"/>
      <x:c r="G88"/>
      <x:c r="H88"/>
    </x:row>
    <x:row r="89">
      <x:c r="A89"/>
      <x:c r="B89"/>
      <x:c r="C89"/>
      <x:c r="D89"/>
      <x:c r="E89" s="46"/>
      <x:c r="F89"/>
      <x:c r="G89"/>
      <x:c r="H89"/>
    </x:row>
    <x:row r="90">
      <x:c r="A90"/>
      <x:c r="B90"/>
      <x:c r="C90"/>
      <x:c r="D90"/>
      <x:c r="E90" s="46"/>
      <x:c r="F90"/>
      <x:c r="G90"/>
      <x:c r="H90"/>
    </x:row>
    <x:row r="91">
      <x:c r="A91"/>
      <x:c r="B91"/>
      <x:c r="C91"/>
      <x:c r="D91"/>
      <x:c r="E91" s="46"/>
      <x:c r="F91"/>
      <x:c r="G91"/>
      <x:c r="H91"/>
    </x:row>
    <x:row r="92">
      <x:c r="A92"/>
      <x:c r="B92"/>
      <x:c r="C92"/>
      <x:c r="D92"/>
      <x:c r="E92" s="46"/>
      <x:c r="F92"/>
      <x:c r="G92"/>
      <x:c r="H92"/>
    </x:row>
    <x:row r="93">
      <x:c r="A93"/>
      <x:c r="B93"/>
      <x:c r="C93"/>
      <x:c r="D93"/>
      <x:c r="E93" s="46"/>
      <x:c r="F93"/>
      <x:c r="G93"/>
      <x:c r="H93"/>
    </x:row>
    <x:row r="94">
      <x:c r="A94"/>
      <x:c r="B94"/>
      <x:c r="C94"/>
      <x:c r="D94"/>
      <x:c r="E94" s="46"/>
      <x:c r="F94"/>
      <x:c r="G94"/>
      <x:c r="H94"/>
    </x:row>
    <x:row r="95">
      <x:c r="A95"/>
      <x:c r="B95"/>
      <x:c r="C95"/>
      <x:c r="D95"/>
      <x:c r="E95" s="46"/>
      <x:c r="F95"/>
      <x:c r="G95"/>
      <x:c r="H95"/>
    </x:row>
    <x:row r="96">
      <x:c r="A96"/>
      <x:c r="B96"/>
      <x:c r="C96"/>
      <x:c r="D96"/>
      <x:c r="E96" s="46"/>
      <x:c r="F96"/>
      <x:c r="G96"/>
      <x:c r="H96"/>
    </x:row>
    <x:row r="97">
      <x:c r="A97"/>
      <x:c r="B97"/>
      <x:c r="C97"/>
      <x:c r="D97"/>
      <x:c r="E97" s="46"/>
      <x:c r="F97"/>
      <x:c r="G97"/>
      <x:c r="H97"/>
    </x:row>
    <x:row r="98">
      <x:c r="A98"/>
      <x:c r="B98"/>
      <x:c r="C98"/>
      <x:c r="D98"/>
      <x:c r="E98" s="46"/>
      <x:c r="F98"/>
      <x:c r="G98"/>
      <x:c r="H98"/>
    </x:row>
    <x:row r="99">
      <x:c r="A99"/>
      <x:c r="B99"/>
      <x:c r="C99"/>
      <x:c r="D99"/>
      <x:c r="E99" s="46"/>
      <x:c r="F99"/>
      <x:c r="G99"/>
      <x:c r="H99"/>
    </x:row>
    <x:row r="100">
      <x:c r="A100"/>
      <x:c r="B100"/>
      <x:c r="C100"/>
      <x:c r="D100"/>
      <x:c r="E100" s="46"/>
      <x:c r="F100"/>
      <x:c r="G100"/>
      <x:c r="H100"/>
    </x:row>
    <x:row r="101">
      <x:c r="A101"/>
      <x:c r="B101"/>
      <x:c r="C101"/>
      <x:c r="D101"/>
      <x:c r="E101" s="46"/>
      <x:c r="F101"/>
      <x:c r="G101"/>
      <x:c r="H101"/>
    </x:row>
    <x:row r="102">
      <x:c r="A102"/>
      <x:c r="B102"/>
      <x:c r="C102"/>
      <x:c r="D102"/>
      <x:c r="E102" s="46"/>
      <x:c r="F102"/>
      <x:c r="G102"/>
      <x:c r="H102"/>
    </x:row>
    <x:row r="103">
      <x:c r="A103"/>
      <x:c r="B103"/>
      <x:c r="C103"/>
      <x:c r="D103"/>
      <x:c r="E103" s="46"/>
      <x:c r="F103"/>
      <x:c r="G103"/>
      <x:c r="H103"/>
    </x:row>
  </x:sheetData>
  <x:mergeCells>
    <x:mergeCell ref="A1:H1"/>
    <x:mergeCell ref="A2:H2"/>
  </x:mergeCells>
  <x:dataValidations count="1">
    <x:dataValidation type="list" sqref="G4:G103">
      <x:formula1>"Yes,No"</x:formula1>
    </x:dataValidation>
  </x:dataValidations>
  <x:pageMargins left="0.7" right="0.7" top="0.75" bottom="0.75" header="0.3" footer="0.3"/>
  <x:tableParts count="1">
    <x:tablePart xmlns:r="http://schemas.openxmlformats.org/officeDocument/2006/relationships" r:id="Rfbd038797ce74b9a"/>
  </x:tableParts>
</x:worksheet>
</file>